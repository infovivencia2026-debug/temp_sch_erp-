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Features" sheetId="2" state="visible" r:id="rId2"/>
    <sheet name="Backend routes" sheetId="3" state="visible" r:id="rId3"/>
    <sheet name="Database" sheetId="4" state="visible" r:id="rId4"/>
    <sheet name="Roles" sheetId="5" state="visible" r:id="rId5"/>
    <sheet name="Not ported" sheetId="6" state="visible" r:id="rId6"/>
    <sheet name="Seller and support" sheetId="7" state="visible" r:id="rId7"/>
    <sheet name="Checks" sheetId="8" state="visible" r:id="rId8"/>
    <sheet name="Changed today" sheetId="9" state="visible" r:id="rId9"/>
  </sheets>
  <definedNames>
    <definedName name="_xlnm._FilterDatabase" localSheetId="1" hidden="1">'Features'!$A$1:$S$426</definedName>
    <definedName name="_xlnm._FilterDatabase" localSheetId="2" hidden="1">'Backend routes'!$A$1:$G$1661</definedName>
    <definedName name="_xlnm._FilterDatabase" localSheetId="3" hidden="1">'Database'!$A$1:$J$540</definedName>
    <definedName name="_xlnm._FilterDatabase" localSheetId="4" hidden="1">'Roles'!$A$1:$C$27</definedName>
    <definedName name="_xlnm._FilterDatabase" localSheetId="5" hidden="1">'Not ported'!$A$1:$C$11</definedName>
    <definedName name="_xlnm._FilterDatabase" localSheetId="6" hidden="1">'Seller and support'!$A$1:$E$15</definedName>
    <definedName name="_xlnm._FilterDatabase" localSheetId="7" hidden="1">'Checks'!$A$1:$C$11</definedName>
    <definedName name="_xlnm._FilterDatabase" localSheetId="8" hidden="1">'Changed today'!$A$1:$D$10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4"/>
    </font>
    <font>
      <name val="Arial"/>
      <b val="1"/>
      <sz val="10"/>
    </font>
  </fonts>
  <fills count="8">
    <fill>
      <patternFill/>
    </fill>
    <fill>
      <patternFill patternType="gray125"/>
    </fill>
    <fill>
      <patternFill patternType="solid">
        <fgColor rgb="001F2937"/>
      </patternFill>
    </fill>
    <fill>
      <patternFill patternType="solid">
        <fgColor rgb="00FEF3C7"/>
      </patternFill>
    </fill>
    <fill>
      <patternFill patternType="solid">
        <fgColor rgb="00DCFCE7"/>
      </patternFill>
    </fill>
    <fill>
      <patternFill patternType="solid">
        <fgColor rgb="00E5E7EB"/>
      </patternFill>
    </fill>
    <fill>
      <patternFill patternType="solid">
        <fgColor rgb="00DBEAFE"/>
      </patternFill>
    </fill>
    <fill>
      <patternFill patternType="solid">
        <fgColor rgb="00FEE2E2"/>
      </patternFill>
    </fill>
  </fills>
  <borders count="1">
    <border>
      <left/>
      <right/>
      <top/>
      <bottom/>
      <diagonal/>
    </border>
  </borders>
  <cellStyleXfs count="1">
    <xf numFmtId="0" fontId="0" fillId="0" borderId="0"/>
  </cellStyleXfs>
  <cellXfs count="15">
    <xf numFmtId="0" fontId="0" fillId="0" borderId="0" pivotButton="0" quotePrefix="0" xfId="0"/>
    <xf numFmtId="0" fontId="3" fillId="0" borderId="0" pivotButton="0" quotePrefix="0" xfId="0"/>
    <xf numFmtId="0" fontId="2" fillId="0" borderId="0" pivotButton="0" quotePrefix="0" xfId="0"/>
    <xf numFmtId="0" fontId="4" fillId="0" borderId="0" pivotButton="0" quotePrefix="0" xfId="0"/>
    <xf numFmtId="0" fontId="2" fillId="4" borderId="0" pivotButton="0" quotePrefix="0" xfId="0"/>
    <xf numFmtId="0" fontId="2" fillId="3" borderId="0" pivotButton="0" quotePrefix="0" xfId="0"/>
    <xf numFmtId="0" fontId="2" fillId="7" borderId="0" pivotButton="0" quotePrefix="0" xfId="0"/>
    <xf numFmtId="0" fontId="2" fillId="5" borderId="0" pivotButton="0" quotePrefix="0" xfId="0"/>
    <xf numFmtId="0" fontId="2" fillId="0" borderId="0" applyAlignment="1" pivotButton="0" quotePrefix="0" xfId="0">
      <alignment vertical="top" wrapText="1"/>
    </xf>
    <xf numFmtId="0" fontId="1" fillId="2" borderId="0" applyAlignment="1" pivotButton="0" quotePrefix="0" xfId="0">
      <alignment vertical="center"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58" customWidth="1" min="1" max="1"/>
    <col width="24" customWidth="1" min="2" max="2"/>
    <col width="60" customWidth="1" min="3" max="3"/>
    <col width="20" customWidth="1" min="4" max="4"/>
  </cols>
  <sheetData>
    <row r="1">
      <c r="A1" s="1" t="inlineStr">
        <is>
          <t>School ERP inventory</t>
        </is>
      </c>
    </row>
    <row r="2">
      <c r="A2" s="2" t="inlineStr">
        <is>
          <t>Generated 2026-10-01 from the code on branch cloudflare-workers at 9815b4e9 plus the changes listed on the Changed today tab by scripts/inventory/. Counts below are formulas over the other tabs.</t>
        </is>
      </c>
    </row>
    <row r="3">
      <c r="B3" s="3" t="inlineStr">
        <is>
          <t>Count (live formula)</t>
        </is>
      </c>
      <c r="C3" s="3" t="inlineStr">
        <is>
          <t>Count when built</t>
        </is>
      </c>
    </row>
    <row r="4">
      <c r="A4" s="3" t="inlineStr">
        <is>
          <t>Features in the catalogue</t>
        </is>
      </c>
      <c r="B4" s="2">
        <f>COUNTA(Features!D2:D10000)</f>
        <v/>
      </c>
      <c r="C4" s="2" t="n">
        <v>425</v>
      </c>
    </row>
    <row r="5">
      <c r="A5" s="2" t="inlineStr">
        <is>
          <t xml:space="preserve">  Good</t>
        </is>
      </c>
      <c r="B5" s="2">
        <f>COUNTIF(Features!E2:E10000,"Good")</f>
        <v/>
      </c>
      <c r="C5" s="2" t="n">
        <v>294</v>
      </c>
    </row>
    <row r="6">
      <c r="A6" s="2" t="inlineStr">
        <is>
          <t xml:space="preserve">  Check (see Note column)</t>
        </is>
      </c>
      <c r="B6" s="2">
        <f>COUNTIF(Features!E2:E10000,"Check")</f>
        <v/>
      </c>
      <c r="C6" s="2" t="n">
        <v>121</v>
      </c>
    </row>
    <row r="7">
      <c r="A7" s="2" t="inlineStr">
        <is>
          <t xml:space="preserve">  Gap (screen calls a missing endpoint)</t>
        </is>
      </c>
      <c r="B7" s="2">
        <f>COUNTIF(Features!E2:E10000,"Gap")</f>
        <v/>
      </c>
      <c r="C7" s="2" t="n">
        <v>0</v>
      </c>
    </row>
    <row r="8">
      <c r="A8" s="2" t="inlineStr">
        <is>
          <t xml:space="preserve">  Planned (no screen yet)</t>
        </is>
      </c>
      <c r="B8" s="2">
        <f>COUNTIF(Features!E2:E10000,"Planned")</f>
        <v/>
      </c>
      <c r="C8" s="2" t="n">
        <v>10</v>
      </c>
    </row>
    <row r="9">
      <c r="A9" s="3" t="inlineStr">
        <is>
          <t>Roles in the catalogue</t>
        </is>
      </c>
      <c r="B9" s="2" t="n">
        <v>24</v>
      </c>
      <c r="C9" s="2" t="n">
        <v>24</v>
      </c>
    </row>
    <row r="10">
      <c r="A10" s="3" t="inlineStr">
        <is>
          <t>Backend routes</t>
        </is>
      </c>
      <c r="B10" s="2">
        <f>COUNTA('Backend routes'!B2:B10000)</f>
        <v/>
      </c>
      <c r="C10" s="2" t="n">
        <v>1660</v>
      </c>
    </row>
    <row r="11">
      <c r="A11" s="2" t="inlineStr">
        <is>
          <t xml:space="preserve">  Called by the web app</t>
        </is>
      </c>
      <c r="B11" s="2">
        <f>COUNTIF('Backend routes'!F2:F10000,"Yes")</f>
        <v/>
      </c>
      <c r="C11" s="2" t="n">
        <v>1216</v>
      </c>
    </row>
    <row r="12">
      <c r="A12" s="2" t="inlineStr">
        <is>
          <t xml:space="preserve">  Not called by the web app (devices, jobs, older screens)</t>
        </is>
      </c>
      <c r="B12" s="2">
        <f>COUNTIF('Backend routes'!F2:F10000,"No")</f>
        <v/>
      </c>
      <c r="C12" s="2" t="n">
        <v>444</v>
      </c>
    </row>
    <row r="13">
      <c r="A13" s="3" t="inlineStr">
        <is>
          <t>Database tables</t>
        </is>
      </c>
      <c r="B13" s="2">
        <f>COUNTA(Database!B2:B10000)</f>
        <v/>
      </c>
      <c r="C13" s="2" t="n">
        <v>539</v>
      </c>
    </row>
    <row r="14">
      <c r="A14" s="2" t="inlineStr">
        <is>
          <t xml:space="preserve">  Platform (CONTROL)</t>
        </is>
      </c>
      <c r="B14" s="2">
        <f>COUNTIF(Database!A2:A10000,"CONTROL*")</f>
        <v/>
      </c>
      <c r="C14" s="2" t="n">
        <v>43</v>
      </c>
    </row>
    <row r="15">
      <c r="A15" s="2" t="inlineStr">
        <is>
          <t xml:space="preserve">  Per school</t>
        </is>
      </c>
      <c r="B15" s="2">
        <f>COUNTIF(Database!A2:A10000,"School*")</f>
        <v/>
      </c>
      <c r="C15" s="2" t="n">
        <v>496</v>
      </c>
    </row>
    <row r="16">
      <c r="A16" s="2" t="inlineStr">
        <is>
          <t xml:space="preserve">  With no backend code using them</t>
        </is>
      </c>
      <c r="B16" s="2">
        <f>COUNTIF(Database!C2:C10000,"Check")</f>
        <v/>
      </c>
      <c r="C16" s="2" t="n">
        <v>8</v>
      </c>
    </row>
    <row r="17">
      <c r="A17" s="3" t="inlineStr">
        <is>
          <t>Backend steps that answer "not implemented"</t>
        </is>
      </c>
      <c r="B17" s="2">
        <f>COUNTA('Not ported'!A2:A10000)</f>
        <v/>
      </c>
      <c r="C17" s="2" t="n">
        <v>10</v>
      </c>
    </row>
    <row r="18">
      <c r="A18" s="3" t="inlineStr">
        <is>
          <t>Seller and support items still open</t>
        </is>
      </c>
      <c r="B18" s="2">
        <f>COUNTIF('Seller and support'!B2:B1000,"Open")</f>
        <v/>
      </c>
      <c r="C18" s="2" t="n">
        <v>7</v>
      </c>
    </row>
    <row r="19">
      <c r="A19" s="3" t="inlineStr">
        <is>
          <t>Automated checks not passing</t>
        </is>
      </c>
      <c r="B19" s="2">
        <f>COUNTA(Checks!A2:A1000)-COUNTIF(Checks!B2:B1000,"Pass")-COUNTIF(Checks!B2:B1000,"Known")</f>
        <v/>
      </c>
      <c r="C19" s="2" t="n">
        <v>0</v>
      </c>
    </row>
    <row r="21">
      <c r="A21" s="3" t="inlineStr">
        <is>
          <t>How to read the Status column</t>
        </is>
      </c>
    </row>
    <row r="22">
      <c r="A22" s="4" t="inlineStr">
        <is>
          <t>Good</t>
        </is>
      </c>
      <c r="B22" s="2" t="inlineStr">
        <is>
          <t>Screen exists and every endpoint it calls is registered in the backend.</t>
        </is>
      </c>
    </row>
    <row r="23">
      <c r="A23" s="5" t="inlineStr">
        <is>
          <t>Check</t>
        </is>
      </c>
      <c r="B23" s="2" t="inlineStr">
        <is>
          <t>Works as far as this scan can tell, with something to look at: see the Note.</t>
        </is>
      </c>
    </row>
    <row r="24">
      <c r="A24" s="6" t="inlineStr">
        <is>
          <t>Gap</t>
        </is>
      </c>
      <c r="B24" s="2" t="inlineStr">
        <is>
          <t>The screen calls an endpoint the backend does not have.</t>
        </is>
      </c>
    </row>
    <row r="25">
      <c r="A25" s="7" t="inlineStr">
        <is>
          <t>Planned</t>
        </is>
      </c>
      <c r="B25" s="2" t="inlineStr">
        <is>
          <t>Listed in the catalogue; no screen has been built.</t>
        </is>
      </c>
    </row>
    <row r="27">
      <c r="A27" s="3" t="inlineStr">
        <is>
          <t>Limits of this inventory</t>
        </is>
      </c>
    </row>
    <row r="28" ht="30" customHeight="1">
      <c r="A28" s="8" t="inlineStr">
        <is>
          <t>Built by reading source text, not by running the app. A row marked Good means the screen exists and every endpoint it calls is registered; it does not mean a person has clicked through it with real data.</t>
        </is>
      </c>
    </row>
    <row r="29" ht="30" customHeight="1">
      <c r="A29" s="8" t="inlineStr">
        <is>
          <t>A screen is linked to endpoints by following its imports three levels deep. Calls made further away are not seen, so "API calls" can undercount; those rows are marked Check.</t>
        </is>
      </c>
    </row>
    <row r="30" ht="30" customHeight="1">
      <c r="A30" s="8" t="inlineStr">
        <is>
          <t>Tables are linked to a feature through the backend FILE that serves its endpoints, so a feature can list tables a neighbouring route in the same file uses.</t>
        </is>
      </c>
    </row>
    <row r="31" ht="30" customHeight="1">
      <c r="A31" s="8" t="inlineStr">
        <is>
          <t>"Called by the web app: No" covers device endpoints (SMS gateway, bus tracker), background jobs, public pages and routes whose path the web app builds from variables. It is a list to review, not a list of dead code.</t>
        </is>
      </c>
    </row>
    <row r="32" ht="30" customHeight="1">
      <c r="A32" s="8" t="inlineStr">
        <is>
          <t>The Go server (internal/) that production ran before the Workers move is not inventoried here; this is the Worker backend, the React web app and the D1 schema.</t>
        </is>
      </c>
    </row>
  </sheetData>
  <mergeCells count="9">
    <mergeCell ref="A31:D31"/>
    <mergeCell ref="A28:D28"/>
    <mergeCell ref="A32:D32"/>
    <mergeCell ref="B23:D23"/>
    <mergeCell ref="B22:D22"/>
    <mergeCell ref="A30:D30"/>
    <mergeCell ref="A29:D29"/>
    <mergeCell ref="B25:D25"/>
    <mergeCell ref="B24:D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26"/>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18" customWidth="1" min="3" max="3"/>
    <col width="30" customWidth="1" min="4" max="4"/>
    <col width="11" customWidth="1" min="5" max="5"/>
    <col width="9" customWidth="1" min="6" max="6"/>
    <col width="11" customWidth="1" min="7" max="7"/>
    <col width="22" customWidth="1" min="8" max="8"/>
    <col width="44" customWidth="1" min="9" max="9"/>
    <col width="46" customWidth="1" min="10" max="10"/>
    <col width="36" customWidth="1" min="11" max="11"/>
    <col width="8" customWidth="1" min="12" max="12"/>
    <col width="40" customWidth="1" min="13" max="13"/>
    <col width="40" customWidth="1" min="14" max="14"/>
    <col width="8" customWidth="1" min="15" max="15"/>
    <col width="34" customWidth="1" min="16" max="16"/>
    <col width="30" customWidth="1" min="17" max="17"/>
    <col width="44" customWidth="1" min="18" max="18"/>
    <col width="60" customWidth="1" min="19" max="19"/>
  </cols>
  <sheetData>
    <row r="1" ht="30" customHeight="1">
      <c r="A1" s="9" t="inlineStr">
        <is>
          <t>Role</t>
        </is>
      </c>
      <c r="B1" s="9" t="inlineStr">
        <is>
          <t>Workspace</t>
        </is>
      </c>
      <c r="C1" s="9" t="inlineStr">
        <is>
          <t>Section</t>
        </is>
      </c>
      <c r="D1" s="9" t="inlineStr">
        <is>
          <t>Feature</t>
        </is>
      </c>
      <c r="E1" s="9" t="inlineStr">
        <is>
          <t>Status</t>
        </is>
      </c>
      <c r="F1" s="9" t="inlineStr">
        <is>
          <t>Tier</t>
        </is>
      </c>
      <c r="G1" s="9" t="inlineStr">
        <is>
          <t>Priority</t>
        </is>
      </c>
      <c r="H1" s="9" t="inlineStr">
        <is>
          <t>Data scope</t>
        </is>
      </c>
      <c r="I1" s="9" t="inlineStr">
        <is>
          <t>Catalogue key</t>
        </is>
      </c>
      <c r="J1" s="9" t="inlineStr">
        <is>
          <t>Frontend screen</t>
        </is>
      </c>
      <c r="K1" s="9" t="inlineStr">
        <is>
          <t>Home board (bento)</t>
        </is>
      </c>
      <c r="L1" s="9" t="inlineStr">
        <is>
          <t>API calls</t>
        </is>
      </c>
      <c r="M1" s="9" t="inlineStr">
        <is>
          <t>API endpoints used</t>
        </is>
      </c>
      <c r="N1" s="9" t="inlineStr">
        <is>
          <t>Backend files</t>
        </is>
      </c>
      <c r="O1" s="9" t="inlineStr">
        <is>
          <t>Tables</t>
        </is>
      </c>
      <c r="P1" s="9" t="inlineStr">
        <is>
          <t>Database tables touched</t>
        </is>
      </c>
      <c r="Q1" s="9" t="inlineStr">
        <is>
          <t>Tests that exercise it</t>
        </is>
      </c>
      <c r="R1" s="9" t="inlineStr">
        <is>
          <t>Note</t>
        </is>
      </c>
      <c r="S1" s="9" t="inlineStr">
        <is>
          <t>What the user sees and does</t>
        </is>
      </c>
    </row>
    <row r="2">
      <c r="A2" s="8" t="inlineStr">
        <is>
          <t>Seller Admin</t>
        </is>
      </c>
      <c r="B2" s="8" t="inlineStr">
        <is>
          <t>Home</t>
        </is>
      </c>
      <c r="C2" s="8" t="inlineStr">
        <is>
          <t>Home</t>
        </is>
      </c>
      <c r="D2" s="8" t="inlineStr">
        <is>
          <t>Dashboard</t>
        </is>
      </c>
      <c r="E2" s="10" t="inlineStr">
        <is>
          <t>Check</t>
        </is>
      </c>
      <c r="F2" s="8" t="inlineStr">
        <is>
          <t>core</t>
        </is>
      </c>
      <c r="G2" s="8" t="inlineStr">
        <is>
          <t>Must-Have</t>
        </is>
      </c>
      <c r="H2" s="8" t="inlineStr">
        <is>
          <t>platform</t>
        </is>
      </c>
      <c r="I2" s="8" t="inlineStr">
        <is>
          <t>seller_admin.home.dashboard</t>
        </is>
      </c>
      <c r="J2" s="8" t="inlineStr">
        <is>
          <t>web/src/features/seller/SellerDashboard.tsx</t>
        </is>
      </c>
      <c r="K2" s="8" t="inlineStr"/>
      <c r="L2" s="8" t="n">
        <v>9</v>
      </c>
      <c r="M2" s="8" t="inlineStr">
        <is>
          <t>/seller/announcements
/seller/announcements/{}
/seller/announcements/{}/reads
/seller/announcements/{}/retire
/seller/broadcasts
/seller/broadcasts/{}
/seller/plans
/seller/school-groups
… +1 more</t>
        </is>
      </c>
      <c r="N2" s="8" t="inlineStr">
        <is>
          <t>worker/src/routes/seller/announcements.ts
worker/src/routes/seller/groups.ts
worker/src/routes/seller/platform.ts
worker/src/routes/seller/tenants.ts</t>
        </is>
      </c>
      <c r="O2" s="8" t="n">
        <v>44</v>
      </c>
      <c r="P2" s="8" t="inlineStr">
        <is>
          <t>academic_years
board_memberships
campuses
classes
clearance_departments
employees
exams
fee_heads
files
institutions
… +34 more</t>
        </is>
      </c>
      <c r="Q2" s="8" t="inlineStr"/>
      <c r="R2" s="8" t="inlineStr">
        <is>
          <t>4 step(s) in its backend files answer "not ported" (see Not ported tab).</t>
        </is>
      </c>
      <c r="S2" s="8" t="inlineStr">
        <is>
          <t>The business on one page: active school tenants, who is still onboarding, monthly recurring revenue and whether every school is actually being used, with the provisioning log underneath and one place to broadcast a maintenance notice to all of them at once.</t>
        </is>
      </c>
    </row>
    <row r="3">
      <c r="A3" s="8" t="inlineStr">
        <is>
          <t>Seller Admin</t>
        </is>
      </c>
      <c r="B3" s="8" t="inlineStr">
        <is>
          <t>Schools</t>
        </is>
      </c>
      <c r="C3" s="8" t="inlineStr">
        <is>
          <t>Schools</t>
        </is>
      </c>
      <c r="D3" s="8" t="inlineStr">
        <is>
          <t>Schools</t>
        </is>
      </c>
      <c r="E3" s="10" t="inlineStr">
        <is>
          <t>Check</t>
        </is>
      </c>
      <c r="F3" s="8" t="inlineStr">
        <is>
          <t>core</t>
        </is>
      </c>
      <c r="G3" s="8" t="inlineStr">
        <is>
          <t>Must-Have</t>
        </is>
      </c>
      <c r="H3" s="8" t="inlineStr">
        <is>
          <t>platform</t>
        </is>
      </c>
      <c r="I3" s="8" t="inlineStr">
        <is>
          <t>seller_admin.schools.schools</t>
        </is>
      </c>
      <c r="J3" s="8" t="inlineStr">
        <is>
          <t>web/src/features/seller/Tenants.tsx</t>
        </is>
      </c>
      <c r="K3" s="8" t="inlineStr"/>
      <c r="L3" s="8" t="n">
        <v>17</v>
      </c>
      <c r="M3" s="8" t="inlineStr">
        <is>
          <t>/seller/features
/seller/features/rollout
/seller/features/schools/{}
/seller/plans
/seller/plans/{}
/seller/provisioning
/seller/provisioning/slug
/seller/provisioning/{}
… +9 more</t>
        </is>
      </c>
      <c r="N3" s="8" t="inlineStr">
        <is>
          <t>worker/src/routes/seller/features.ts
worker/src/routes/seller/groups.ts
worker/src/routes/seller/provisioning.ts
worker/src/routes/seller/tenants.ts</t>
        </is>
      </c>
      <c r="O3" s="8" t="n">
        <v>34</v>
      </c>
      <c r="P3" s="8" t="inlineStr">
        <is>
          <t>academic_years
board_memberships
campuses
classes
clearance_departments
employees
exams
fee_heads
files
institutions
… +24 more</t>
        </is>
      </c>
      <c r="Q3" s="8" t="inlineStr">
        <is>
          <t>feature_switch_cache.test.ts</t>
        </is>
      </c>
      <c r="R3" s="8" t="inlineStr">
        <is>
          <t>4 step(s) in its backend files answer "not ported" (see Not ported tab).</t>
        </is>
      </c>
      <c r="S3" s="8" t="inlineStr">
        <is>
          <t>Every school on this installation with its plan, student headcount, status and the date it joined. Search by name, open one to act inside it for support.</t>
        </is>
      </c>
    </row>
    <row r="4">
      <c r="A4" s="8" t="inlineStr">
        <is>
          <t>Seller Admin</t>
        </is>
      </c>
      <c r="B4" s="8" t="inlineStr">
        <is>
          <t>Schools</t>
        </is>
      </c>
      <c r="C4" s="8" t="inlineStr">
        <is>
          <t>Schools</t>
        </is>
      </c>
      <c r="D4" s="8" t="inlineStr">
        <is>
          <t>Add School</t>
        </is>
      </c>
      <c r="E4" s="10" t="inlineStr">
        <is>
          <t>Check</t>
        </is>
      </c>
      <c r="F4" s="8" t="inlineStr">
        <is>
          <t>core</t>
        </is>
      </c>
      <c r="G4" s="8" t="inlineStr">
        <is>
          <t>Must-Have</t>
        </is>
      </c>
      <c r="H4" s="8" t="inlineStr">
        <is>
          <t>platform</t>
        </is>
      </c>
      <c r="I4" s="8" t="inlineStr">
        <is>
          <t>seller_admin.schools.add_school</t>
        </is>
      </c>
      <c r="J4" s="8" t="inlineStr">
        <is>
          <t>web/src/features/seller/Tenants.tsx</t>
        </is>
      </c>
      <c r="K4" s="8" t="inlineStr"/>
      <c r="L4" s="8" t="n">
        <v>17</v>
      </c>
      <c r="M4" s="8" t="inlineStr">
        <is>
          <t>/seller/features
/seller/features/rollout
/seller/features/schools/{}
/seller/plans
/seller/plans/{}
/seller/provisioning
/seller/provisioning/slug
/seller/provisioning/{}
… +9 more</t>
        </is>
      </c>
      <c r="N4" s="8" t="inlineStr">
        <is>
          <t>worker/src/routes/seller/features.ts
worker/src/routes/seller/groups.ts
worker/src/routes/seller/provisioning.ts
worker/src/routes/seller/tenants.ts</t>
        </is>
      </c>
      <c r="O4" s="8" t="n">
        <v>34</v>
      </c>
      <c r="P4" s="8" t="inlineStr">
        <is>
          <t>academic_years
board_memberships
campuses
classes
clearance_departments
employees
exams
fee_heads
files
institutions
… +24 more</t>
        </is>
      </c>
      <c r="Q4" s="8" t="inlineStr">
        <is>
          <t>feature_switch_cache.test.ts</t>
        </is>
      </c>
      <c r="R4" s="8" t="inlineStr">
        <is>
          <t>4 step(s) in its backend files answer "not ported" (see Not ported tab).</t>
        </is>
      </c>
      <c r="S4" s="8" t="inlineStr">
        <is>
          <t>Create a school, its first campus and its first administrator in one step, and hand over the credentials.</t>
        </is>
      </c>
    </row>
    <row r="5">
      <c r="A5" s="8" t="inlineStr">
        <is>
          <t>Seller Admin</t>
        </is>
      </c>
      <c r="B5" s="8" t="inlineStr">
        <is>
          <t>Schools</t>
        </is>
      </c>
      <c r="C5" s="8" t="inlineStr">
        <is>
          <t>Schools</t>
        </is>
      </c>
      <c r="D5" s="8" t="inlineStr">
        <is>
          <t>Access</t>
        </is>
      </c>
      <c r="E5" s="10" t="inlineStr">
        <is>
          <t>Check</t>
        </is>
      </c>
      <c r="F5" s="8" t="inlineStr">
        <is>
          <t>core</t>
        </is>
      </c>
      <c r="G5" s="8" t="inlineStr">
        <is>
          <t>Must-Have</t>
        </is>
      </c>
      <c r="H5" s="8" t="inlineStr">
        <is>
          <t>platform</t>
        </is>
      </c>
      <c r="I5" s="8" t="inlineStr">
        <is>
          <t>seller_admin.schools.access</t>
        </is>
      </c>
      <c r="J5" s="8" t="inlineStr">
        <is>
          <t>web/src/features/seller/Tenants.tsx</t>
        </is>
      </c>
      <c r="K5" s="8" t="inlineStr"/>
      <c r="L5" s="8" t="n">
        <v>17</v>
      </c>
      <c r="M5" s="8" t="inlineStr">
        <is>
          <t>/seller/features
/seller/features/rollout
/seller/features/schools/{}
/seller/plans
/seller/plans/{}
/seller/provisioning
/seller/provisioning/slug
/seller/provisioning/{}
… +9 more</t>
        </is>
      </c>
      <c r="N5" s="8" t="inlineStr">
        <is>
          <t>worker/src/routes/seller/features.ts
worker/src/routes/seller/groups.ts
worker/src/routes/seller/provisioning.ts
worker/src/routes/seller/tenants.ts</t>
        </is>
      </c>
      <c r="O5" s="8" t="n">
        <v>34</v>
      </c>
      <c r="P5" s="8" t="inlineStr">
        <is>
          <t>academic_years
board_memberships
campuses
classes
clearance_departments
employees
exams
fee_heads
files
institutions
… +24 more</t>
        </is>
      </c>
      <c r="Q5" s="8" t="inlineStr">
        <is>
          <t>feature_switch_cache.test.ts</t>
        </is>
      </c>
      <c r="R5" s="8" t="inlineStr">
        <is>
          <t>4 step(s) in its backend files answer "not ported" (see Not ported tab).</t>
        </is>
      </c>
      <c r="S5" s="8" t="inlineStr">
        <is>
          <t>Who may sign in and who may not: suspend a school for non-payment or at the end of a contract, blocking sign-in while keeping every record, and let them back in on settlement. The suspension takes effect on the next request, not the next restart.</t>
        </is>
      </c>
    </row>
    <row r="6">
      <c r="A6" s="8" t="inlineStr">
        <is>
          <t>Seller Admin</t>
        </is>
      </c>
      <c r="B6" s="8" t="inlineStr">
        <is>
          <t>Schools</t>
        </is>
      </c>
      <c r="C6" s="8" t="inlineStr">
        <is>
          <t>Schools</t>
        </is>
      </c>
      <c r="D6" s="8" t="inlineStr">
        <is>
          <t>Setup</t>
        </is>
      </c>
      <c r="E6" s="11" t="inlineStr">
        <is>
          <t>Good</t>
        </is>
      </c>
      <c r="F6" s="8" t="inlineStr">
        <is>
          <t>core</t>
        </is>
      </c>
      <c r="G6" s="8" t="inlineStr">
        <is>
          <t>Should-Have</t>
        </is>
      </c>
      <c r="H6" s="8" t="inlineStr">
        <is>
          <t>platform</t>
        </is>
      </c>
      <c r="I6" s="8" t="inlineStr">
        <is>
          <t>seller_admin.schools.setup</t>
        </is>
      </c>
      <c r="J6" s="8" t="inlineStr">
        <is>
          <t>web/src/features/seller/Onboarding.tsx</t>
        </is>
      </c>
      <c r="K6" s="8" t="inlineStr"/>
      <c r="L6" s="8" t="n">
        <v>3</v>
      </c>
      <c r="M6" s="8" t="inlineStr">
        <is>
          <t>/seller/onboarding
/seller/onboarding/scan
/seller/onboarding/{}/nudge</t>
        </is>
      </c>
      <c r="N6" s="8" t="inlineStr">
        <is>
          <t>worker/src/routes/seller/onboarding.ts</t>
        </is>
      </c>
      <c r="O6" s="8" t="n">
        <v>13</v>
      </c>
      <c r="P6" s="8" t="inlineStr">
        <is>
          <t>billing_settings
employees
guardians
institutions
onboarding_progress
payments
roles
sections
sessions
student_attendance
… +3 more</t>
        </is>
      </c>
      <c r="Q6" s="8" t="inlineStr">
        <is>
          <t>billing.test.ts</t>
        </is>
      </c>
      <c r="R6" s="8" t="inlineStr"/>
      <c r="S6" s="8" t="inlineStr">
        <is>
          <t>How far each new school has got through setup, and which step it is stuck on, so an account manager can intervene before a stalled rollout becomes a cancellation.</t>
        </is>
      </c>
    </row>
    <row r="7">
      <c r="A7" s="8" t="inlineStr">
        <is>
          <t>Seller Admin</t>
        </is>
      </c>
      <c r="B7" s="8" t="inlineStr">
        <is>
          <t>Settings</t>
        </is>
      </c>
      <c r="C7" s="8" t="inlineStr">
        <is>
          <t>Delivery</t>
        </is>
      </c>
      <c r="D7" s="8" t="inlineStr">
        <is>
          <t>Password Reset Delivery</t>
        </is>
      </c>
      <c r="E7" s="10" t="inlineStr">
        <is>
          <t>Check</t>
        </is>
      </c>
      <c r="F7" s="8" t="inlineStr">
        <is>
          <t>core</t>
        </is>
      </c>
      <c r="G7" s="8" t="inlineStr">
        <is>
          <t>Must-Have</t>
        </is>
      </c>
      <c r="H7" s="8" t="inlineStr">
        <is>
          <t>platform</t>
        </is>
      </c>
      <c r="I7" s="8" t="inlineStr">
        <is>
          <t>seller_admin.delivery.password_reset_delivery</t>
        </is>
      </c>
      <c r="J7" s="8" t="inlineStr">
        <is>
          <t>web/src/features/seller/EduCloudChannels.tsx</t>
        </is>
      </c>
      <c r="K7" s="8" t="inlineStr"/>
      <c r="L7" s="8" t="n">
        <v>0</v>
      </c>
      <c r="M7" s="8" t="inlineStr"/>
      <c r="N7" s="8" t="inlineStr"/>
      <c r="O7" s="8" t="n">
        <v>0</v>
      </c>
      <c r="P7" s="8" t="inlineStr"/>
      <c r="Q7" s="8" t="inlineStr"/>
      <c r="R7" s="8" t="inlineStr">
        <is>
          <t>Screen found; its data calls are made in shared parts this scan did not follow. Open it to confirm.</t>
        </is>
      </c>
      <c r="S7" s="8" t="inlineStr">
        <is>
          <t>The seller's own email server and SMS channel, through which every school's password-reset links are sent. A school configures nothing for its staff and parents to get back in.</t>
        </is>
      </c>
    </row>
    <row r="8">
      <c r="A8" s="8" t="inlineStr">
        <is>
          <t>Seller Admin</t>
        </is>
      </c>
      <c r="B8" s="8" t="inlineStr">
        <is>
          <t>Settings</t>
        </is>
      </c>
      <c r="C8" s="8" t="inlineStr">
        <is>
          <t>Delivery</t>
        </is>
      </c>
      <c r="D8" s="8" t="inlineStr">
        <is>
          <t>XULO Channels</t>
        </is>
      </c>
      <c r="E8" s="10" t="inlineStr">
        <is>
          <t>Check</t>
        </is>
      </c>
      <c r="F8" s="8" t="inlineStr">
        <is>
          <t>core</t>
        </is>
      </c>
      <c r="G8" s="8" t="inlineStr">
        <is>
          <t>Must-Have</t>
        </is>
      </c>
      <c r="H8" s="8" t="inlineStr">
        <is>
          <t>platform</t>
        </is>
      </c>
      <c r="I8" s="8" t="inlineStr">
        <is>
          <t>seller_admin.delivery.educloud_channels</t>
        </is>
      </c>
      <c r="J8" s="8" t="inlineStr">
        <is>
          <t>web/src/features/seller/EduCloudChannels.tsx</t>
        </is>
      </c>
      <c r="K8" s="8" t="inlineStr"/>
      <c r="L8" s="8" t="n">
        <v>0</v>
      </c>
      <c r="M8" s="8" t="inlineStr"/>
      <c r="N8" s="8" t="inlineStr"/>
      <c r="O8" s="8" t="n">
        <v>0</v>
      </c>
      <c r="P8" s="8" t="inlineStr"/>
      <c r="Q8" s="8" t="inlineStr"/>
      <c r="R8" s="8" t="inlineStr">
        <is>
          <t>Screen found; its data calls are made in shared parts this scan did not follow. Open it to confirm.</t>
        </is>
      </c>
      <c r="S8" s="8" t="inlineStr">
        <is>
          <t>The seller's own SMS, WhatsApp and email accounts, through which every school on credits sends. A school that chose to send through XULO sends nothing until these are set up.</t>
        </is>
      </c>
    </row>
    <row r="9">
      <c r="A9" s="8" t="inlineStr">
        <is>
          <t>Seller Admin</t>
        </is>
      </c>
      <c r="B9" s="8" t="inlineStr">
        <is>
          <t>Subscriptions &amp; Billing</t>
        </is>
      </c>
      <c r="C9" s="8" t="inlineStr">
        <is>
          <t>Subscriptions &amp; Billing</t>
        </is>
      </c>
      <c r="D9" s="8" t="inlineStr">
        <is>
          <t>Plans &amp; Pricing</t>
        </is>
      </c>
      <c r="E9" s="10" t="inlineStr">
        <is>
          <t>Check</t>
        </is>
      </c>
      <c r="F9" s="8" t="inlineStr">
        <is>
          <t>core</t>
        </is>
      </c>
      <c r="G9" s="8" t="inlineStr">
        <is>
          <t>Must-Have</t>
        </is>
      </c>
      <c r="H9" s="8" t="inlineStr">
        <is>
          <t>platform</t>
        </is>
      </c>
      <c r="I9" s="8" t="inlineStr">
        <is>
          <t>seller_admin.subscriptions_billing.plans_pricing</t>
        </is>
      </c>
      <c r="J9" s="8" t="inlineStr">
        <is>
          <t>web/src/features/seller/Tenants.tsx</t>
        </is>
      </c>
      <c r="K9" s="8" t="inlineStr"/>
      <c r="L9" s="8" t="n">
        <v>17</v>
      </c>
      <c r="M9" s="8" t="inlineStr">
        <is>
          <t>/seller/features
/seller/features/rollout
/seller/features/schools/{}
/seller/plans
/seller/plans/{}
/seller/provisioning
/seller/provisioning/slug
/seller/provisioning/{}
… +9 more</t>
        </is>
      </c>
      <c r="N9" s="8" t="inlineStr">
        <is>
          <t>worker/src/routes/seller/features.ts
worker/src/routes/seller/groups.ts
worker/src/routes/seller/provisioning.ts
worker/src/routes/seller/tenants.ts</t>
        </is>
      </c>
      <c r="O9" s="8" t="n">
        <v>34</v>
      </c>
      <c r="P9" s="8" t="inlineStr">
        <is>
          <t>academic_years
board_memberships
campuses
classes
clearance_departments
employees
exams
fee_heads
files
institutions
… +24 more</t>
        </is>
      </c>
      <c r="Q9" s="8" t="inlineStr">
        <is>
          <t>feature_switch_cache.test.ts</t>
        </is>
      </c>
      <c r="R9" s="8" t="inlineStr">
        <is>
          <t>4 step(s) in its backend files answer "not ported" (see Not ported tab).</t>
        </is>
      </c>
      <c r="S9" s="8" t="inlineStr">
        <is>
          <t>Define plans with a student cap, included modules and an annual or per-student price.</t>
        </is>
      </c>
    </row>
    <row r="10">
      <c r="A10" s="8" t="inlineStr">
        <is>
          <t>Seller Admin</t>
        </is>
      </c>
      <c r="B10" s="8" t="inlineStr">
        <is>
          <t>Subscriptions &amp; Billing</t>
        </is>
      </c>
      <c r="C10" s="8" t="inlineStr">
        <is>
          <t>Subscriptions &amp; Billing</t>
        </is>
      </c>
      <c r="D10" s="8" t="inlineStr">
        <is>
          <t>Subscription Ledger</t>
        </is>
      </c>
      <c r="E10" s="11" t="inlineStr">
        <is>
          <t>Good</t>
        </is>
      </c>
      <c r="F10" s="8" t="inlineStr">
        <is>
          <t>core</t>
        </is>
      </c>
      <c r="G10" s="8" t="inlineStr">
        <is>
          <t>Must-Have</t>
        </is>
      </c>
      <c r="H10" s="8" t="inlineStr">
        <is>
          <t>platform</t>
        </is>
      </c>
      <c r="I10" s="8" t="inlineStr">
        <is>
          <t>seller_admin.subscriptions_billing.subscription_ledger</t>
        </is>
      </c>
      <c r="J10" s="8" t="inlineStr">
        <is>
          <t>web/src/features/seller/Billing.tsx</t>
        </is>
      </c>
      <c r="K10" s="8" t="inlineStr"/>
      <c r="L10" s="8" t="n">
        <v>7</v>
      </c>
      <c r="M10" s="8" t="inlineStr">
        <is>
          <t>/seller/billing/invoices
/seller/billing/invoices/{}/payments
/seller/billing/invoices/{}/pdf
/seller/billing/invoices/{}/void
/seller/billing/run
/seller/billing/schools
/seller/billing/settings</t>
        </is>
      </c>
      <c r="N10" s="8" t="inlineStr">
        <is>
          <t>worker/src/routes/seller/billing.ts</t>
        </is>
      </c>
      <c r="O10" s="8" t="n">
        <v>12</v>
      </c>
      <c r="P10" s="8" t="inlineStr">
        <is>
          <t>billing_gateway_orders
billing_invoices
billing_payments
billing_reminders
billing_settings
billing_status_log
institutions
plans
roles
subscriptions
… +2 more</t>
        </is>
      </c>
      <c r="Q10" s="8" t="inlineStr">
        <is>
          <t>billing.test.ts</t>
        </is>
      </c>
      <c r="R10" s="8" t="inlineStr"/>
      <c r="S10" s="8" t="inlineStr">
        <is>
          <t>Each school's plan, term dates, renewal date and invoice history.</t>
        </is>
      </c>
    </row>
    <row r="11">
      <c r="A11" s="8" t="inlineStr">
        <is>
          <t>Seller Admin</t>
        </is>
      </c>
      <c r="B11" s="8" t="inlineStr">
        <is>
          <t>Subscriptions &amp; Billing</t>
        </is>
      </c>
      <c r="C11" s="8" t="inlineStr">
        <is>
          <t>Subscriptions &amp; Billing</t>
        </is>
      </c>
      <c r="D11" s="8" t="inlineStr">
        <is>
          <t>License &amp; Capacity</t>
        </is>
      </c>
      <c r="E11" s="10" t="inlineStr">
        <is>
          <t>Check</t>
        </is>
      </c>
      <c r="F11" s="8" t="inlineStr">
        <is>
          <t>core</t>
        </is>
      </c>
      <c r="G11" s="8" t="inlineStr">
        <is>
          <t>Must-Have</t>
        </is>
      </c>
      <c r="H11" s="8" t="inlineStr">
        <is>
          <t>platform</t>
        </is>
      </c>
      <c r="I11" s="8" t="inlineStr">
        <is>
          <t>seller_admin.subscriptions_billing.license_capacity</t>
        </is>
      </c>
      <c r="J11" s="8" t="inlineStr">
        <is>
          <t>web/src/features/seller/Tenants.tsx</t>
        </is>
      </c>
      <c r="K11" s="8" t="inlineStr"/>
      <c r="L11" s="8" t="n">
        <v>17</v>
      </c>
      <c r="M11" s="8" t="inlineStr">
        <is>
          <t>/seller/features
/seller/features/rollout
/seller/features/schools/{}
/seller/plans
/seller/plans/{}
/seller/provisioning
/seller/provisioning/slug
/seller/provisioning/{}
… +9 more</t>
        </is>
      </c>
      <c r="N11" s="8" t="inlineStr">
        <is>
          <t>worker/src/routes/seller/features.ts
worker/src/routes/seller/groups.ts
worker/src/routes/seller/provisioning.ts
worker/src/routes/seller/tenants.ts</t>
        </is>
      </c>
      <c r="O11" s="8" t="n">
        <v>34</v>
      </c>
      <c r="P11" s="8" t="inlineStr">
        <is>
          <t>academic_years
board_memberships
campuses
classes
clearance_departments
employees
exams
fee_heads
files
institutions
… +24 more</t>
        </is>
      </c>
      <c r="Q11" s="8" t="inlineStr">
        <is>
          <t>feature_switch_cache.test.ts</t>
        </is>
      </c>
      <c r="R11" s="8" t="inlineStr">
        <is>
          <t>4 step(s) in its backend files answer "not ported" (see Not ported tab).</t>
        </is>
      </c>
      <c r="S11" s="8" t="inlineStr">
        <is>
          <t>Schools past the students their plan allows, and those inside the renewal window, with the revenue at risk against each. Counted from the live headcount, so a school that admitted forty children this morning shows forty seats used.</t>
        </is>
      </c>
    </row>
    <row r="12">
      <c r="A12" s="8" t="inlineStr">
        <is>
          <t>Seller Admin</t>
        </is>
      </c>
      <c r="B12" s="8" t="inlineStr">
        <is>
          <t>Subscriptions &amp; Billing</t>
        </is>
      </c>
      <c r="C12" s="8" t="inlineStr">
        <is>
          <t>Subscriptions &amp; Billing</t>
        </is>
      </c>
      <c r="D12" s="8" t="inlineStr">
        <is>
          <t>Message Credits</t>
        </is>
      </c>
      <c r="E12" s="11" t="inlineStr">
        <is>
          <t>Good</t>
        </is>
      </c>
      <c r="F12" s="8" t="inlineStr">
        <is>
          <t>core</t>
        </is>
      </c>
      <c r="G12" s="8" t="inlineStr">
        <is>
          <t>Must-Have</t>
        </is>
      </c>
      <c r="H12" s="8" t="inlineStr">
        <is>
          <t>platform</t>
        </is>
      </c>
      <c r="I12" s="8" t="inlineStr">
        <is>
          <t>seller_admin.subscriptions_billing.message_credits</t>
        </is>
      </c>
      <c r="J12" s="8" t="inlineStr">
        <is>
          <t>web/src/features/seller/RechargeQueue.tsx</t>
        </is>
      </c>
      <c r="K12" s="8" t="inlineStr"/>
      <c r="L12" s="8" t="n">
        <v>3</v>
      </c>
      <c r="M12" s="8" t="inlineStr">
        <is>
          <t>/admin/messaging
/seller/recharges
/seller/recharges/{}</t>
        </is>
      </c>
      <c r="N12" s="8" t="inlineStr">
        <is>
          <t>worker/src/routes/admin/messaging.ts
worker/src/routes/admin/msg_plans.ts
worker/src/routes/admin/whatsapp.ts
worker/src/routes/comms/delivery.ts
worker/src/routes/seller/platform.ts</t>
        </is>
      </c>
      <c r="O12" s="8" t="n">
        <v>39</v>
      </c>
      <c r="P12" s="8" t="inlineStr">
        <is>
          <t>announcements
classes
dead_letters
employees
enrollments
files
guardians
institutions
integrations
invoices
… +29 more</t>
        </is>
      </c>
      <c r="Q12" s="8" t="inlineStr"/>
      <c r="R12" s="8" t="inlineStr"/>
      <c r="S12" s="8" t="inlineStr">
        <is>
          <t>Every school's request for more SMS or WhatsApp messages, oldest first, with what was asked and by whom. Grant it in full or in part and the credits land the same moment; decline it with a reason the school reads. Nothing here moves money, the unit is messages, and what a bundle cost lives in whatever you invoice with.</t>
        </is>
      </c>
    </row>
    <row r="13">
      <c r="A13" s="8" t="inlineStr">
        <is>
          <t>Seller Admin</t>
        </is>
      </c>
      <c r="B13" s="8" t="inlineStr">
        <is>
          <t>Entitlements</t>
        </is>
      </c>
      <c r="C13" s="8" t="inlineStr">
        <is>
          <t>Entitlements</t>
        </is>
      </c>
      <c r="D13" s="8" t="inlineStr">
        <is>
          <t>Module Entitlement Matrix</t>
        </is>
      </c>
      <c r="E13" s="11" t="inlineStr">
        <is>
          <t>Good</t>
        </is>
      </c>
      <c r="F13" s="8" t="inlineStr">
        <is>
          <t>core</t>
        </is>
      </c>
      <c r="G13" s="8" t="inlineStr">
        <is>
          <t>Must-Have</t>
        </is>
      </c>
      <c r="H13" s="8" t="inlineStr">
        <is>
          <t>platform</t>
        </is>
      </c>
      <c r="I13" s="8" t="inlineStr">
        <is>
          <t>seller_admin.entitlements.module_entitlement_matrix</t>
        </is>
      </c>
      <c r="J13" s="8" t="inlineStr">
        <is>
          <t>web/src/features/seller/Entitlements.tsx</t>
        </is>
      </c>
      <c r="K13" s="8" t="inlineStr"/>
      <c r="L13" s="8" t="n">
        <v>1</v>
      </c>
      <c r="M13" s="8" t="inlineStr">
        <is>
          <t>/admin/platform</t>
        </is>
      </c>
      <c r="N13" s="8" t="inlineStr">
        <is>
          <t>worker/src/routes/admin/platform_config.ts</t>
        </is>
      </c>
      <c r="O13" s="8" t="n">
        <v>35</v>
      </c>
      <c r="P13" s="8" t="inlineStr">
        <is>
          <t>academic_calendar_models
academic_years
audit_log
auth_policies
backup_policies
backup_runs
board_configurations
board_disclosures
branding_profiles
campuses
… +25 more</t>
        </is>
      </c>
      <c r="Q13" s="8" t="inlineStr">
        <is>
          <t>platform_staff.test.ts</t>
        </is>
      </c>
      <c r="R13" s="8" t="inlineStr"/>
      <c r="S13" s="8" t="inlineStr">
        <is>
          <t>Which modules each plan and each school may use; switching one off hides it from that school's navigation.</t>
        </is>
      </c>
    </row>
    <row r="14">
      <c r="A14" s="8" t="inlineStr">
        <is>
          <t>Seller Admin</t>
        </is>
      </c>
      <c r="B14" s="8" t="inlineStr">
        <is>
          <t>Usage &amp; Health</t>
        </is>
      </c>
      <c r="C14" s="8" t="inlineStr">
        <is>
          <t>Usage &amp; Health</t>
        </is>
      </c>
      <c r="D14" s="8" t="inlineStr">
        <is>
          <t>Adoption Metrics</t>
        </is>
      </c>
      <c r="E14" s="11" t="inlineStr">
        <is>
          <t>Good</t>
        </is>
      </c>
      <c r="F14" s="8" t="inlineStr">
        <is>
          <t>core</t>
        </is>
      </c>
      <c r="G14" s="8" t="inlineStr">
        <is>
          <t>Should-Have</t>
        </is>
      </c>
      <c r="H14" s="8" t="inlineStr">
        <is>
          <t>platform</t>
        </is>
      </c>
      <c r="I14" s="8" t="inlineStr">
        <is>
          <t>seller_admin.usage_health.adoption_metrics</t>
        </is>
      </c>
      <c r="J14" s="8" t="inlineStr">
        <is>
          <t>web/src/features/seller/Adoption.tsx</t>
        </is>
      </c>
      <c r="K14" s="8" t="inlineStr"/>
      <c r="L14" s="8" t="n">
        <v>1</v>
      </c>
      <c r="M14" s="8" t="inlineStr">
        <is>
          <t>/admin/platform</t>
        </is>
      </c>
      <c r="N14" s="8" t="inlineStr">
        <is>
          <t>worker/src/routes/admin/platform_config.ts</t>
        </is>
      </c>
      <c r="O14" s="8" t="n">
        <v>35</v>
      </c>
      <c r="P14" s="8" t="inlineStr">
        <is>
          <t>academic_calendar_models
academic_years
audit_log
auth_policies
backup_policies
backup_runs
board_configurations
board_disclosures
branding_profiles
campuses
… +25 more</t>
        </is>
      </c>
      <c r="Q14" s="8" t="inlineStr">
        <is>
          <t>platform_staff.test.ts</t>
        </is>
      </c>
      <c r="R14" s="8" t="inlineStr"/>
      <c r="S14" s="8" t="inlineStr">
        <is>
          <t>Sign-ins, active users and transactions per school per week, the leading indicator of renewal.</t>
        </is>
      </c>
    </row>
    <row r="15">
      <c r="A15" s="8" t="inlineStr">
        <is>
          <t>Seller Admin</t>
        </is>
      </c>
      <c r="B15" s="8" t="inlineStr">
        <is>
          <t>Usage &amp; Health</t>
        </is>
      </c>
      <c r="C15" s="8" t="inlineStr">
        <is>
          <t>Usage &amp; Health</t>
        </is>
      </c>
      <c r="D15" s="8" t="inlineStr">
        <is>
          <t>Instance Health</t>
        </is>
      </c>
      <c r="E15" s="11" t="inlineStr">
        <is>
          <t>Good</t>
        </is>
      </c>
      <c r="F15" s="8" t="inlineStr">
        <is>
          <t>core</t>
        </is>
      </c>
      <c r="G15" s="8" t="inlineStr">
        <is>
          <t>Must-Have</t>
        </is>
      </c>
      <c r="H15" s="8" t="inlineStr">
        <is>
          <t>platform</t>
        </is>
      </c>
      <c r="I15" s="8" t="inlineStr">
        <is>
          <t>seller_admin.usage_health.instance_health</t>
        </is>
      </c>
      <c r="J15" s="8" t="inlineStr">
        <is>
          <t>web/src/features/seller/Backups.tsx</t>
        </is>
      </c>
      <c r="K15" s="8" t="inlineStr"/>
      <c r="L15" s="8" t="n">
        <v>15</v>
      </c>
      <c r="M15" s="8" t="inlineStr">
        <is>
          <t>/admin/platform
/seller/backups
/seller/backups/fleet
/seller/backups/run
/seller/events
/seller/health
/seller/health/refresh
/seller/health/{}
… +7 more</t>
        </is>
      </c>
      <c r="N15" s="8" t="inlineStr">
        <is>
          <t>worker/src/routes/admin/platform_config.ts
worker/src/routes/seller/health.ts
worker/src/routes/seller/lifecycle.ts
worker/src/routes/seller/platform.ts</t>
        </is>
      </c>
      <c r="O15" s="8" t="n">
        <v>56</v>
      </c>
      <c r="P15" s="8" t="inlineStr">
        <is>
          <t>academic_calendar_models
academic_years
audit_log
auth_policies
backup_policies
backup_runs
backups
board_configurations
board_disclosures
branding_profiles
… +46 more</t>
        </is>
      </c>
      <c r="Q15" s="8" t="inlineStr">
        <is>
          <t>platform_staff.test.ts</t>
        </is>
      </c>
      <c r="R15" s="8" t="inlineStr"/>
      <c r="S15" s="8" t="inlineStr">
        <is>
          <t>Error rates, queue depth and slow endpoints per tenant, so the vendor sees a problem before the school reports it.</t>
        </is>
      </c>
    </row>
    <row r="16">
      <c r="A16" s="8" t="inlineStr">
        <is>
          <t>Seller Admin</t>
        </is>
      </c>
      <c r="B16" s="8" t="inlineStr">
        <is>
          <t>Usage &amp; Health</t>
        </is>
      </c>
      <c r="C16" s="8" t="inlineStr">
        <is>
          <t>Usage &amp; Health</t>
        </is>
      </c>
      <c r="D16" s="8" t="inlineStr">
        <is>
          <t>Usage &amp; Cost</t>
        </is>
      </c>
      <c r="E16" s="11" t="inlineStr">
        <is>
          <t>Good</t>
        </is>
      </c>
      <c r="F16" s="8" t="inlineStr">
        <is>
          <t>core</t>
        </is>
      </c>
      <c r="G16" s="8" t="inlineStr">
        <is>
          <t>Must-Have</t>
        </is>
      </c>
      <c r="H16" s="8" t="inlineStr">
        <is>
          <t>platform</t>
        </is>
      </c>
      <c r="I16" s="8" t="inlineStr">
        <is>
          <t>seller_admin.usage_health.usage_cost</t>
        </is>
      </c>
      <c r="J16" s="8" t="inlineStr">
        <is>
          <t>web/src/features/seller/UsageCost.tsx</t>
        </is>
      </c>
      <c r="K16" s="8" t="inlineStr"/>
      <c r="L16" s="8" t="n">
        <v>2</v>
      </c>
      <c r="M16" s="8" t="inlineStr">
        <is>
          <t>/seller/costs
/seller/usage</t>
        </is>
      </c>
      <c r="N16" s="8" t="inlineStr">
        <is>
          <t>worker/src/routes/seller/platform.ts</t>
        </is>
      </c>
      <c r="O16" s="8" t="n">
        <v>19</v>
      </c>
      <c r="P16" s="8" t="inlineStr">
        <is>
          <t>employees
files
institutions
invoices
marks
message_credit_entries
message_credit_requests
message_credits
message_log
notifications
… +9 more</t>
        </is>
      </c>
      <c r="Q16" s="8" t="inlineStr"/>
      <c r="R16" s="8" t="inlineStr"/>
      <c r="S16" s="8" t="inlineStr">
        <is>
          <t>What each school actually uses, files stored, records held, messages sent, against what the installation costs to run. Enter the monthly bill once and every school's share is read against what it pays, so a customer's price can be seen next to its cost.</t>
        </is>
      </c>
    </row>
    <row r="17">
      <c r="A17" s="8" t="inlineStr">
        <is>
          <t>Seller Admin</t>
        </is>
      </c>
      <c r="B17" s="8" t="inlineStr">
        <is>
          <t>Support</t>
        </is>
      </c>
      <c r="C17" s="8" t="inlineStr">
        <is>
          <t>Support</t>
        </is>
      </c>
      <c r="D17" s="8" t="inlineStr">
        <is>
          <t>Support</t>
        </is>
      </c>
      <c r="E17" s="11" t="inlineStr">
        <is>
          <t>Good</t>
        </is>
      </c>
      <c r="F17" s="8" t="inlineStr">
        <is>
          <t>core</t>
        </is>
      </c>
      <c r="G17" s="8" t="inlineStr">
        <is>
          <t>Must-Have</t>
        </is>
      </c>
      <c r="H17" s="8" t="inlineStr">
        <is>
          <t>platform</t>
        </is>
      </c>
      <c r="I17" s="8" t="inlineStr">
        <is>
          <t>seller_admin.support.support</t>
        </is>
      </c>
      <c r="J17" s="8" t="inlineStr">
        <is>
          <t>web/src/features/seller/SupportTickets.tsx</t>
        </is>
      </c>
      <c r="K17" s="8" t="inlineStr"/>
      <c r="L17" s="8" t="n">
        <v>2</v>
      </c>
      <c r="M17" s="8" t="inlineStr">
        <is>
          <t>/admin/platform
/admin/platform/seller/tickets</t>
        </is>
      </c>
      <c r="N17" s="8" t="inlineStr">
        <is>
          <t>worker/src/routes/admin/platform_config.ts</t>
        </is>
      </c>
      <c r="O17" s="8" t="n">
        <v>35</v>
      </c>
      <c r="P17" s="8" t="inlineStr">
        <is>
          <t>academic_calendar_models
academic_years
audit_log
auth_policies
backup_policies
backup_runs
board_configurations
board_disclosures
branding_profiles
campuses
… +25 more</t>
        </is>
      </c>
      <c r="Q17" s="8" t="inlineStr">
        <is>
          <t>platform_staff.test.ts</t>
        </is>
      </c>
      <c r="R17" s="8" t="inlineStr"/>
      <c r="S17" s="8" t="inlineStr">
        <is>
          <t>Tickets raised by schools, with the tenant, severity, owner and time open.</t>
        </is>
      </c>
    </row>
    <row r="18">
      <c r="A18" s="8" t="inlineStr">
        <is>
          <t>Seller Admin</t>
        </is>
      </c>
      <c r="B18" s="8" t="inlineStr">
        <is>
          <t>Support</t>
        </is>
      </c>
      <c r="C18" s="8" t="inlineStr">
        <is>
          <t>Support</t>
        </is>
      </c>
      <c r="D18" s="8" t="inlineStr">
        <is>
          <t>Audit</t>
        </is>
      </c>
      <c r="E18" s="10" t="inlineStr">
        <is>
          <t>Check</t>
        </is>
      </c>
      <c r="F18" s="8" t="inlineStr">
        <is>
          <t>core</t>
        </is>
      </c>
      <c r="G18" s="8" t="inlineStr">
        <is>
          <t>Must-Have</t>
        </is>
      </c>
      <c r="H18" s="8" t="inlineStr">
        <is>
          <t>platform</t>
        </is>
      </c>
      <c r="I18" s="8" t="inlineStr">
        <is>
          <t>seller_admin.support.audit</t>
        </is>
      </c>
      <c r="J18" s="8" t="inlineStr">
        <is>
          <t>web/src/features/seller/SellerAudit.tsx</t>
        </is>
      </c>
      <c r="K18" s="8" t="inlineStr"/>
      <c r="L18" s="8" t="n">
        <v>5</v>
      </c>
      <c r="M18" s="8" t="inlineStr">
        <is>
          <t>/admin/institutions
/admin/platform
/admin/platform/impersonation
/seller/audit
/seller/tenants</t>
        </is>
      </c>
      <c r="N18" s="8" t="inlineStr">
        <is>
          <t>worker/src/routes/admin/platform_config.ts
worker/src/routes/admin/users.ts
worker/src/routes/seller/lifecycle.ts
worker/src/routes/seller/tenants.ts</t>
        </is>
      </c>
      <c r="O18" s="8" t="n">
        <v>65</v>
      </c>
      <c r="P18" s="8" t="inlineStr">
        <is>
          <t>academic_calendar_models
academic_years
applications
audit_log
auth_policies
backup_policies
backup_runs
backups
board_configurations
board_disclosures
… +55 more</t>
        </is>
      </c>
      <c r="Q18" s="8" t="inlineStr">
        <is>
          <t>platform_staff.test.ts</t>
        </is>
      </c>
      <c r="R18" s="8" t="inlineStr">
        <is>
          <t>4 step(s) in its backend files answer "not ported" (see Not ported tab).</t>
        </is>
      </c>
      <c r="S18" s="8" t="inlineStr">
        <is>
          <t>Act as a school's administrator to reproduce a fault, with every such session recorded and visible to that school.</t>
        </is>
      </c>
    </row>
    <row r="19">
      <c r="A19" s="8" t="inlineStr">
        <is>
          <t>Seller Admin</t>
        </is>
      </c>
      <c r="B19" s="8" t="inlineStr">
        <is>
          <t>Support</t>
        </is>
      </c>
      <c r="C19" s="8" t="inlineStr">
        <is>
          <t>Support</t>
        </is>
      </c>
      <c r="D19" s="8" t="inlineStr">
        <is>
          <t>Support Team</t>
        </is>
      </c>
      <c r="E19" s="10" t="inlineStr">
        <is>
          <t>Check</t>
        </is>
      </c>
      <c r="F19" s="8" t="inlineStr">
        <is>
          <t>core</t>
        </is>
      </c>
      <c r="G19" s="8" t="inlineStr">
        <is>
          <t>Must-Have</t>
        </is>
      </c>
      <c r="H19" s="8" t="inlineStr">
        <is>
          <t>platform</t>
        </is>
      </c>
      <c r="I19" s="8" t="inlineStr">
        <is>
          <t>seller_admin.support.support_team</t>
        </is>
      </c>
      <c r="J19" s="8" t="inlineStr">
        <is>
          <t>web/src/features/seller/SupportTeam.tsx</t>
        </is>
      </c>
      <c r="K19" s="8" t="inlineStr"/>
      <c r="L19" s="8" t="n">
        <v>4</v>
      </c>
      <c r="M19" s="8" t="inlineStr">
        <is>
          <t>/seller/staff
/seller/staff/{}/password
/seller/staff/{}/role
/seller/staff/{}/status</t>
        </is>
      </c>
      <c r="N19" s="8" t="inlineStr">
        <is>
          <t>worker/src/routes/seller/tenants.ts</t>
        </is>
      </c>
      <c r="O19" s="8" t="n">
        <v>28</v>
      </c>
      <c r="P19" s="8" t="inlineStr">
        <is>
          <t>academic_years
board_memberships
campuses
classes
clearance_departments
employees
exams
fee_heads
files
institutions
… +18 more</t>
        </is>
      </c>
      <c r="Q19" s="8" t="inlineStr">
        <is>
          <t>platform_staff.test.ts</t>
        </is>
      </c>
      <c r="R19" s="8" t="inlineStr">
        <is>
          <t>4 step(s) in its backend files answer "not ported" (see Not ported tab).</t>
        </is>
      </c>
      <c r="S19" s="8" t="inlineStr">
        <is>
          <t>Create and list the vendor's own support-desk logins, read-only platform accounts that reach across schools to reproduce faults but see no child's records. Add one with a name and an email or phone, and hand over the one-time password shown once.</t>
        </is>
      </c>
    </row>
    <row r="20">
      <c r="A20" s="8" t="inlineStr">
        <is>
          <t>Seller Admin</t>
        </is>
      </c>
      <c r="B20" s="8" t="inlineStr">
        <is>
          <t>Support</t>
        </is>
      </c>
      <c r="C20" s="8" t="inlineStr">
        <is>
          <t>Support</t>
        </is>
      </c>
      <c r="D20" s="8" t="inlineStr">
        <is>
          <t>Board Members</t>
        </is>
      </c>
      <c r="E20" s="10" t="inlineStr">
        <is>
          <t>Check</t>
        </is>
      </c>
      <c r="F20" s="8" t="inlineStr">
        <is>
          <t>core</t>
        </is>
      </c>
      <c r="G20" s="8" t="inlineStr">
        <is>
          <t>Must-Have</t>
        </is>
      </c>
      <c r="H20" s="8" t="inlineStr">
        <is>
          <t>platform</t>
        </is>
      </c>
      <c r="I20" s="8" t="inlineStr">
        <is>
          <t>seller_admin.support.board_members</t>
        </is>
      </c>
      <c r="J20" s="8" t="inlineStr">
        <is>
          <t>web/src/features/seller/BoardMembers.tsx</t>
        </is>
      </c>
      <c r="K20" s="8" t="inlineStr"/>
      <c r="L20" s="8" t="n">
        <v>3</v>
      </c>
      <c r="M20" s="8" t="inlineStr">
        <is>
          <t>/admin/institutions
/seller/board-members
/seller/board-members/{}/institutions/{}</t>
        </is>
      </c>
      <c r="N20" s="8" t="inlineStr">
        <is>
          <t>worker/src/routes/admin/users.ts
worker/src/routes/seller/tenants.ts</t>
        </is>
      </c>
      <c r="O20" s="8" t="n">
        <v>42</v>
      </c>
      <c r="P20" s="8" t="inlineStr">
        <is>
          <t>academic_years
applications
board_memberships
campuses
classes
clearance_departments
employees
enquiries
enrollments
exams
… +32 more</t>
        </is>
      </c>
      <c r="Q20" s="8" t="inlineStr"/>
      <c r="R20" s="8" t="inlineStr">
        <is>
          <t>4 step(s) in its backend files answer "not ported" (see Not ported tab).</t>
        </is>
      </c>
      <c r="S20" s="8" t="inlineStr">
        <is>
          <t>People who oversee several schools at once, a trust's committee, a group director. Assign one to any set of schools with a name and an email or phone; they get an ordinary account holding board_member in each and switch between them from the header. A new account's one-time password is shown once. Remove a school to drop that membership.</t>
        </is>
      </c>
    </row>
    <row r="21">
      <c r="A21" s="8" t="inlineStr">
        <is>
          <t>Super Admin</t>
        </is>
      </c>
      <c r="B21" s="8" t="inlineStr">
        <is>
          <t>Dashboard</t>
        </is>
      </c>
      <c r="C21" s="8" t="inlineStr">
        <is>
          <t>Dashboard</t>
        </is>
      </c>
      <c r="D21" s="8" t="inlineStr">
        <is>
          <t>Dashboard</t>
        </is>
      </c>
      <c r="E21" s="11" t="inlineStr">
        <is>
          <t>Good</t>
        </is>
      </c>
      <c r="F21" s="8" t="inlineStr">
        <is>
          <t>core</t>
        </is>
      </c>
      <c r="G21" s="8" t="inlineStr">
        <is>
          <t>Must-Have</t>
        </is>
      </c>
      <c r="H21" s="8" t="inlineStr">
        <is>
          <t>platform</t>
        </is>
      </c>
      <c r="I21" s="8" t="inlineStr">
        <is>
          <t>super_admin.dashboard.dashboard</t>
        </is>
      </c>
      <c r="J21" s="8" t="inlineStr">
        <is>
          <t>web/src/features/super_admin/PlatformDashboard.tsx</t>
        </is>
      </c>
      <c r="K21" s="8" t="inlineStr"/>
      <c r="L21" s="8" t="n">
        <v>2</v>
      </c>
      <c r="M21" s="8" t="inlineStr">
        <is>
          <t>/admin/platform-dashboard
/date-ranges</t>
        </is>
      </c>
      <c r="N21" s="8" t="inlineStr">
        <is>
          <t>worker/src/routes/admin/users.ts
worker/src/routes/misc/shell.ts</t>
        </is>
      </c>
      <c r="O21" s="8" t="n">
        <v>38</v>
      </c>
      <c r="P21" s="8" t="inlineStr">
        <is>
          <t>academic_years
applications
campuses
class_subjects
classes
employees
enquiries
enrollments
guardians
hostel_rooms
… +28 more</t>
        </is>
      </c>
      <c r="Q21" s="8" t="inlineStr"/>
      <c r="R21" s="8" t="inlineStr"/>
      <c r="S21" s="8" t="inlineStr">
        <is>
          <t>Every campus on one page, roll, staff, attendance taken today, fees collected and outstanding, ordered so the campus needing attention comes first. Open a campus card for its own totals, or step into that school to work inside it.</t>
        </is>
      </c>
    </row>
    <row r="22">
      <c r="A22" s="8" t="inlineStr">
        <is>
          <t>Super Admin</t>
        </is>
      </c>
      <c r="B22" s="8" t="inlineStr">
        <is>
          <t>Dashboard</t>
        </is>
      </c>
      <c r="C22" s="8" t="inlineStr">
        <is>
          <t>Dashboard</t>
        </is>
      </c>
      <c r="D22" s="8" t="inlineStr">
        <is>
          <t>System health</t>
        </is>
      </c>
      <c r="E22" s="10" t="inlineStr">
        <is>
          <t>Check</t>
        </is>
      </c>
      <c r="F22" s="8" t="inlineStr">
        <is>
          <t>core</t>
        </is>
      </c>
      <c r="G22" s="8" t="inlineStr">
        <is>
          <t>Must-Have</t>
        </is>
      </c>
      <c r="H22" s="8" t="inlineStr">
        <is>
          <t>institution</t>
        </is>
      </c>
      <c r="I22" s="8" t="inlineStr">
        <is>
          <t>super_admin.dashboard.system_health</t>
        </is>
      </c>
      <c r="J22" s="8" t="inlineStr">
        <is>
          <t>web/src/features/shared/Jobs.tsx</t>
        </is>
      </c>
      <c r="K22" s="8" t="inlineStr"/>
      <c r="L22" s="8" t="n">
        <v>4</v>
      </c>
      <c r="M22" s="8" t="inlineStr">
        <is>
          <t>/academics/sections
/jobs
/jobs/queues
/jobs/{}</t>
        </is>
      </c>
      <c r="N22" s="8" t="inlineStr">
        <is>
          <t>worker/src/routes/academics.ts
worker/src/routes/daily.ts</t>
        </is>
      </c>
      <c r="O22" s="8" t="n">
        <v>59</v>
      </c>
      <c r="P22" s="8" t="inlineStr">
        <is>
          <t>absence_followup_section_done
academic_years
activities
applications
attendance_corrections
bell_schedules
board_memberships
campuses
class_subjects
classes
… +49 more</t>
        </is>
      </c>
      <c r="Q22" s="8" t="inlineStr">
        <is>
          <t>access.test.ts
background.test.ts</t>
        </is>
      </c>
      <c r="R22" s="8" t="inlineStr">
        <is>
          <t>1 step(s) in its backend files answer "not ported" (see Not ported tab).</t>
        </is>
      </c>
      <c r="S22" s="8" t="inlineStr">
        <is>
          <t>Background jobs, queue depth, failed integrations and recent errors.</t>
        </is>
      </c>
    </row>
    <row r="23">
      <c r="A23" s="8" t="inlineStr">
        <is>
          <t>Super Admin</t>
        </is>
      </c>
      <c r="B23" s="8" t="inlineStr">
        <is>
          <t>Institution Setup</t>
        </is>
      </c>
      <c r="C23" s="8" t="inlineStr">
        <is>
          <t>Institution Setup</t>
        </is>
      </c>
      <c r="D23" s="8" t="inlineStr">
        <is>
          <t>Institutions &amp; campuses</t>
        </is>
      </c>
      <c r="E23" s="10" t="inlineStr">
        <is>
          <t>Check</t>
        </is>
      </c>
      <c r="F23" s="8" t="inlineStr">
        <is>
          <t>core</t>
        </is>
      </c>
      <c r="G23" s="8" t="inlineStr">
        <is>
          <t>Should-Have</t>
        </is>
      </c>
      <c r="H23" s="8" t="inlineStr">
        <is>
          <t>platform</t>
        </is>
      </c>
      <c r="I23" s="8" t="inlineStr">
        <is>
          <t>super_admin.institution_setup.institutions_campuses</t>
        </is>
      </c>
      <c r="J23" s="8" t="inlineStr">
        <is>
          <t>web/src/features/setup/Wizard.tsx</t>
        </is>
      </c>
      <c r="K23" s="8" t="inlineStr"/>
      <c r="L23" s="8" t="n">
        <v>53</v>
      </c>
      <c r="M23" s="8" t="inlineStr">
        <is>
          <t>/academics/classes
/academics/sections
/academics/subjects
/academics/years
/admin/assignable-roles
/admin/institutions
/admin/roles
/fees/concessions
… +45 more</t>
        </is>
      </c>
      <c r="N23" s="8" t="inlineStr">
        <is>
          <t>worker/src/router.ts
worker/src/routes/academics.ts
worker/src/routes/admin/users.ts
worker/src/routes/daily.ts
worker/src/routes/fees/invoicing.ts
worker/src/routes/fees/refunds.ts
… +7 more</t>
        </is>
      </c>
      <c r="O23" s="8" t="n">
        <v>110</v>
      </c>
      <c r="P23" s="8" t="inlineStr">
        <is>
          <t>absence_followup_section_done
academic_years
activities
applications
attendance_corrections
audit_log
bell_schedules
biometric_devices
biometric_punches
board_memberships
… +100 more</t>
        </is>
      </c>
      <c r="Q23" s="8" t="inlineStr">
        <is>
          <t>access.test.ts
admissions_rte.test.ts
auth.test.ts
class_status_gaps.test.ts
d1_health.test.ts
edge.test.ts
… +13 more</t>
        </is>
      </c>
      <c r="R23" s="8" t="inlineStr">
        <is>
          <t>1 step(s) in its backend files answer "not ported" (see Not ported tab).</t>
        </is>
      </c>
      <c r="S23" s="8" t="inlineStr">
        <is>
          <t>Create/edit institution and campuses; address, timezone, academic model, contact details and status.</t>
        </is>
      </c>
    </row>
    <row r="24">
      <c r="A24" s="8" t="inlineStr">
        <is>
          <t>Super Admin</t>
        </is>
      </c>
      <c r="B24" s="8" t="inlineStr">
        <is>
          <t>Institution Setup</t>
        </is>
      </c>
      <c r="C24" s="8" t="inlineStr">
        <is>
          <t>Institution Setup</t>
        </is>
      </c>
      <c r="D24" s="8" t="inlineStr">
        <is>
          <t>Academic year defaults</t>
        </is>
      </c>
      <c r="E24" s="10" t="inlineStr">
        <is>
          <t>Check</t>
        </is>
      </c>
      <c r="F24" s="8" t="inlineStr">
        <is>
          <t>core</t>
        </is>
      </c>
      <c r="G24" s="8" t="inlineStr">
        <is>
          <t>Should-Have</t>
        </is>
      </c>
      <c r="H24" s="8" t="inlineStr">
        <is>
          <t>platform</t>
        </is>
      </c>
      <c r="I24" s="8" t="inlineStr">
        <is>
          <t>super_admin.institution_setup.academic_year_defaults</t>
        </is>
      </c>
      <c r="J24" s="8" t="inlineStr">
        <is>
          <t>web/src/features/setup/Wizard.tsx</t>
        </is>
      </c>
      <c r="K24" s="8" t="inlineStr"/>
      <c r="L24" s="8" t="n">
        <v>53</v>
      </c>
      <c r="M24" s="8" t="inlineStr">
        <is>
          <t>/academics/classes
/academics/sections
/academics/subjects
/academics/years
/admin/assignable-roles
/admin/institutions
/admin/roles
/fees/concessions
… +45 more</t>
        </is>
      </c>
      <c r="N24" s="8" t="inlineStr">
        <is>
          <t>worker/src/router.ts
worker/src/routes/academics.ts
worker/src/routes/admin/users.ts
worker/src/routes/daily.ts
worker/src/routes/fees/invoicing.ts
worker/src/routes/fees/refunds.ts
… +7 more</t>
        </is>
      </c>
      <c r="O24" s="8" t="n">
        <v>110</v>
      </c>
      <c r="P24" s="8" t="inlineStr">
        <is>
          <t>absence_followup_section_done
academic_years
activities
applications
attendance_corrections
audit_log
bell_schedules
biometric_devices
biometric_punches
board_memberships
… +100 more</t>
        </is>
      </c>
      <c r="Q24" s="8" t="inlineStr">
        <is>
          <t>access.test.ts
admissions_rte.test.ts
auth.test.ts
class_status_gaps.test.ts
d1_health.test.ts
edge.test.ts
… +13 more</t>
        </is>
      </c>
      <c r="R24" s="8" t="inlineStr">
        <is>
          <t>1 step(s) in its backend files answer "not ported" (see Not ported tab).</t>
        </is>
      </c>
      <c r="S24" s="8" t="inlineStr">
        <is>
          <t>Set active academic year/term defaults per campus; actual academic structure remains with institution admins.</t>
        </is>
      </c>
    </row>
    <row r="25">
      <c r="A25" s="8" t="inlineStr">
        <is>
          <t>Super Admin</t>
        </is>
      </c>
      <c r="B25" s="8" t="inlineStr">
        <is>
          <t>Institution Setup</t>
        </is>
      </c>
      <c r="C25" s="8" t="inlineStr">
        <is>
          <t>Institution Setup</t>
        </is>
      </c>
      <c r="D25" s="8" t="inlineStr">
        <is>
          <t>Branding</t>
        </is>
      </c>
      <c r="E25" s="11" t="inlineStr">
        <is>
          <t>Good</t>
        </is>
      </c>
      <c r="F25" s="8" t="inlineStr">
        <is>
          <t>core</t>
        </is>
      </c>
      <c r="G25" s="8" t="inlineStr">
        <is>
          <t>Must-Have</t>
        </is>
      </c>
      <c r="H25" s="8" t="inlineStr">
        <is>
          <t>platform</t>
        </is>
      </c>
      <c r="I25" s="8" t="inlineStr">
        <is>
          <t>super_admin.institution_setup.branding</t>
        </is>
      </c>
      <c r="J25" s="8" t="inlineStr">
        <is>
          <t>web/src/features/super_admin/Branding.tsx</t>
        </is>
      </c>
      <c r="K25" s="8" t="inlineStr"/>
      <c r="L25" s="8" t="n">
        <v>3</v>
      </c>
      <c r="M25" s="8" t="inlineStr">
        <is>
          <t>/admin/platform
/files
/files/{}</t>
        </is>
      </c>
      <c r="N25" s="8" t="inlineStr">
        <is>
          <t>worker/src/routes/admin/platform_config.ts
worker/src/routes/misc/files.ts</t>
        </is>
      </c>
      <c r="O25" s="8" t="n">
        <v>43</v>
      </c>
      <c r="P25" s="8" t="inlineStr">
        <is>
          <t>academic_calendar_models
academic_years
application_documents
audit_log
auth_policies
backup_policies
backup_runs
board_configurations
board_disclosures
branding_profiles
… +33 more</t>
        </is>
      </c>
      <c r="Q25" s="8" t="inlineStr">
        <is>
          <t>platform_staff.test.ts</t>
        </is>
      </c>
      <c r="R25" s="8" t="inlineStr"/>
      <c r="S25" s="8" t="inlineStr">
        <is>
          <t>Logo, institution name, colors and portal identity per tenant/campus.</t>
        </is>
      </c>
    </row>
    <row r="26">
      <c r="A26" s="8" t="inlineStr">
        <is>
          <t>Super Admin</t>
        </is>
      </c>
      <c r="B26" s="8" t="inlineStr">
        <is>
          <t>Institution Setup</t>
        </is>
      </c>
      <c r="C26" s="8" t="inlineStr">
        <is>
          <t>Institution Setup</t>
        </is>
      </c>
      <c r="D26" s="8" t="inlineStr">
        <is>
          <t>School settings</t>
        </is>
      </c>
      <c r="E26" s="10" t="inlineStr">
        <is>
          <t>Check</t>
        </is>
      </c>
      <c r="F26" s="8" t="inlineStr">
        <is>
          <t>core</t>
        </is>
      </c>
      <c r="G26" s="8" t="inlineStr">
        <is>
          <t>Must-Have</t>
        </is>
      </c>
      <c r="H26" s="8" t="inlineStr">
        <is>
          <t>institution</t>
        </is>
      </c>
      <c r="I26" s="8" t="inlineStr">
        <is>
          <t>super_admin.institution_setup.school_settings</t>
        </is>
      </c>
      <c r="J26" s="8" t="inlineStr">
        <is>
          <t>web/src/features/setup/Wizard.tsx</t>
        </is>
      </c>
      <c r="K26" s="8" t="inlineStr"/>
      <c r="L26" s="8" t="n">
        <v>53</v>
      </c>
      <c r="M26" s="8" t="inlineStr">
        <is>
          <t>/academics/classes
/academics/sections
/academics/subjects
/academics/years
/admin/assignable-roles
/admin/institutions
/admin/roles
/fees/concessions
… +45 more</t>
        </is>
      </c>
      <c r="N26" s="8" t="inlineStr">
        <is>
          <t>worker/src/router.ts
worker/src/routes/academics.ts
worker/src/routes/admin/users.ts
worker/src/routes/daily.ts
worker/src/routes/fees/invoicing.ts
worker/src/routes/fees/refunds.ts
… +7 more</t>
        </is>
      </c>
      <c r="O26" s="8" t="n">
        <v>110</v>
      </c>
      <c r="P26" s="8" t="inlineStr">
        <is>
          <t>absence_followup_section_done
academic_years
activities
applications
attendance_corrections
audit_log
bell_schedules
biometric_devices
biometric_punches
board_memberships
… +100 more</t>
        </is>
      </c>
      <c r="Q26" s="8" t="inlineStr">
        <is>
          <t>access.test.ts
admissions_rte.test.ts
auth.test.ts
class_status_gaps.test.ts
d1_health.test.ts
edge.test.ts
… +13 more</t>
        </is>
      </c>
      <c r="R26" s="8" t="inlineStr">
        <is>
          <t>1 step(s) in its backend files answer "not ported" (see Not ported tab).</t>
        </is>
      </c>
      <c r="S26" s="8" t="inlineStr">
        <is>
          <t>Institution profile, campuses, academic year and numbering.</t>
        </is>
      </c>
    </row>
    <row r="27">
      <c r="A27" s="8" t="inlineStr">
        <is>
          <t>Super Admin</t>
        </is>
      </c>
      <c r="B27" s="8" t="inlineStr">
        <is>
          <t>Access &amp; Security</t>
        </is>
      </c>
      <c r="C27" s="8" t="inlineStr">
        <is>
          <t>Access &amp; Security</t>
        </is>
      </c>
      <c r="D27" s="8" t="inlineStr">
        <is>
          <t>Users</t>
        </is>
      </c>
      <c r="E27" s="11" t="inlineStr">
        <is>
          <t>Good</t>
        </is>
      </c>
      <c r="F27" s="8" t="inlineStr">
        <is>
          <t>core</t>
        </is>
      </c>
      <c r="G27" s="8" t="inlineStr">
        <is>
          <t>Must-Have</t>
        </is>
      </c>
      <c r="H27" s="8" t="inlineStr">
        <is>
          <t>platform</t>
        </is>
      </c>
      <c r="I27" s="8" t="inlineStr">
        <is>
          <t>super_admin.access_security.users</t>
        </is>
      </c>
      <c r="J27" s="8" t="inlineStr">
        <is>
          <t>web/src/features/super_admin/Users.tsx</t>
        </is>
      </c>
      <c r="K27" s="8" t="inlineStr"/>
      <c r="L27" s="8" t="n">
        <v>9</v>
      </c>
      <c r="M27" s="8" t="inlineStr">
        <is>
          <t>/admin/assignable-roles
/admin/role-presets
/admin/roles/templates
/admin/users
/admin/users/generic
/admin/users/roles/transfer
/admin/users/{}/reset-password
/admin/users/{}/roles
… +1 more</t>
        </is>
      </c>
      <c r="N27" s="8" t="inlineStr">
        <is>
          <t>worker/src/routes/admin/users.ts</t>
        </is>
      </c>
      <c r="O27" s="8" t="n">
        <v>27</v>
      </c>
      <c r="P27" s="8" t="inlineStr">
        <is>
          <t>applications
campuses
classes
employees
enquiries
enrollments
guardians
institutions
integrations
invoices
… +17 more</t>
        </is>
      </c>
      <c r="Q27" s="8" t="inlineStr">
        <is>
          <t>edge.test.ts
feature_grants.test.ts
student_lms.test.ts</t>
        </is>
      </c>
      <c r="R27" s="8" t="inlineStr"/>
      <c r="S27" s="8" t="inlineStr">
        <is>
          <t>Create, activate, suspend and search users.</t>
        </is>
      </c>
    </row>
    <row r="28">
      <c r="A28" s="8" t="inlineStr">
        <is>
          <t>Super Admin</t>
        </is>
      </c>
      <c r="B28" s="8" t="inlineStr">
        <is>
          <t>Access &amp; Security</t>
        </is>
      </c>
      <c r="C28" s="8" t="inlineStr">
        <is>
          <t>Access &amp; Security</t>
        </is>
      </c>
      <c r="D28" s="8" t="inlineStr">
        <is>
          <t>Roles &amp; permissions</t>
        </is>
      </c>
      <c r="E28" s="11" t="inlineStr">
        <is>
          <t>Good</t>
        </is>
      </c>
      <c r="F28" s="8" t="inlineStr">
        <is>
          <t>core</t>
        </is>
      </c>
      <c r="G28" s="8" t="inlineStr">
        <is>
          <t>Must-Have</t>
        </is>
      </c>
      <c r="H28" s="8" t="inlineStr">
        <is>
          <t>platform</t>
        </is>
      </c>
      <c r="I28" s="8" t="inlineStr">
        <is>
          <t>super_admin.access_security.roles_permissions</t>
        </is>
      </c>
      <c r="J28" s="8" t="inlineStr">
        <is>
          <t>web/src/features/super_admin/RolesPermissions.tsx</t>
        </is>
      </c>
      <c r="K28" s="8" t="inlineStr"/>
      <c r="L28" s="8" t="n">
        <v>6</v>
      </c>
      <c r="M28" s="8" t="inlineStr">
        <is>
          <t>/admin/installable-roles
/admin/roles
/admin/roles/install
/admin/roles/{}/features
/admin/roles/{}/grid
/admin/roles/{}/reset</t>
        </is>
      </c>
      <c r="N28" s="8" t="inlineStr">
        <is>
          <t>worker/src/routes/admin/users.ts</t>
        </is>
      </c>
      <c r="O28" s="8" t="n">
        <v>27</v>
      </c>
      <c r="P28" s="8" t="inlineStr">
        <is>
          <t>applications
campuses
classes
employees
enquiries
enrollments
guardians
institutions
integrations
invoices
… +17 more</t>
        </is>
      </c>
      <c r="Q28" s="8" t="inlineStr">
        <is>
          <t>feature_grants.test.ts
student_lms.test.ts</t>
        </is>
      </c>
      <c r="R28" s="8" t="inlineStr"/>
      <c r="S28" s="8" t="inlineStr">
        <is>
          <t>Assign roles and define data scope such as institution, campus, department, class or self.</t>
        </is>
      </c>
    </row>
    <row r="29">
      <c r="A29" s="8" t="inlineStr">
        <is>
          <t>Super Admin</t>
        </is>
      </c>
      <c r="B29" s="8" t="inlineStr">
        <is>
          <t>Access &amp; Security</t>
        </is>
      </c>
      <c r="C29" s="8" t="inlineStr">
        <is>
          <t>Access &amp; Security</t>
        </is>
      </c>
      <c r="D29" s="8" t="inlineStr">
        <is>
          <t>Login &amp; session audit</t>
        </is>
      </c>
      <c r="E29" s="11" t="inlineStr">
        <is>
          <t>Good</t>
        </is>
      </c>
      <c r="F29" s="8" t="inlineStr">
        <is>
          <t>core</t>
        </is>
      </c>
      <c r="G29" s="8" t="inlineStr">
        <is>
          <t>Must-Have</t>
        </is>
      </c>
      <c r="H29" s="8" t="inlineStr">
        <is>
          <t>platform</t>
        </is>
      </c>
      <c r="I29" s="8" t="inlineStr">
        <is>
          <t>super_admin.access_security.login_session_audit</t>
        </is>
      </c>
      <c r="J29" s="8" t="inlineStr">
        <is>
          <t>web/src/features/super_admin/SessionAudit.tsx</t>
        </is>
      </c>
      <c r="K29" s="8" t="inlineStr"/>
      <c r="L29" s="8" t="n">
        <v>3</v>
      </c>
      <c r="M29" s="8" t="inlineStr">
        <is>
          <t>/admin/security/seller-audit
/admin/sessions
/admin/sessions/{}</t>
        </is>
      </c>
      <c r="N29" s="8" t="inlineStr">
        <is>
          <t>worker/src/routes/admin/security.ts
worker/src/routes/seller/lifecycle.ts</t>
        </is>
      </c>
      <c r="O29" s="8" t="n">
        <v>39</v>
      </c>
      <c r="P29" s="8" t="inlineStr">
        <is>
          <t>academic_years
app_events
audit_log
backups
class_subjects
counselor_messages
counselor_threads
employees
enrollments
fee_structure_items
… +29 more</t>
        </is>
      </c>
      <c r="Q29" s="8" t="inlineStr">
        <is>
          <t>session_activity.test.ts</t>
        </is>
      </c>
      <c r="R29" s="8" t="inlineStr"/>
      <c r="S29" s="8" t="inlineStr">
        <is>
          <t>View login history, active sessions and suspicious access.</t>
        </is>
      </c>
    </row>
    <row r="30">
      <c r="A30" s="8" t="inlineStr">
        <is>
          <t>Super Admin</t>
        </is>
      </c>
      <c r="B30" s="8" t="inlineStr">
        <is>
          <t>Access &amp; Security</t>
        </is>
      </c>
      <c r="C30" s="8" t="inlineStr">
        <is>
          <t>Access &amp; Security</t>
        </is>
      </c>
      <c r="D30" s="8" t="inlineStr">
        <is>
          <t>SSO / MFA</t>
        </is>
      </c>
      <c r="E30" s="11" t="inlineStr">
        <is>
          <t>Good</t>
        </is>
      </c>
      <c r="F30" s="8" t="inlineStr">
        <is>
          <t>core</t>
        </is>
      </c>
      <c r="G30" s="8" t="inlineStr">
        <is>
          <t>Must-Have</t>
        </is>
      </c>
      <c r="H30" s="8" t="inlineStr">
        <is>
          <t>platform</t>
        </is>
      </c>
      <c r="I30" s="8" t="inlineStr">
        <is>
          <t>super_admin.access_security.sso_mfa</t>
        </is>
      </c>
      <c r="J30" s="8" t="inlineStr">
        <is>
          <t>web/src/features/super_admin/SsoMfa.tsx</t>
        </is>
      </c>
      <c r="K30" s="8" t="inlineStr"/>
      <c r="L30" s="8" t="n">
        <v>1</v>
      </c>
      <c r="M30" s="8" t="inlineStr">
        <is>
          <t>/admin/platform</t>
        </is>
      </c>
      <c r="N30" s="8" t="inlineStr">
        <is>
          <t>worker/src/routes/admin/platform_config.ts</t>
        </is>
      </c>
      <c r="O30" s="8" t="n">
        <v>35</v>
      </c>
      <c r="P30" s="8" t="inlineStr">
        <is>
          <t>academic_calendar_models
academic_years
audit_log
auth_policies
backup_policies
backup_runs
board_configurations
board_disclosures
branding_profiles
campuses
… +25 more</t>
        </is>
      </c>
      <c r="Q30" s="8" t="inlineStr">
        <is>
          <t>platform_staff.test.ts</t>
        </is>
      </c>
      <c r="R30" s="8" t="inlineStr"/>
      <c r="S30" s="8" t="inlineStr">
        <is>
          <t>Configure single sign-on and multi-factor authentication when required.</t>
        </is>
      </c>
    </row>
    <row r="31">
      <c r="A31" s="8" t="inlineStr">
        <is>
          <t>Super Admin</t>
        </is>
      </c>
      <c r="B31" s="8" t="inlineStr">
        <is>
          <t>Access &amp; Security</t>
        </is>
      </c>
      <c r="C31" s="8" t="inlineStr">
        <is>
          <t>Access &amp; Security</t>
        </is>
      </c>
      <c r="D31" s="8" t="inlineStr">
        <is>
          <t>User directory</t>
        </is>
      </c>
      <c r="E31" s="11" t="inlineStr">
        <is>
          <t>Good</t>
        </is>
      </c>
      <c r="F31" s="8" t="inlineStr">
        <is>
          <t>core</t>
        </is>
      </c>
      <c r="G31" s="8" t="inlineStr">
        <is>
          <t>Must-Have</t>
        </is>
      </c>
      <c r="H31" s="8" t="inlineStr">
        <is>
          <t>institution</t>
        </is>
      </c>
      <c r="I31" s="8" t="inlineStr">
        <is>
          <t>super_admin.access_security.user_directory</t>
        </is>
      </c>
      <c r="J31" s="8" t="inlineStr">
        <is>
          <t>web/src/features/super_admin/Users.tsx</t>
        </is>
      </c>
      <c r="K31" s="8" t="inlineStr"/>
      <c r="L31" s="8" t="n">
        <v>9</v>
      </c>
      <c r="M31" s="8" t="inlineStr">
        <is>
          <t>/admin/assignable-roles
/admin/role-presets
/admin/roles/templates
/admin/users
/admin/users/generic
/admin/users/roles/transfer
/admin/users/{}/reset-password
/admin/users/{}/roles
… +1 more</t>
        </is>
      </c>
      <c r="N31" s="8" t="inlineStr">
        <is>
          <t>worker/src/routes/admin/users.ts</t>
        </is>
      </c>
      <c r="O31" s="8" t="n">
        <v>27</v>
      </c>
      <c r="P31" s="8" t="inlineStr">
        <is>
          <t>applications
campuses
classes
employees
enquiries
enrollments
guardians
institutions
integrations
invoices
… +17 more</t>
        </is>
      </c>
      <c r="Q31" s="8" t="inlineStr">
        <is>
          <t>edge.test.ts
feature_grants.test.ts
student_lms.test.ts</t>
        </is>
      </c>
      <c r="R31" s="8" t="inlineStr"/>
      <c r="S31" s="8" t="inlineStr">
        <is>
          <t>Create, search, suspend and reset accounts across the school.</t>
        </is>
      </c>
    </row>
    <row r="32">
      <c r="A32" s="8" t="inlineStr">
        <is>
          <t>Super Admin</t>
        </is>
      </c>
      <c r="B32" s="8" t="inlineStr">
        <is>
          <t>Platform Configuration</t>
        </is>
      </c>
      <c r="C32" s="8" t="inlineStr">
        <is>
          <t>Platform Configuration</t>
        </is>
      </c>
      <c r="D32" s="8" t="inlineStr">
        <is>
          <t>Module configuration</t>
        </is>
      </c>
      <c r="E32" s="11" t="inlineStr">
        <is>
          <t>Good</t>
        </is>
      </c>
      <c r="F32" s="8" t="inlineStr">
        <is>
          <t>core</t>
        </is>
      </c>
      <c r="G32" s="8" t="inlineStr">
        <is>
          <t>Should-Have</t>
        </is>
      </c>
      <c r="H32" s="8" t="inlineStr">
        <is>
          <t>platform</t>
        </is>
      </c>
      <c r="I32" s="8" t="inlineStr">
        <is>
          <t>super_admin.platform_configuration.module_configuration</t>
        </is>
      </c>
      <c r="J32" s="8" t="inlineStr">
        <is>
          <t>web/src/features/super_admin/ModuleConfiguration.tsx</t>
        </is>
      </c>
      <c r="K32" s="8" t="inlineStr"/>
      <c r="L32" s="8" t="n">
        <v>1</v>
      </c>
      <c r="M32" s="8" t="inlineStr">
        <is>
          <t>/admin/modules</t>
        </is>
      </c>
      <c r="N32" s="8" t="inlineStr">
        <is>
          <t>worker/src/routes/admin/users.ts</t>
        </is>
      </c>
      <c r="O32" s="8" t="n">
        <v>27</v>
      </c>
      <c r="P32" s="8" t="inlineStr">
        <is>
          <t>applications
campuses
classes
employees
enquiries
enrollments
guardians
institutions
integrations
invoices
… +17 more</t>
        </is>
      </c>
      <c r="Q32" s="8" t="inlineStr"/>
      <c r="R32" s="8" t="inlineStr"/>
      <c r="S32" s="8" t="inlineStr">
        <is>
          <t>Enable/disable modules by institution so users only see what their institution uses.</t>
        </is>
      </c>
    </row>
    <row r="33">
      <c r="A33" s="8" t="inlineStr">
        <is>
          <t>Super Admin</t>
        </is>
      </c>
      <c r="B33" s="8" t="inlineStr">
        <is>
          <t>Platform Configuration</t>
        </is>
      </c>
      <c r="C33" s="8" t="inlineStr">
        <is>
          <t>Platform Configuration</t>
        </is>
      </c>
      <c r="D33" s="8" t="inlineStr">
        <is>
          <t>Integrations</t>
        </is>
      </c>
      <c r="E33" s="11" t="inlineStr">
        <is>
          <t>Good</t>
        </is>
      </c>
      <c r="F33" s="8" t="inlineStr">
        <is>
          <t>core</t>
        </is>
      </c>
      <c r="G33" s="8" t="inlineStr">
        <is>
          <t>Must-Have</t>
        </is>
      </c>
      <c r="H33" s="8" t="inlineStr">
        <is>
          <t>platform</t>
        </is>
      </c>
      <c r="I33" s="8" t="inlineStr">
        <is>
          <t>super_admin.platform_configuration.integrations</t>
        </is>
      </c>
      <c r="J33" s="8" t="inlineStr">
        <is>
          <t>web/src/features/super_admin/Integrations.tsx</t>
        </is>
      </c>
      <c r="K33" s="8" t="inlineStr"/>
      <c r="L33" s="8" t="n">
        <v>1</v>
      </c>
      <c r="M33" s="8" t="inlineStr">
        <is>
          <t>/admin/integrations</t>
        </is>
      </c>
      <c r="N33" s="8" t="inlineStr">
        <is>
          <t>worker/src/routes/admin/integrations_index.ts</t>
        </is>
      </c>
      <c r="O33" s="8" t="n">
        <v>8</v>
      </c>
      <c r="P33" s="8" t="inlineStr">
        <is>
          <t>child_info_portal_connectors
crm_api_credentials
crm_sync_runs
message_log
tally_connector_settings
tally_export_runs
virtual_meeting_platform_providers
virtual_meeting_requests</t>
        </is>
      </c>
      <c r="Q33" s="8" t="inlineStr"/>
      <c r="R33" s="8" t="inlineStr"/>
      <c r="S33" s="8" t="inlineStr">
        <is>
          <t>Configure payment gateway, email/SMS/WhatsApp, biometric devices, Google/Microsoft and other connectors.</t>
        </is>
      </c>
    </row>
    <row r="34">
      <c r="A34" s="8" t="inlineStr">
        <is>
          <t>Super Admin</t>
        </is>
      </c>
      <c r="B34" s="8" t="inlineStr">
        <is>
          <t>Platform Configuration</t>
        </is>
      </c>
      <c r="C34" s="8" t="inlineStr">
        <is>
          <t>Platform Configuration</t>
        </is>
      </c>
      <c r="D34" s="8" t="inlineStr">
        <is>
          <t>Numbering &amp; templates</t>
        </is>
      </c>
      <c r="E34" s="11" t="inlineStr">
        <is>
          <t>Good</t>
        </is>
      </c>
      <c r="F34" s="8" t="inlineStr">
        <is>
          <t>core</t>
        </is>
      </c>
      <c r="G34" s="8" t="inlineStr">
        <is>
          <t>Must-Have</t>
        </is>
      </c>
      <c r="H34" s="8" t="inlineStr">
        <is>
          <t>platform</t>
        </is>
      </c>
      <c r="I34" s="8" t="inlineStr">
        <is>
          <t>super_admin.platform_configuration.numbering_templates</t>
        </is>
      </c>
      <c r="J34" s="8" t="inlineStr">
        <is>
          <t>web/src/features/super_admin/Numbering.tsx</t>
        </is>
      </c>
      <c r="K34" s="8" t="inlineStr"/>
      <c r="L34" s="8" t="n">
        <v>1</v>
      </c>
      <c r="M34" s="8" t="inlineStr">
        <is>
          <t>/admin/platform</t>
        </is>
      </c>
      <c r="N34" s="8" t="inlineStr">
        <is>
          <t>worker/src/routes/admin/platform_config.ts</t>
        </is>
      </c>
      <c r="O34" s="8" t="n">
        <v>35</v>
      </c>
      <c r="P34" s="8" t="inlineStr">
        <is>
          <t>academic_calendar_models
academic_years
audit_log
auth_policies
backup_policies
backup_runs
board_configurations
board_disclosures
branding_profiles
campuses
… +25 more</t>
        </is>
      </c>
      <c r="Q34" s="8" t="inlineStr">
        <is>
          <t>platform_staff.test.ts</t>
        </is>
      </c>
      <c r="R34" s="8" t="inlineStr"/>
      <c r="S34" s="8" t="inlineStr">
        <is>
          <t>Configure receipt, admission, student ID and certificate numbering/templates.</t>
        </is>
      </c>
    </row>
    <row r="35">
      <c r="A35" s="8" t="inlineStr">
        <is>
          <t>Super Admin</t>
        </is>
      </c>
      <c r="B35" s="8" t="inlineStr">
        <is>
          <t>Platform Configuration</t>
        </is>
      </c>
      <c r="C35" s="8" t="inlineStr">
        <is>
          <t>Platform Configuration</t>
        </is>
      </c>
      <c r="D35" s="8" t="inlineStr">
        <is>
          <t>Audit log</t>
        </is>
      </c>
      <c r="E35" s="11" t="inlineStr">
        <is>
          <t>Good</t>
        </is>
      </c>
      <c r="F35" s="8" t="inlineStr">
        <is>
          <t>core</t>
        </is>
      </c>
      <c r="G35" s="8" t="inlineStr">
        <is>
          <t>Must-Have</t>
        </is>
      </c>
      <c r="H35" s="8" t="inlineStr">
        <is>
          <t>platform</t>
        </is>
      </c>
      <c r="I35" s="8" t="inlineStr">
        <is>
          <t>super_admin.platform_configuration.audit_log</t>
        </is>
      </c>
      <c r="J35" s="8" t="inlineStr">
        <is>
          <t>web/src/features/super_admin/AuditLog.tsx</t>
        </is>
      </c>
      <c r="K35" s="8" t="inlineStr"/>
      <c r="L35" s="8" t="n">
        <v>3</v>
      </c>
      <c r="M35" s="8" t="inlineStr">
        <is>
          <t>/admin/audit
/admin/audit/events
/admin/audit/summary</t>
        </is>
      </c>
      <c r="N35" s="8" t="inlineStr">
        <is>
          <t>worker/src/routes/admin/security.ts</t>
        </is>
      </c>
      <c r="O35" s="8" t="n">
        <v>33</v>
      </c>
      <c r="P35" s="8" t="inlineStr">
        <is>
          <t>academic_years
app_events
audit_log
class_subjects
counselor_messages
counselor_threads
employees
enrollments
fee_structure_items
fee_structure_version_items
… +23 more</t>
        </is>
      </c>
      <c r="Q35" s="8" t="inlineStr"/>
      <c r="R35" s="8" t="inlineStr"/>
      <c r="S35" s="8" t="inlineStr">
        <is>
          <t>Search critical configuration and data-change history.</t>
        </is>
      </c>
    </row>
    <row r="36">
      <c r="A36" s="8" t="inlineStr">
        <is>
          <t>Super Admin</t>
        </is>
      </c>
      <c r="B36" s="8" t="inlineStr">
        <is>
          <t>Platform Configuration</t>
        </is>
      </c>
      <c r="C36" s="8" t="inlineStr">
        <is>
          <t>Platform Configuration</t>
        </is>
      </c>
      <c r="D36" s="8" t="inlineStr">
        <is>
          <t>Data operations</t>
        </is>
      </c>
      <c r="E36" s="11" t="inlineStr">
        <is>
          <t>Good</t>
        </is>
      </c>
      <c r="F36" s="8" t="inlineStr">
        <is>
          <t>core</t>
        </is>
      </c>
      <c r="G36" s="8" t="inlineStr">
        <is>
          <t>Must-Have</t>
        </is>
      </c>
      <c r="H36" s="8" t="inlineStr">
        <is>
          <t>platform</t>
        </is>
      </c>
      <c r="I36" s="8" t="inlineStr">
        <is>
          <t>super_admin.platform_configuration.data_operations</t>
        </is>
      </c>
      <c r="J36" s="8" t="inlineStr">
        <is>
          <t>web/src/features/setup/ImportStudents.tsx</t>
        </is>
      </c>
      <c r="K36" s="8" t="inlineStr"/>
      <c r="L36" s="8" t="n">
        <v>21</v>
      </c>
      <c r="M36" s="8" t="inlineStr">
        <is>
          <t>/ai/import/analyze
/ai/import/commit
/ai/import/preview
/ai/import/propose
/ai/warnings
/ai/warnings/digest
/ai/warnings/dismiss-all
/ai/warnings/run
… +13 more</t>
        </is>
      </c>
      <c r="N36" s="8" t="inlineStr">
        <is>
          <t>worker/src/routes/ai/import.ts
worker/src/routes/ai/warnings.ts
worker/src/routes/setup/imports.ts
worker/src/routes/setup/staff.ts
worker/src/routes/students.ts</t>
        </is>
      </c>
      <c r="O36" s="8" t="n">
        <v>71</v>
      </c>
      <c r="P36" s="8" t="inlineStr">
        <is>
          <t>academic_years
activities
ai_warning_dismissals
ai_warnings
audit_log
bell_schedules
biometric_devices
biometric_punches
certificate_types
class_subjects
… +61 more</t>
        </is>
      </c>
      <c r="Q36" s="8" t="inlineStr">
        <is>
          <t>ai.test.ts
ai_warnings_import.test.ts
lms_modules.test.ts
lms_nesting.test.ts
lms_progression.test.ts
lms_videos.test.ts
… +3 more</t>
        </is>
      </c>
      <c r="R36" s="8" t="inlineStr"/>
      <c r="S36" s="8" t="inlineStr">
        <is>
          <t>Controlled import/export, archival, retention and backup/restore administration.</t>
        </is>
      </c>
    </row>
    <row r="37">
      <c r="A37" s="8" t="inlineStr">
        <is>
          <t>Super Admin</t>
        </is>
      </c>
      <c r="B37" s="8" t="inlineStr">
        <is>
          <t>Platform Configuration</t>
        </is>
      </c>
      <c r="C37" s="8" t="inlineStr">
        <is>
          <t>Platform Configuration</t>
        </is>
      </c>
      <c r="D37" s="8" t="inlineStr">
        <is>
          <t>Import &amp; export</t>
        </is>
      </c>
      <c r="E37" s="11" t="inlineStr">
        <is>
          <t>Good</t>
        </is>
      </c>
      <c r="F37" s="8" t="inlineStr">
        <is>
          <t>core</t>
        </is>
      </c>
      <c r="G37" s="8" t="inlineStr">
        <is>
          <t>Must-Have</t>
        </is>
      </c>
      <c r="H37" s="8" t="inlineStr">
        <is>
          <t>institution</t>
        </is>
      </c>
      <c r="I37" s="8" t="inlineStr">
        <is>
          <t>super_admin.platform_configuration.import_export</t>
        </is>
      </c>
      <c r="J37" s="8" t="inlineStr">
        <is>
          <t>web/src/features/shared/Exports.tsx</t>
        </is>
      </c>
      <c r="K37" s="8" t="inlineStr"/>
      <c r="L37" s="8" t="n">
        <v>1</v>
      </c>
      <c r="M37" s="8" t="inlineStr">
        <is>
          <t>/export</t>
        </is>
      </c>
      <c r="N37" s="8" t="inlineStr">
        <is>
          <t>worker/src/routes/admin/export.ts</t>
        </is>
      </c>
      <c r="O37" s="8" t="n">
        <v>33</v>
      </c>
      <c r="P37" s="8" t="inlineStr">
        <is>
          <t>academic_years
applications
class_subjects
classes
departments
designations
employee_documents
employees
enrollments
exam_subjects
… +23 more</t>
        </is>
      </c>
      <c r="Q37" s="8" t="inlineStr">
        <is>
          <t>session_activity.test.ts</t>
        </is>
      </c>
      <c r="R37" s="8" t="inlineStr"/>
      <c r="S37" s="8" t="inlineStr">
        <is>
          <t>Bulk import of students, staff and opening balances, with validation reports.</t>
        </is>
      </c>
    </row>
    <row r="38">
      <c r="A38" s="8" t="inlineStr">
        <is>
          <t>Super Admin</t>
        </is>
      </c>
      <c r="B38" s="8" t="inlineStr">
        <is>
          <t>Platform Setup</t>
        </is>
      </c>
      <c r="C38" s="8" t="inlineStr">
        <is>
          <t>Campuses &amp; Academic Year</t>
        </is>
      </c>
      <c r="D38" s="8" t="inlineStr">
        <is>
          <t>Franchise Management</t>
        </is>
      </c>
      <c r="E38" s="11" t="inlineStr">
        <is>
          <t>Good</t>
        </is>
      </c>
      <c r="F38" s="8" t="inlineStr">
        <is>
          <t>core</t>
        </is>
      </c>
      <c r="G38" s="8" t="inlineStr">
        <is>
          <t>Nice-to-Have</t>
        </is>
      </c>
      <c r="H38" s="8" t="inlineStr">
        <is>
          <t>platform</t>
        </is>
      </c>
      <c r="I38" s="8" t="inlineStr">
        <is>
          <t>super_admin.campuses_academic_year.franchise_management</t>
        </is>
      </c>
      <c r="J38" s="8" t="inlineStr">
        <is>
          <t>web/src/features/seller/Franchises.tsx</t>
        </is>
      </c>
      <c r="K38" s="8" t="inlineStr"/>
      <c r="L38" s="8" t="n">
        <v>2</v>
      </c>
      <c r="M38" s="8" t="inlineStr">
        <is>
          <t>/admin/platform
/admin/platform/franchises</t>
        </is>
      </c>
      <c r="N38" s="8" t="inlineStr">
        <is>
          <t>worker/src/routes/admin/platform_config.ts</t>
        </is>
      </c>
      <c r="O38" s="8" t="n">
        <v>35</v>
      </c>
      <c r="P38" s="8" t="inlineStr">
        <is>
          <t>academic_calendar_models
academic_years
audit_log
auth_policies
backup_policies
backup_runs
board_configurations
board_disclosures
branding_profiles
campuses
… +25 more</t>
        </is>
      </c>
      <c r="Q38" s="8" t="inlineStr">
        <is>
          <t>platform_staff.test.ts</t>
        </is>
      </c>
      <c r="R38" s="8" t="inlineStr"/>
      <c r="S38" s="8" t="inlineStr">
        <is>
          <t>Centralized administrative oversight, asset sharing, and brand compliance for franchise chains.</t>
        </is>
      </c>
    </row>
    <row r="39">
      <c r="A39" s="8" t="inlineStr">
        <is>
          <t>Super Admin</t>
        </is>
      </c>
      <c r="B39" s="8" t="inlineStr">
        <is>
          <t>Platform Setup</t>
        </is>
      </c>
      <c r="C39" s="8" t="inlineStr">
        <is>
          <t>Campuses &amp; Academic Year</t>
        </is>
      </c>
      <c r="D39" s="8" t="inlineStr">
        <is>
          <t>White-Label Branding</t>
        </is>
      </c>
      <c r="E39" s="11" t="inlineStr">
        <is>
          <t>Good</t>
        </is>
      </c>
      <c r="F39" s="8" t="inlineStr">
        <is>
          <t>core</t>
        </is>
      </c>
      <c r="G39" s="8" t="inlineStr">
        <is>
          <t>Must-Have</t>
        </is>
      </c>
      <c r="H39" s="8" t="inlineStr">
        <is>
          <t>platform</t>
        </is>
      </c>
      <c r="I39" s="8" t="inlineStr">
        <is>
          <t>super_admin.campuses_academic_year.white_label_branding</t>
        </is>
      </c>
      <c r="J39" s="8" t="inlineStr">
        <is>
          <t>web/src/features/super_admin/WhiteLabel.tsx</t>
        </is>
      </c>
      <c r="K39" s="8" t="inlineStr"/>
      <c r="L39" s="8" t="n">
        <v>1</v>
      </c>
      <c r="M39" s="8" t="inlineStr">
        <is>
          <t>/admin/platform</t>
        </is>
      </c>
      <c r="N39" s="8" t="inlineStr">
        <is>
          <t>worker/src/routes/admin/platform_config.ts</t>
        </is>
      </c>
      <c r="O39" s="8" t="n">
        <v>35</v>
      </c>
      <c r="P39" s="8" t="inlineStr">
        <is>
          <t>academic_calendar_models
academic_years
audit_log
auth_policies
backup_policies
backup_runs
board_configurations
board_disclosures
branding_profiles
campuses
… +25 more</t>
        </is>
      </c>
      <c r="Q39" s="8" t="inlineStr">
        <is>
          <t>platform_staff.test.ts</t>
        </is>
      </c>
      <c r="R39" s="8" t="inlineStr"/>
      <c r="S39" s="8" t="inlineStr">
        <is>
          <t>Configure custom logos, domain names, color themes, login portal banners, and email header templates.</t>
        </is>
      </c>
    </row>
    <row r="40">
      <c r="A40" s="8" t="inlineStr">
        <is>
          <t>Super Admin</t>
        </is>
      </c>
      <c r="B40" s="8" t="inlineStr">
        <is>
          <t>Platform Setup</t>
        </is>
      </c>
      <c r="C40" s="8" t="inlineStr">
        <is>
          <t>Campuses &amp; Academic Year</t>
        </is>
      </c>
      <c r="D40" s="8" t="inlineStr">
        <is>
          <t>Academic Calendar Model</t>
        </is>
      </c>
      <c r="E40" s="11" t="inlineStr">
        <is>
          <t>Good</t>
        </is>
      </c>
      <c r="F40" s="8" t="inlineStr">
        <is>
          <t>core</t>
        </is>
      </c>
      <c r="G40" s="8" t="inlineStr">
        <is>
          <t>Must-Have</t>
        </is>
      </c>
      <c r="H40" s="8" t="inlineStr">
        <is>
          <t>platform</t>
        </is>
      </c>
      <c r="I40" s="8" t="inlineStr">
        <is>
          <t>super_admin.campuses_academic_year.academic_calendar_model</t>
        </is>
      </c>
      <c r="J40" s="8" t="inlineStr">
        <is>
          <t>web/src/features/super_admin/CalendarModel.tsx</t>
        </is>
      </c>
      <c r="K40" s="8" t="inlineStr"/>
      <c r="L40" s="8" t="n">
        <v>1</v>
      </c>
      <c r="M40" s="8" t="inlineStr">
        <is>
          <t>/admin/platform</t>
        </is>
      </c>
      <c r="N40" s="8" t="inlineStr">
        <is>
          <t>worker/src/routes/admin/platform_config.ts</t>
        </is>
      </c>
      <c r="O40" s="8" t="n">
        <v>35</v>
      </c>
      <c r="P40" s="8" t="inlineStr">
        <is>
          <t>academic_calendar_models
academic_years
audit_log
auth_policies
backup_policies
backup_runs
board_configurations
board_disclosures
branding_profiles
campuses
… +25 more</t>
        </is>
      </c>
      <c r="Q40" s="8" t="inlineStr">
        <is>
          <t>platform_staff.test.ts</t>
        </is>
      </c>
      <c r="R40" s="8" t="inlineStr"/>
      <c r="S40" s="8" t="inlineStr">
        <is>
          <t>Configure the June-April school year separately from the April-March financial year used for receipts.</t>
        </is>
      </c>
    </row>
    <row r="41">
      <c r="A41" s="8" t="inlineStr">
        <is>
          <t>Super Admin</t>
        </is>
      </c>
      <c r="B41" s="8" t="inlineStr">
        <is>
          <t>Platform Setup</t>
        </is>
      </c>
      <c r="C41" s="8" t="inlineStr">
        <is>
          <t>Messaging</t>
        </is>
      </c>
      <c r="D41" s="8" t="inlineStr">
        <is>
          <t>SMS Gateway Integration</t>
        </is>
      </c>
      <c r="E41" s="11" t="inlineStr">
        <is>
          <t>Good</t>
        </is>
      </c>
      <c r="F41" s="8" t="inlineStr">
        <is>
          <t>core</t>
        </is>
      </c>
      <c r="G41" s="8" t="inlineStr">
        <is>
          <t>Must-Have</t>
        </is>
      </c>
      <c r="H41" s="8" t="inlineStr">
        <is>
          <t>platform</t>
        </is>
      </c>
      <c r="I41" s="8" t="inlineStr">
        <is>
          <t>super_admin.messaging.sms_gateway_integration</t>
        </is>
      </c>
      <c r="J41" s="8" t="inlineStr">
        <is>
          <t>web/src/features/communication/SmsGateway.tsx</t>
        </is>
      </c>
      <c r="K41" s="8" t="inlineStr"/>
      <c r="L41" s="8" t="n">
        <v>1</v>
      </c>
      <c r="M41" s="8" t="inlineStr">
        <is>
          <t>/sms-gateway</t>
        </is>
      </c>
      <c r="N41" s="8" t="inlineStr">
        <is>
          <t>worker/src/routes/comms/sms_gateway.ts</t>
        </is>
      </c>
      <c r="O41" s="8" t="n">
        <v>7</v>
      </c>
      <c r="P41" s="8" t="inlineStr">
        <is>
          <t>institutions
integrations
message_log
sms_gateway_devices
sms_gateway_dispatch
sms_gateway_pair_codes
users</t>
        </is>
      </c>
      <c r="Q41" s="8" t="inlineStr">
        <is>
          <t>edge.test.ts</t>
        </is>
      </c>
      <c r="R41" s="8" t="inlineStr"/>
      <c r="S41" s="8" t="inlineStr">
        <is>
          <t>Configure gateway API credentials, sender IDs, DLTI templates, and SMS delivery logs.</t>
        </is>
      </c>
    </row>
    <row r="42">
      <c r="A42" s="8" t="inlineStr">
        <is>
          <t>Super Admin</t>
        </is>
      </c>
      <c r="B42" s="8" t="inlineStr">
        <is>
          <t>Platform Setup</t>
        </is>
      </c>
      <c r="C42" s="8" t="inlineStr">
        <is>
          <t>Messaging</t>
        </is>
      </c>
      <c r="D42" s="8" t="inlineStr">
        <is>
          <t>WhatsApp API Integration</t>
        </is>
      </c>
      <c r="E42" s="11" t="inlineStr">
        <is>
          <t>Good</t>
        </is>
      </c>
      <c r="F42" s="8" t="inlineStr">
        <is>
          <t>core</t>
        </is>
      </c>
      <c r="G42" s="8" t="inlineStr">
        <is>
          <t>Must-Have</t>
        </is>
      </c>
      <c r="H42" s="8" t="inlineStr">
        <is>
          <t>platform</t>
        </is>
      </c>
      <c r="I42" s="8" t="inlineStr">
        <is>
          <t>super_admin.messaging.whatsapp_api_integration</t>
        </is>
      </c>
      <c r="J42" s="8" t="inlineStr">
        <is>
          <t>web/src/features/super_admin/WhatsAppApi.tsx</t>
        </is>
      </c>
      <c r="K42" s="8" t="inlineStr"/>
      <c r="L42" s="8" t="n">
        <v>1</v>
      </c>
      <c r="M42" s="8" t="inlineStr">
        <is>
          <t>/admin</t>
        </is>
      </c>
      <c r="N42" s="8" t="inlineStr">
        <is>
          <t>worker/src/routes/admin/connectors.ts
worker/src/routes/admin/inbox.ts
worker/src/routes/admin/integrations_index.ts
worker/src/routes/admin/messaging.ts
worker/src/routes/admin/msg_plans.ts
worker/src/routes/admin/period_close.ts
… +11 more</t>
        </is>
      </c>
      <c r="O42" s="8" t="n">
        <v>116</v>
      </c>
      <c r="P42" s="8" t="inlineStr">
        <is>
          <t>academic_calendar_models
academic_years
announcement_acks
announcements
app_events
applications
audit_log
auth_policies
backup_policies
backup_runs
… +106 more</t>
        </is>
      </c>
      <c r="Q42" s="8" t="inlineStr">
        <is>
          <t>class_status_gaps.test.ts
edge.test.ts
feature_class_status.test.ts
feature_grants.test.ts
lms_modules.test.ts
lms_nesting.test.ts
… +8 more</t>
        </is>
      </c>
      <c r="R42" s="8" t="inlineStr"/>
      <c r="S42" s="8" t="inlineStr">
        <is>
          <t>Connect WhatsApp Business API, manage template approvals, automated triggers, and delivery logs.</t>
        </is>
      </c>
    </row>
    <row r="43">
      <c r="A43" s="8" t="inlineStr">
        <is>
          <t>Super Admin</t>
        </is>
      </c>
      <c r="B43" s="8" t="inlineStr">
        <is>
          <t>Platform Setup</t>
        </is>
      </c>
      <c r="C43" s="8" t="inlineStr">
        <is>
          <t>Messaging</t>
        </is>
      </c>
      <c r="D43" s="8" t="inlineStr">
        <is>
          <t>Email Server (SMTP) Integration</t>
        </is>
      </c>
      <c r="E43" s="11" t="inlineStr">
        <is>
          <t>Good</t>
        </is>
      </c>
      <c r="F43" s="8" t="inlineStr">
        <is>
          <t>core</t>
        </is>
      </c>
      <c r="G43" s="8" t="inlineStr">
        <is>
          <t>Must-Have</t>
        </is>
      </c>
      <c r="H43" s="8" t="inlineStr">
        <is>
          <t>platform</t>
        </is>
      </c>
      <c r="I43" s="8" t="inlineStr">
        <is>
          <t>super_admin.messaging.email_server_smtp_integration</t>
        </is>
      </c>
      <c r="J43" s="8" t="inlineStr">
        <is>
          <t>web/src/features/super_admin/EmailServer.tsx</t>
        </is>
      </c>
      <c r="K43" s="8" t="inlineStr"/>
      <c r="L43" s="8" t="n">
        <v>3</v>
      </c>
      <c r="M43" s="8" t="inlineStr">
        <is>
          <t>/admin/messaging
/seller/recharges
/seller/recharges/{}</t>
        </is>
      </c>
      <c r="N43" s="8" t="inlineStr">
        <is>
          <t>worker/src/routes/admin/messaging.ts
worker/src/routes/admin/msg_plans.ts
worker/src/routes/admin/whatsapp.ts
worker/src/routes/comms/delivery.ts
worker/src/routes/seller/platform.ts</t>
        </is>
      </c>
      <c r="O43" s="8" t="n">
        <v>39</v>
      </c>
      <c r="P43" s="8" t="inlineStr">
        <is>
          <t>announcements
classes
dead_letters
employees
enrollments
files
guardians
institutions
integrations
invoices
… +29 more</t>
        </is>
      </c>
      <c r="Q43" s="8" t="inlineStr"/>
      <c r="R43" s="8" t="inlineStr"/>
      <c r="S43" s="8" t="inlineStr">
        <is>
          <t>Configure SMTP credentials, send grid settings, DKIM/SPF verification, and email dispatch logs.</t>
        </is>
      </c>
    </row>
    <row r="44">
      <c r="A44" s="8" t="inlineStr">
        <is>
          <t>Super Admin</t>
        </is>
      </c>
      <c r="B44" s="8" t="inlineStr">
        <is>
          <t>Platform Setup</t>
        </is>
      </c>
      <c r="C44" s="8" t="inlineStr">
        <is>
          <t>Messaging</t>
        </is>
      </c>
      <c r="D44" s="8" t="inlineStr">
        <is>
          <t>Automated Trigger Rules</t>
        </is>
      </c>
      <c r="E44" s="11" t="inlineStr">
        <is>
          <t>Good</t>
        </is>
      </c>
      <c r="F44" s="8" t="inlineStr">
        <is>
          <t>core</t>
        </is>
      </c>
      <c r="G44" s="8" t="inlineStr">
        <is>
          <t>Must-Have</t>
        </is>
      </c>
      <c r="H44" s="8" t="inlineStr">
        <is>
          <t>platform</t>
        </is>
      </c>
      <c r="I44" s="8" t="inlineStr">
        <is>
          <t>super_admin.messaging.automated_trigger_rules</t>
        </is>
      </c>
      <c r="J44" s="8" t="inlineStr">
        <is>
          <t>web/src/features/super_admin/TriggerRules.tsx</t>
        </is>
      </c>
      <c r="K44" s="8" t="inlineStr"/>
      <c r="L44" s="8" t="n">
        <v>3</v>
      </c>
      <c r="M44" s="8" t="inlineStr">
        <is>
          <t>/admin/messaging
/seller/recharges
/seller/recharges/{}</t>
        </is>
      </c>
      <c r="N44" s="8" t="inlineStr">
        <is>
          <t>worker/src/routes/admin/messaging.ts
worker/src/routes/admin/msg_plans.ts
worker/src/routes/admin/whatsapp.ts
worker/src/routes/comms/delivery.ts
worker/src/routes/seller/platform.ts</t>
        </is>
      </c>
      <c r="O44" s="8" t="n">
        <v>39</v>
      </c>
      <c r="P44" s="8" t="inlineStr">
        <is>
          <t>announcements
classes
dead_letters
employees
enrollments
files
guardians
institutions
integrations
invoices
… +29 more</t>
        </is>
      </c>
      <c r="Q44" s="8" t="inlineStr"/>
      <c r="R44" s="8" t="inlineStr"/>
      <c r="S44" s="8" t="inlineStr">
        <is>
          <t>Set trigger conditions for instant automated notifications on absence, fee due, or bus delay.</t>
        </is>
      </c>
    </row>
    <row r="45">
      <c r="A45" s="8" t="inlineStr">
        <is>
          <t>Super Admin</t>
        </is>
      </c>
      <c r="B45" s="8" t="inlineStr">
        <is>
          <t>Platform Setup</t>
        </is>
      </c>
      <c r="C45" s="8" t="inlineStr">
        <is>
          <t>Payments &amp; Devices</t>
        </is>
      </c>
      <c r="D45" s="8" t="inlineStr">
        <is>
          <t>Payment Gateway Connectors</t>
        </is>
      </c>
      <c r="E45" s="11" t="inlineStr">
        <is>
          <t>Good</t>
        </is>
      </c>
      <c r="F45" s="8" t="inlineStr">
        <is>
          <t>core</t>
        </is>
      </c>
      <c r="G45" s="8" t="inlineStr">
        <is>
          <t>Must-Have</t>
        </is>
      </c>
      <c r="H45" s="8" t="inlineStr">
        <is>
          <t>platform</t>
        </is>
      </c>
      <c r="I45" s="8" t="inlineStr">
        <is>
          <t>super_admin.payments_devices.payment_gateway_connectors</t>
        </is>
      </c>
      <c r="J45" s="8" t="inlineStr">
        <is>
          <t>web/src/features/super_admin/PaymentGateways.tsx</t>
        </is>
      </c>
      <c r="K45" s="8" t="inlineStr"/>
      <c r="L45" s="8" t="n">
        <v>1</v>
      </c>
      <c r="M45" s="8" t="inlineStr">
        <is>
          <t>/admin/connectors/payment-gateways</t>
        </is>
      </c>
      <c r="N45" s="8" t="inlineStr">
        <is>
          <t>worker/src/routes/admin/platform_gateways.ts</t>
        </is>
      </c>
      <c r="O45" s="8" t="n">
        <v>5</v>
      </c>
      <c r="P45" s="8" t="inlineStr">
        <is>
          <t>biometric_devices
biometric_punches
campuses
institutions
payment_gateway_credentials</t>
        </is>
      </c>
      <c r="Q45" s="8" t="inlineStr"/>
      <c r="R45" s="8" t="inlineStr"/>
      <c r="S45" s="8" t="inlineStr">
        <is>
          <t>Merchant keys for Razorpay, Paytm, CCAvenue, BillDesk and Easebuzz, per school or for every school, stored sealed. A record for the day a checkout is wired; no payment is taken through the product yet.</t>
        </is>
      </c>
    </row>
    <row r="46">
      <c r="A46" s="8" t="inlineStr">
        <is>
          <t>Super Admin</t>
        </is>
      </c>
      <c r="B46" s="8" t="inlineStr">
        <is>
          <t>Platform Setup</t>
        </is>
      </c>
      <c r="C46" s="8" t="inlineStr">
        <is>
          <t>Payments &amp; Devices</t>
        </is>
      </c>
      <c r="D46" s="8" t="inlineStr">
        <is>
          <t>Biometric Device Integration</t>
        </is>
      </c>
      <c r="E46" s="11" t="inlineStr">
        <is>
          <t>Good</t>
        </is>
      </c>
      <c r="F46" s="8" t="inlineStr">
        <is>
          <t>advanced</t>
        </is>
      </c>
      <c r="G46" s="8" t="inlineStr">
        <is>
          <t>Must-Have</t>
        </is>
      </c>
      <c r="H46" s="8" t="inlineStr">
        <is>
          <t>platform</t>
        </is>
      </c>
      <c r="I46" s="8" t="inlineStr">
        <is>
          <t>super_admin.payments_devices.biometric_device_integration</t>
        </is>
      </c>
      <c r="J46" s="8" t="inlineStr">
        <is>
          <t>web/src/features/super_admin/BiometricFleet.tsx</t>
        </is>
      </c>
      <c r="K46" s="8" t="inlineStr"/>
      <c r="L46" s="8" t="n">
        <v>1</v>
      </c>
      <c r="M46" s="8" t="inlineStr">
        <is>
          <t>/admin/biometric-devices</t>
        </is>
      </c>
      <c r="N46" s="8" t="inlineStr">
        <is>
          <t>worker/src/routes/admin/platform_gateways.ts</t>
        </is>
      </c>
      <c r="O46" s="8" t="n">
        <v>5</v>
      </c>
      <c r="P46" s="8" t="inlineStr">
        <is>
          <t>biometric_devices
biometric_punches
campuses
institutions
payment_gateway_credentials</t>
        </is>
      </c>
      <c r="Q46" s="8" t="inlineStr"/>
      <c r="R46" s="8" t="inlineStr"/>
      <c r="S46" s="8" t="inlineStr">
        <is>
          <t>Every school's fingerprint readers on one page: which are talking, which went quiet, which were never pointed at us. ADMS push only; a reader is registered inside its school.</t>
        </is>
      </c>
    </row>
    <row r="47">
      <c r="A47" s="8" t="inlineStr">
        <is>
          <t>Super Admin</t>
        </is>
      </c>
      <c r="B47" s="8" t="inlineStr">
        <is>
          <t>Platform Setup</t>
        </is>
      </c>
      <c r="C47" s="8" t="inlineStr">
        <is>
          <t>Payments &amp; Devices</t>
        </is>
      </c>
      <c r="D47" s="8" t="inlineStr">
        <is>
          <t>GPS Hardware Integration</t>
        </is>
      </c>
      <c r="E47" s="11" t="inlineStr">
        <is>
          <t>Good</t>
        </is>
      </c>
      <c r="F47" s="8" t="inlineStr">
        <is>
          <t>core</t>
        </is>
      </c>
      <c r="G47" s="8" t="inlineStr">
        <is>
          <t>Must-Have</t>
        </is>
      </c>
      <c r="H47" s="8" t="inlineStr">
        <is>
          <t>platform</t>
        </is>
      </c>
      <c r="I47" s="8" t="inlineStr">
        <is>
          <t>super_admin.payments_devices.gps_hardware_integration</t>
        </is>
      </c>
      <c r="J47" s="8" t="inlineStr">
        <is>
          <t>web/src/features/super_admin/TrackerPairing.tsx</t>
        </is>
      </c>
      <c r="K47" s="8" t="inlineStr"/>
      <c r="L47" s="8" t="n">
        <v>1</v>
      </c>
      <c r="M47" s="8" t="inlineStr">
        <is>
          <t>/transport</t>
        </is>
      </c>
      <c r="N47" s="8" t="inlineStr">
        <is>
          <t>worker/src/routes/scheduling/office.ts</t>
        </is>
      </c>
      <c r="O47" s="8" t="n">
        <v>13</v>
      </c>
      <c r="P47" s="8" t="inlineStr">
        <is>
          <t>driver_notices
employees
route_stops
routes
transport_safety_events
transport_stop_events
transport_tracking_policy
users
vehicle_last_position
vehicle_tracker_pair_codes
… +3 more</t>
        </is>
      </c>
      <c r="Q47" s="8" t="inlineStr">
        <is>
          <t>degenerate_numbers.test.ts</t>
        </is>
      </c>
      <c r="R47" s="8" t="inlineStr"/>
      <c r="S47" s="8" t="inlineStr">
        <is>
          <t>Configure bus GPS tracker hardware protocols, IMEI mapping, and refresh intervals.</t>
        </is>
      </c>
    </row>
    <row r="48">
      <c r="A48" s="8" t="inlineStr">
        <is>
          <t>Super Admin</t>
        </is>
      </c>
      <c r="B48" s="8" t="inlineStr">
        <is>
          <t>Platform Setup</t>
        </is>
      </c>
      <c r="C48" s="8" t="inlineStr">
        <is>
          <t>Payments &amp; Devices</t>
        </is>
      </c>
      <c r="D48" s="8" t="inlineStr">
        <is>
          <t>Virtual Classroom Integration</t>
        </is>
      </c>
      <c r="E48" s="11" t="inlineStr">
        <is>
          <t>Good</t>
        </is>
      </c>
      <c r="F48" s="8" t="inlineStr">
        <is>
          <t>core</t>
        </is>
      </c>
      <c r="G48" s="8" t="inlineStr">
        <is>
          <t>Must-Have</t>
        </is>
      </c>
      <c r="H48" s="8" t="inlineStr">
        <is>
          <t>platform</t>
        </is>
      </c>
      <c r="I48" s="8" t="inlineStr">
        <is>
          <t>super_admin.payments_devices.virtual_classroom_integration</t>
        </is>
      </c>
      <c r="J48" s="8" t="inlineStr">
        <is>
          <t>web/src/features/super_admin/VirtualClassroom.tsx</t>
        </is>
      </c>
      <c r="K48" s="8" t="inlineStr"/>
      <c r="L48" s="8" t="n">
        <v>2</v>
      </c>
      <c r="M48" s="8" t="inlineStr">
        <is>
          <t>/admin/connectors/crm
/admin/connectors/meetings</t>
        </is>
      </c>
      <c r="N48" s="8" t="inlineStr">
        <is>
          <t>worker/src/routes/admin/connectors.ts</t>
        </is>
      </c>
      <c r="O48" s="8" t="n">
        <v>13</v>
      </c>
      <c r="P48" s="8" t="inlineStr">
        <is>
          <t>classes
crm_api_credentials
crm_connector_settings
crm_field_mappings
crm_lead_links
crm_sync_run_items
crm_sync_runs
enquiries
users
virtual_class_providers
… +3 more</t>
        </is>
      </c>
      <c r="Q48" s="8" t="inlineStr"/>
      <c r="R48" s="8" t="inlineStr"/>
      <c r="S48" s="8" t="inlineStr">
        <is>
          <t>Record which Zoom, Google Meet or Microsoft Teams account live classes run on, and who may use it. Meetings are not created automatically: a teacher pastes each class's join link, and every request that would have needed an automatic meeting is listed here.</t>
        </is>
      </c>
    </row>
    <row r="49">
      <c r="A49" s="8" t="inlineStr">
        <is>
          <t>Super Admin</t>
        </is>
      </c>
      <c r="B49" s="8" t="inlineStr">
        <is>
          <t>Platform Setup</t>
        </is>
      </c>
      <c r="C49" s="8" t="inlineStr">
        <is>
          <t>Payments &amp; Devices</t>
        </is>
      </c>
      <c r="D49" s="8" t="inlineStr">
        <is>
          <t>Tally ERP / Prime Connector</t>
        </is>
      </c>
      <c r="E49" s="11" t="inlineStr">
        <is>
          <t>Good</t>
        </is>
      </c>
      <c r="F49" s="8" t="inlineStr">
        <is>
          <t>advanced</t>
        </is>
      </c>
      <c r="G49" s="8" t="inlineStr">
        <is>
          <t>Must-Have</t>
        </is>
      </c>
      <c r="H49" s="8" t="inlineStr">
        <is>
          <t>platform</t>
        </is>
      </c>
      <c r="I49" s="8" t="inlineStr">
        <is>
          <t>super_admin.payments_devices.tally_erp_prime_connector</t>
        </is>
      </c>
      <c r="J49" s="8" t="inlineStr">
        <is>
          <t>web/src/features/finance/TallyConnector.tsx</t>
        </is>
      </c>
      <c r="K49" s="8" t="inlineStr"/>
      <c r="L49" s="8" t="n">
        <v>3</v>
      </c>
      <c r="M49" s="8" t="inlineStr">
        <is>
          <t>/admin/tally/connector
/finance/ledgers
/finance/tally</t>
        </is>
      </c>
      <c r="N49" s="8" t="inlineStr">
        <is>
          <t>worker/src/routes/admin/tally_connector.ts
worker/src/routes/fees/ledgers.ts
worker/src/routes/fees/tally.ts</t>
        </is>
      </c>
      <c r="O49" s="8" t="n">
        <v>25</v>
      </c>
      <c r="P49" s="8" t="inlineStr">
        <is>
          <t>accounting_years
budget_lines
budgets
departments
depreciation_charges
fixed_assets
invoices
journal_entries
journal_lines
ledger_accounts
… +15 more</t>
        </is>
      </c>
      <c r="Q49" s="8" t="inlineStr"/>
      <c r="R49" s="8" t="inlineStr"/>
      <c r="S49" s="8" t="inlineStr">
        <is>
          <t>Map the school's accounts and cost centres to the ledger names in its Tally company, so the voucher export imports cleanly. Vouchers go across as an XML file the accountant imports into Tally; nothing syncs by itself.</t>
        </is>
      </c>
    </row>
    <row r="50">
      <c r="A50" s="8" t="inlineStr">
        <is>
          <t>Super Admin</t>
        </is>
      </c>
      <c r="B50" s="8" t="inlineStr">
        <is>
          <t>Platform Setup</t>
        </is>
      </c>
      <c r="C50" s="8" t="inlineStr">
        <is>
          <t>Payments &amp; Devices</t>
        </is>
      </c>
      <c r="D50" s="8" t="inlineStr">
        <is>
          <t>Meritto / LeadSquared Sync</t>
        </is>
      </c>
      <c r="E50" s="11" t="inlineStr">
        <is>
          <t>Good</t>
        </is>
      </c>
      <c r="F50" s="8" t="inlineStr">
        <is>
          <t>core</t>
        </is>
      </c>
      <c r="G50" s="8" t="inlineStr">
        <is>
          <t>Should-Have</t>
        </is>
      </c>
      <c r="H50" s="8" t="inlineStr">
        <is>
          <t>platform</t>
        </is>
      </c>
      <c r="I50" s="8" t="inlineStr">
        <is>
          <t>super_admin.payments_devices.meritto_leadsquared_sync</t>
        </is>
      </c>
      <c r="J50" s="8" t="inlineStr">
        <is>
          <t>web/src/features/super_admin/CrmSync.tsx</t>
        </is>
      </c>
      <c r="K50" s="8" t="inlineStr"/>
      <c r="L50" s="8" t="n">
        <v>2</v>
      </c>
      <c r="M50" s="8" t="inlineStr">
        <is>
          <t>/admin/connectors/crm
/admin/connectors/meetings</t>
        </is>
      </c>
      <c r="N50" s="8" t="inlineStr">
        <is>
          <t>worker/src/routes/admin/connectors.ts</t>
        </is>
      </c>
      <c r="O50" s="8" t="n">
        <v>13</v>
      </c>
      <c r="P50" s="8" t="inlineStr">
        <is>
          <t>classes
crm_api_credentials
crm_connector_settings
crm_field_mappings
crm_lead_links
crm_sync_run_items
crm_sync_runs
enquiries
users
virtual_class_providers
… +3 more</t>
        </is>
      </c>
      <c r="Q50" s="8" t="inlineStr"/>
      <c r="R50" s="8" t="inlineStr"/>
      <c r="S50" s="8" t="inlineStr">
        <is>
          <t>Map lead sources, counselor assignments, and multi-touch lead status sync with external CRMs.</t>
        </is>
      </c>
    </row>
    <row r="51">
      <c r="A51" s="8" t="inlineStr">
        <is>
          <t>Super Admin</t>
        </is>
      </c>
      <c r="B51" s="8" t="inlineStr">
        <is>
          <t>Platform Setup</t>
        </is>
      </c>
      <c r="C51" s="8" t="inlineStr">
        <is>
          <t>Statutory &amp; Boards</t>
        </is>
      </c>
      <c r="D51" s="8" t="inlineStr">
        <is>
          <t>SQAA Framework Management</t>
        </is>
      </c>
      <c r="E51" s="11" t="inlineStr">
        <is>
          <t>Good</t>
        </is>
      </c>
      <c r="F51" s="8" t="inlineStr">
        <is>
          <t>advanced</t>
        </is>
      </c>
      <c r="G51" s="8" t="inlineStr">
        <is>
          <t>Should-Have</t>
        </is>
      </c>
      <c r="H51" s="8" t="inlineStr">
        <is>
          <t>platform</t>
        </is>
      </c>
      <c r="I51" s="8" t="inlineStr">
        <is>
          <t>super_admin.statutory_boards.sqaa_framework_management</t>
        </is>
      </c>
      <c r="J51" s="8" t="inlineStr">
        <is>
          <t>web/src/features/super_admin/SQAAFramework.tsx</t>
        </is>
      </c>
      <c r="K51" s="8" t="inlineStr"/>
      <c r="L51" s="8" t="n">
        <v>2</v>
      </c>
      <c r="M51" s="8" t="inlineStr">
        <is>
          <t>/admin/platform
/admin/platform/sqaa</t>
        </is>
      </c>
      <c r="N51" s="8" t="inlineStr">
        <is>
          <t>worker/src/routes/admin/platform_config.ts</t>
        </is>
      </c>
      <c r="O51" s="8" t="n">
        <v>35</v>
      </c>
      <c r="P51" s="8" t="inlineStr">
        <is>
          <t>academic_calendar_models
academic_years
audit_log
auth_policies
backup_policies
backup_runs
board_configurations
board_disclosures
branding_profiles
campuses
… +25 more</t>
        </is>
      </c>
      <c r="Q51" s="8" t="inlineStr">
        <is>
          <t>platform_staff.test.ts</t>
        </is>
      </c>
      <c r="R51" s="8" t="inlineStr"/>
      <c r="S51" s="8" t="inlineStr">
        <is>
          <t>Configure School Quality Assessment and Assurance standards and self-assessment checklists.</t>
        </is>
      </c>
    </row>
    <row r="52">
      <c r="A52" s="8" t="inlineStr">
        <is>
          <t>Super Admin</t>
        </is>
      </c>
      <c r="B52" s="8" t="inlineStr">
        <is>
          <t>Platform Setup</t>
        </is>
      </c>
      <c r="C52" s="8" t="inlineStr">
        <is>
          <t>Statutory &amp; Boards</t>
        </is>
      </c>
      <c r="D52" s="8" t="inlineStr">
        <is>
          <t>UDISE+ Data Sync</t>
        </is>
      </c>
      <c r="E52" s="11" t="inlineStr">
        <is>
          <t>Good</t>
        </is>
      </c>
      <c r="F52" s="8" t="inlineStr">
        <is>
          <t>advanced</t>
        </is>
      </c>
      <c r="G52" s="8" t="inlineStr">
        <is>
          <t>Must-Have</t>
        </is>
      </c>
      <c r="H52" s="8" t="inlineStr">
        <is>
          <t>platform</t>
        </is>
      </c>
      <c r="I52" s="8" t="inlineStr">
        <is>
          <t>super_admin.statutory_boards.udise_data_sync</t>
        </is>
      </c>
      <c r="J52" s="8" t="inlineStr">
        <is>
          <t>web/src/features/compliance/UDISE.tsx</t>
        </is>
      </c>
      <c r="K52" s="8" t="inlineStr"/>
      <c r="L52" s="8" t="n">
        <v>2</v>
      </c>
      <c r="M52" s="8" t="inlineStr">
        <is>
          <t>/compliance/apaar
/compliance/udise</t>
        </is>
      </c>
      <c r="N52" s="8" t="inlineStr">
        <is>
          <t>worker/src/routes/payroll.ts</t>
        </is>
      </c>
      <c r="O52" s="8" t="n">
        <v>35</v>
      </c>
      <c r="P52" s="8" t="inlineStr">
        <is>
          <t>academic_years
announcement_acks
announcement_sections
announcement_students
announcements
classes
contractor_bills
departments
employee_tax_elections
employees
… +25 more</t>
        </is>
      </c>
      <c r="Q52" s="8" t="inlineStr"/>
      <c r="R52" s="8" t="inlineStr"/>
      <c r="S52" s="8" t="inlineStr">
        <is>
          <t>Map school, student, teacher and facility fields to the UDISE+ return format and validate data integrity before submission.</t>
        </is>
      </c>
    </row>
    <row r="53">
      <c r="A53" s="8" t="inlineStr">
        <is>
          <t>Super Admin</t>
        </is>
      </c>
      <c r="B53" s="8" t="inlineStr">
        <is>
          <t>Platform Setup</t>
        </is>
      </c>
      <c r="C53" s="8" t="inlineStr">
        <is>
          <t>Statutory &amp; Boards</t>
        </is>
      </c>
      <c r="D53" s="8" t="inlineStr">
        <is>
          <t>APAAR ID Provisioning</t>
        </is>
      </c>
      <c r="E53" s="11" t="inlineStr">
        <is>
          <t>Good</t>
        </is>
      </c>
      <c r="F53" s="8" t="inlineStr">
        <is>
          <t>advanced</t>
        </is>
      </c>
      <c r="G53" s="8" t="inlineStr">
        <is>
          <t>Must-Have</t>
        </is>
      </c>
      <c r="H53" s="8" t="inlineStr">
        <is>
          <t>platform</t>
        </is>
      </c>
      <c r="I53" s="8" t="inlineStr">
        <is>
          <t>super_admin.statutory_boards.apaar_id_provisioning</t>
        </is>
      </c>
      <c r="J53" s="8" t="inlineStr">
        <is>
          <t>web/src/features/compliance/UDISE.tsx</t>
        </is>
      </c>
      <c r="K53" s="8" t="inlineStr"/>
      <c r="L53" s="8" t="n">
        <v>2</v>
      </c>
      <c r="M53" s="8" t="inlineStr">
        <is>
          <t>/compliance/apaar
/compliance/udise</t>
        </is>
      </c>
      <c r="N53" s="8" t="inlineStr">
        <is>
          <t>worker/src/routes/payroll.ts</t>
        </is>
      </c>
      <c r="O53" s="8" t="n">
        <v>35</v>
      </c>
      <c r="P53" s="8" t="inlineStr">
        <is>
          <t>academic_years
announcement_acks
announcement_sections
announcement_students
announcements
classes
contractor_bills
departments
employee_tax_elections
employees
… +25 more</t>
        </is>
      </c>
      <c r="Q53" s="8" t="inlineStr"/>
      <c r="R53" s="8" t="inlineStr"/>
      <c r="S53" s="8" t="inlineStr">
        <is>
          <t>Generate and reconcile APAAR (One Nation One Student) IDs against Aadhaar and the UDISE+ register.</t>
        </is>
      </c>
    </row>
    <row r="54">
      <c r="A54" s="8" t="inlineStr">
        <is>
          <t>Super Admin</t>
        </is>
      </c>
      <c r="B54" s="8" t="inlineStr">
        <is>
          <t>Platform Setup</t>
        </is>
      </c>
      <c r="C54" s="8" t="inlineStr">
        <is>
          <t>Statutory &amp; Boards</t>
        </is>
      </c>
      <c r="D54" s="8" t="inlineStr">
        <is>
          <t>DigiLocker Issuer Integration</t>
        </is>
      </c>
      <c r="E54" s="12" t="inlineStr">
        <is>
          <t>Planned</t>
        </is>
      </c>
      <c r="F54" s="8" t="inlineStr">
        <is>
          <t>advanced</t>
        </is>
      </c>
      <c r="G54" s="8" t="inlineStr">
        <is>
          <t>Must-Have</t>
        </is>
      </c>
      <c r="H54" s="8" t="inlineStr">
        <is>
          <t>platform</t>
        </is>
      </c>
      <c r="I54" s="8" t="inlineStr">
        <is>
          <t>super_admin.statutory_boards.digilocker_issuer_integration</t>
        </is>
      </c>
      <c r="J54" s="8" t="inlineStr"/>
      <c r="K54" s="8" t="inlineStr"/>
      <c r="L54" s="8" t="n">
        <v>0</v>
      </c>
      <c r="M54" s="8" t="inlineStr"/>
      <c r="N54" s="8" t="inlineStr"/>
      <c r="O54" s="8" t="n">
        <v>0</v>
      </c>
      <c r="P54" s="8" t="inlineStr"/>
      <c r="Q54" s="8" t="inlineStr"/>
      <c r="R54" s="8" t="inlineStr">
        <is>
          <t>In the catalogue, no screen built yet.</t>
        </is>
      </c>
      <c r="S54" s="8" t="inlineStr">
        <is>
          <t>Not buildable here: needs NeGD issuer onboarding and DigiLocker's pull API credentials, which this deployment does not hold. Push transfer certificates, report cards and mark sheets as verifiable documents.</t>
        </is>
      </c>
    </row>
    <row r="55">
      <c r="A55" s="8" t="inlineStr">
        <is>
          <t>Super Admin</t>
        </is>
      </c>
      <c r="B55" s="8" t="inlineStr">
        <is>
          <t>Platform Setup</t>
        </is>
      </c>
      <c r="C55" s="8" t="inlineStr">
        <is>
          <t>Statutory &amp; Boards</t>
        </is>
      </c>
      <c r="D55" s="8" t="inlineStr">
        <is>
          <t>Board Affiliation &amp; Disclosure</t>
        </is>
      </c>
      <c r="E55" s="11" t="inlineStr">
        <is>
          <t>Good</t>
        </is>
      </c>
      <c r="F55" s="8" t="inlineStr">
        <is>
          <t>core</t>
        </is>
      </c>
      <c r="G55" s="8" t="inlineStr">
        <is>
          <t>Should-Have</t>
        </is>
      </c>
      <c r="H55" s="8" t="inlineStr">
        <is>
          <t>platform</t>
        </is>
      </c>
      <c r="I55" s="8" t="inlineStr">
        <is>
          <t>super_admin.statutory_boards.board_affiliation_disclosure</t>
        </is>
      </c>
      <c r="J55" s="8" t="inlineStr">
        <is>
          <t>web/src/features/super_admin/BoardAffiliation.tsx</t>
        </is>
      </c>
      <c r="K55" s="8" t="inlineStr"/>
      <c r="L55" s="8" t="n">
        <v>1</v>
      </c>
      <c r="M55" s="8" t="inlineStr">
        <is>
          <t>/admin/platform</t>
        </is>
      </c>
      <c r="N55" s="8" t="inlineStr">
        <is>
          <t>worker/src/routes/admin/platform_config.ts</t>
        </is>
      </c>
      <c r="O55" s="8" t="n">
        <v>35</v>
      </c>
      <c r="P55" s="8" t="inlineStr">
        <is>
          <t>academic_calendar_models
academic_years
audit_log
auth_policies
backup_policies
backup_runs
board_configurations
board_disclosures
branding_profiles
campuses
… +25 more</t>
        </is>
      </c>
      <c r="Q55" s="8" t="inlineStr">
        <is>
          <t>platform_staff.test.ts</t>
        </is>
      </c>
      <c r="R55" s="8" t="inlineStr"/>
      <c r="S55" s="8" t="inlineStr">
        <is>
          <t>Maintain CBSE/ICSE/State affiliation numbers, mandatory public disclosure documents and renewal dates.</t>
        </is>
      </c>
    </row>
    <row r="56">
      <c r="A56" s="8" t="inlineStr">
        <is>
          <t>Super Admin</t>
        </is>
      </c>
      <c r="B56" s="8" t="inlineStr">
        <is>
          <t>Platform Setup</t>
        </is>
      </c>
      <c r="C56" s="8" t="inlineStr">
        <is>
          <t>Statutory &amp; Boards</t>
        </is>
      </c>
      <c r="D56" s="8" t="inlineStr">
        <is>
          <t>State Board Configuration</t>
        </is>
      </c>
      <c r="E56" s="11" t="inlineStr">
        <is>
          <t>Good</t>
        </is>
      </c>
      <c r="F56" s="8" t="inlineStr">
        <is>
          <t>advanced</t>
        </is>
      </c>
      <c r="G56" s="8" t="inlineStr">
        <is>
          <t>Should-Have</t>
        </is>
      </c>
      <c r="H56" s="8" t="inlineStr">
        <is>
          <t>platform</t>
        </is>
      </c>
      <c r="I56" s="8" t="inlineStr">
        <is>
          <t>super_admin.statutory_boards.state_board_configuration</t>
        </is>
      </c>
      <c r="J56" s="8" t="inlineStr">
        <is>
          <t>web/src/features/super_admin/StateBoardConfig.tsx</t>
        </is>
      </c>
      <c r="K56" s="8" t="inlineStr"/>
      <c r="L56" s="8" t="n">
        <v>1</v>
      </c>
      <c r="M56" s="8" t="inlineStr">
        <is>
          <t>/admin/platform</t>
        </is>
      </c>
      <c r="N56" s="8" t="inlineStr">
        <is>
          <t>worker/src/routes/admin/platform_config.ts</t>
        </is>
      </c>
      <c r="O56" s="8" t="n">
        <v>35</v>
      </c>
      <c r="P56" s="8" t="inlineStr">
        <is>
          <t>academic_calendar_models
academic_years
audit_log
auth_policies
backup_policies
backup_runs
board_configurations
board_disclosures
branding_profiles
campuses
… +25 more</t>
        </is>
      </c>
      <c r="Q56" s="8" t="inlineStr">
        <is>
          <t>platform_staff.test.ts</t>
        </is>
      </c>
      <c r="R56" s="8" t="inlineStr"/>
      <c r="S56" s="8" t="inlineStr">
        <is>
          <t>Select the state education board (BSE Telangana SSC, TSBIE Intermediate, CBSE, ICSE) and its grading and assessment rules.</t>
        </is>
      </c>
    </row>
    <row r="57">
      <c r="A57" s="8" t="inlineStr">
        <is>
          <t>Super Admin</t>
        </is>
      </c>
      <c r="B57" s="8" t="inlineStr">
        <is>
          <t>Platform Setup</t>
        </is>
      </c>
      <c r="C57" s="8" t="inlineStr">
        <is>
          <t>Statutory &amp; Boards</t>
        </is>
      </c>
      <c r="D57" s="8" t="inlineStr">
        <is>
          <t>School Management Type</t>
        </is>
      </c>
      <c r="E57" s="11" t="inlineStr">
        <is>
          <t>Good</t>
        </is>
      </c>
      <c r="F57" s="8" t="inlineStr">
        <is>
          <t>core</t>
        </is>
      </c>
      <c r="G57" s="8" t="inlineStr">
        <is>
          <t>Should-Have</t>
        </is>
      </c>
      <c r="H57" s="8" t="inlineStr">
        <is>
          <t>platform</t>
        </is>
      </c>
      <c r="I57" s="8" t="inlineStr">
        <is>
          <t>super_admin.statutory_boards.school_management_type</t>
        </is>
      </c>
      <c r="J57" s="8" t="inlineStr">
        <is>
          <t>web/src/features/super_admin/ManagementType.tsx</t>
        </is>
      </c>
      <c r="K57" s="8" t="inlineStr"/>
      <c r="L57" s="8" t="n">
        <v>1</v>
      </c>
      <c r="M57" s="8" t="inlineStr">
        <is>
          <t>/admin/platform</t>
        </is>
      </c>
      <c r="N57" s="8" t="inlineStr">
        <is>
          <t>worker/src/routes/admin/platform_config.ts</t>
        </is>
      </c>
      <c r="O57" s="8" t="n">
        <v>35</v>
      </c>
      <c r="P57" s="8" t="inlineStr">
        <is>
          <t>academic_calendar_models
academic_years
audit_log
auth_policies
backup_policies
backup_runs
board_configurations
board_disclosures
branding_profiles
campuses
… +25 more</t>
        </is>
      </c>
      <c r="Q57" s="8" t="inlineStr">
        <is>
          <t>platform_staff.test.ts</t>
        </is>
      </c>
      <c r="R57" s="8" t="inlineStr"/>
      <c r="S57" s="8" t="inlineStr">
        <is>
          <t>Classify each campus as Government, Aided, Private Unaided, Model School, Gurukul or KGBV for state reporting.</t>
        </is>
      </c>
    </row>
    <row r="58">
      <c r="A58" s="8" t="inlineStr">
        <is>
          <t>Super Admin</t>
        </is>
      </c>
      <c r="B58" s="8" t="inlineStr">
        <is>
          <t>Platform Setup</t>
        </is>
      </c>
      <c r="C58" s="8" t="inlineStr">
        <is>
          <t>Statutory &amp; Boards</t>
        </is>
      </c>
      <c r="D58" s="8" t="inlineStr">
        <is>
          <t>District &amp; Mandal Master</t>
        </is>
      </c>
      <c r="E58" s="11" t="inlineStr">
        <is>
          <t>Good</t>
        </is>
      </c>
      <c r="F58" s="8" t="inlineStr">
        <is>
          <t>core</t>
        </is>
      </c>
      <c r="G58" s="8" t="inlineStr">
        <is>
          <t>Should-Have</t>
        </is>
      </c>
      <c r="H58" s="8" t="inlineStr">
        <is>
          <t>platform</t>
        </is>
      </c>
      <c r="I58" s="8" t="inlineStr">
        <is>
          <t>super_admin.statutory_boards.district_mandal_master</t>
        </is>
      </c>
      <c r="J58" s="8" t="inlineStr">
        <is>
          <t>web/src/features/super_admin/DistrictMandalMaster.tsx</t>
        </is>
      </c>
      <c r="K58" s="8" t="inlineStr"/>
      <c r="L58" s="8" t="n">
        <v>2</v>
      </c>
      <c r="M58" s="8" t="inlineStr">
        <is>
          <t>/admin/platform
/admin/platform/locations</t>
        </is>
      </c>
      <c r="N58" s="8" t="inlineStr">
        <is>
          <t>worker/src/routes/admin/platform_config.ts</t>
        </is>
      </c>
      <c r="O58" s="8" t="n">
        <v>35</v>
      </c>
      <c r="P58" s="8" t="inlineStr">
        <is>
          <t>academic_calendar_models
academic_years
audit_log
auth_policies
backup_policies
backup_runs
board_configurations
board_disclosures
branding_profiles
campuses
… +25 more</t>
        </is>
      </c>
      <c r="Q58" s="8" t="inlineStr">
        <is>
          <t>platform_staff.test.ts</t>
        </is>
      </c>
      <c r="R58" s="8" t="inlineStr"/>
      <c r="S58" s="8" t="inlineStr">
        <is>
          <t>Maintain state, district, mandal and village/ward codes used by every government return.</t>
        </is>
      </c>
    </row>
    <row r="59">
      <c r="A59" s="8" t="inlineStr">
        <is>
          <t>Super Admin</t>
        </is>
      </c>
      <c r="B59" s="8" t="inlineStr">
        <is>
          <t>Platform Setup</t>
        </is>
      </c>
      <c r="C59" s="8" t="inlineStr">
        <is>
          <t>Statutory &amp; Boards</t>
        </is>
      </c>
      <c r="D59" s="8" t="inlineStr">
        <is>
          <t>Child Info Portal Sync</t>
        </is>
      </c>
      <c r="E59" s="11" t="inlineStr">
        <is>
          <t>Good</t>
        </is>
      </c>
      <c r="F59" s="8" t="inlineStr">
        <is>
          <t>core</t>
        </is>
      </c>
      <c r="G59" s="8" t="inlineStr">
        <is>
          <t>Must-Have</t>
        </is>
      </c>
      <c r="H59" s="8" t="inlineStr">
        <is>
          <t>platform</t>
        </is>
      </c>
      <c r="I59" s="8" t="inlineStr">
        <is>
          <t>super_admin.statutory_boards.child_info_portal_sync</t>
        </is>
      </c>
      <c r="J59" s="8" t="inlineStr">
        <is>
          <t>web/src/features/compliance/ChildInfoPortal.tsx</t>
        </is>
      </c>
      <c r="K59" s="8" t="inlineStr"/>
      <c r="L59" s="8" t="n">
        <v>6</v>
      </c>
      <c r="M59" s="8" t="inlineStr">
        <is>
          <t>/admin/institutions
/statutory/portal/connectors
/statutory/portal/connectors/{}
/statutory/portal/connectors/{}/runs
/statutory/portal/export
/statutory/portal/runs</t>
        </is>
      </c>
      <c r="N59" s="8" t="inlineStr">
        <is>
          <t>worker/src/routes/admin/users.ts
worker/src/routes/statutory.ts</t>
        </is>
      </c>
      <c r="O59" s="8" t="n">
        <v>55</v>
      </c>
      <c r="P59" s="8" t="inlineStr">
        <is>
          <t>academic_calendar_models
academic_years
applications
board_registrations
campuses
child_info_differences
child_info_imports
child_info_portal_connectors
child_info_resolutions
child_info_rows
… +45 more</t>
        </is>
      </c>
      <c r="Q59" s="8" t="inlineStr"/>
      <c r="R59" s="8" t="inlineStr"/>
      <c r="S59" s="8" t="inlineStr">
        <is>
          <t>Map school and student records to the Telangana Child Info portal register and reconcile differences.</t>
        </is>
      </c>
    </row>
    <row r="60">
      <c r="A60" s="8" t="inlineStr">
        <is>
          <t>Super Admin</t>
        </is>
      </c>
      <c r="B60" s="8" t="inlineStr">
        <is>
          <t>Platform Setup</t>
        </is>
      </c>
      <c r="C60" s="8" t="inlineStr">
        <is>
          <t>Operations</t>
        </is>
      </c>
      <c r="D60" s="8" t="inlineStr">
        <is>
          <t>Data Backup &amp; Restore</t>
        </is>
      </c>
      <c r="E60" s="11" t="inlineStr">
        <is>
          <t>Good</t>
        </is>
      </c>
      <c r="F60" s="8" t="inlineStr">
        <is>
          <t>core</t>
        </is>
      </c>
      <c r="G60" s="8" t="inlineStr">
        <is>
          <t>Should-Have</t>
        </is>
      </c>
      <c r="H60" s="8" t="inlineStr">
        <is>
          <t>platform</t>
        </is>
      </c>
      <c r="I60" s="8" t="inlineStr">
        <is>
          <t>super_admin.operations.data_backup_restore</t>
        </is>
      </c>
      <c r="J60" s="8" t="inlineStr">
        <is>
          <t>web/src/features/super_admin/BackupRestore.tsx</t>
        </is>
      </c>
      <c r="K60" s="8" t="inlineStr"/>
      <c r="L60" s="8" t="n">
        <v>2</v>
      </c>
      <c r="M60" s="8" t="inlineStr">
        <is>
          <t>/admin/data-export
/admin/platform</t>
        </is>
      </c>
      <c r="N60" s="8" t="inlineStr">
        <is>
          <t>worker/src/routes/admin/platform_config.ts
worker/src/routes/seller/lifecycle.ts</t>
        </is>
      </c>
      <c r="O60" s="8" t="n">
        <v>41</v>
      </c>
      <c r="P60" s="8" t="inlineStr">
        <is>
          <t>academic_calendar_models
academic_years
audit_log
auth_policies
backup_policies
backup_runs
backups
board_configurations
board_disclosures
branding_profiles
… +31 more</t>
        </is>
      </c>
      <c r="Q60" s="8" t="inlineStr">
        <is>
          <t>platform_staff.test.ts</t>
        </is>
      </c>
      <c r="R60" s="8" t="inlineStr"/>
      <c r="S60" s="8" t="inlineStr">
        <is>
          <t>The backup policy each school is held to (how often, how long kept) and the register of backups reported against it, with a warning when the newest restore point is older than the policy allows. Restores are done by the operator, not from this screen.</t>
        </is>
      </c>
    </row>
    <row r="61">
      <c r="A61" s="8" t="inlineStr">
        <is>
          <t>Super Admin</t>
        </is>
      </c>
      <c r="B61" s="8" t="inlineStr">
        <is>
          <t>Platform Setup</t>
        </is>
      </c>
      <c r="C61" s="8" t="inlineStr">
        <is>
          <t>Operations</t>
        </is>
      </c>
      <c r="D61" s="8" t="inlineStr">
        <is>
          <t>System Health &amp; Integration Alerts</t>
        </is>
      </c>
      <c r="E61" s="10" t="inlineStr">
        <is>
          <t>Check</t>
        </is>
      </c>
      <c r="F61" s="8" t="inlineStr">
        <is>
          <t>core</t>
        </is>
      </c>
      <c r="G61" s="8" t="inlineStr">
        <is>
          <t>Must-Have</t>
        </is>
      </c>
      <c r="H61" s="8" t="inlineStr">
        <is>
          <t>platform</t>
        </is>
      </c>
      <c r="I61" s="8" t="inlineStr">
        <is>
          <t>super_admin.operations.system_health_integration_alerts</t>
        </is>
      </c>
      <c r="J61" s="8" t="inlineStr">
        <is>
          <t>web/src/features/shared/Jobs.tsx</t>
        </is>
      </c>
      <c r="K61" s="8" t="inlineStr"/>
      <c r="L61" s="8" t="n">
        <v>4</v>
      </c>
      <c r="M61" s="8" t="inlineStr">
        <is>
          <t>/academics/sections
/jobs
/jobs/queues
/jobs/{}</t>
        </is>
      </c>
      <c r="N61" s="8" t="inlineStr">
        <is>
          <t>worker/src/routes/academics.ts
worker/src/routes/daily.ts</t>
        </is>
      </c>
      <c r="O61" s="8" t="n">
        <v>59</v>
      </c>
      <c r="P61" s="8" t="inlineStr">
        <is>
          <t>absence_followup_section_done
academic_years
activities
applications
attendance_corrections
bell_schedules
board_memberships
campuses
class_subjects
classes
… +49 more</t>
        </is>
      </c>
      <c r="Q61" s="8" t="inlineStr">
        <is>
          <t>access.test.ts
background.test.ts</t>
        </is>
      </c>
      <c r="R61" s="8" t="inlineStr">
        <is>
          <t>1 step(s) in its backend files answer "not ported" (see Not ported tab).</t>
        </is>
      </c>
      <c r="S61" s="8" t="inlineStr">
        <is>
          <t>Monitor failed Webhooks, payment gateway time-outs, SMS delivery failures, and API errors.</t>
        </is>
      </c>
    </row>
    <row r="62">
      <c r="A62" s="8" t="inlineStr">
        <is>
          <t>Super Admin</t>
        </is>
      </c>
      <c r="B62" s="8" t="inlineStr">
        <is>
          <t>AI &amp; Automation</t>
        </is>
      </c>
      <c r="C62" s="8" t="inlineStr">
        <is>
          <t>AI &amp; Automation</t>
        </is>
      </c>
      <c r="D62" s="8" t="inlineStr">
        <is>
          <t>Predictive Dropout Risk Engine</t>
        </is>
      </c>
      <c r="E62" s="11" t="inlineStr">
        <is>
          <t>Good</t>
        </is>
      </c>
      <c r="F62" s="8" t="inlineStr">
        <is>
          <t>core</t>
        </is>
      </c>
      <c r="G62" s="8" t="inlineStr">
        <is>
          <t>Nice-to-Have</t>
        </is>
      </c>
      <c r="H62" s="8" t="inlineStr">
        <is>
          <t>platform</t>
        </is>
      </c>
      <c r="I62" s="8" t="inlineStr">
        <is>
          <t>super_admin.ai_automation.predictive_dropout_risk_engine</t>
        </is>
      </c>
      <c r="J62" s="8" t="inlineStr">
        <is>
          <t>web/src/features/super_admin/DropoutRisk.tsx</t>
        </is>
      </c>
      <c r="K62" s="8" t="inlineStr"/>
      <c r="L62" s="8" t="n">
        <v>1</v>
      </c>
      <c r="M62" s="8" t="inlineStr">
        <is>
          <t>/admin/signals/dropout-risk</t>
        </is>
      </c>
      <c r="N62" s="8" t="inlineStr">
        <is>
          <t>worker/src/routes/admin/platform_signals.ts</t>
        </is>
      </c>
      <c r="O62" s="8" t="n">
        <v>6</v>
      </c>
      <c r="P62" s="8" t="inlineStr">
        <is>
          <t>exam_subjects
exams
invoices
marks
student_attendance
students</t>
        </is>
      </c>
      <c r="Q62" s="8" t="inlineStr"/>
      <c r="R62" s="8" t="inlineStr"/>
      <c r="S62" s="8" t="inlineStr">
        <is>
          <t>Rules, not a model: attendance under 75% in the last 30 days, a fee more than a month late, the last exam below pass. Counted per school; at risk on two of three. Names are read inside the school.</t>
        </is>
      </c>
    </row>
    <row r="63">
      <c r="A63" s="8" t="inlineStr">
        <is>
          <t>Super Admin</t>
        </is>
      </c>
      <c r="B63" s="8" t="inlineStr">
        <is>
          <t>AI &amp; Automation</t>
        </is>
      </c>
      <c r="C63" s="8" t="inlineStr">
        <is>
          <t>AI &amp; Automation</t>
        </is>
      </c>
      <c r="D63" s="8" t="inlineStr">
        <is>
          <t>Automated Timetable Optimizer</t>
        </is>
      </c>
      <c r="E63" s="11" t="inlineStr">
        <is>
          <t>Good</t>
        </is>
      </c>
      <c r="F63" s="8" t="inlineStr">
        <is>
          <t>core</t>
        </is>
      </c>
      <c r="G63" s="8" t="inlineStr">
        <is>
          <t>Nice-to-Have</t>
        </is>
      </c>
      <c r="H63" s="8" t="inlineStr">
        <is>
          <t>platform</t>
        </is>
      </c>
      <c r="I63" s="8" t="inlineStr">
        <is>
          <t>super_admin.ai_automation.automated_timetable_optimizer</t>
        </is>
      </c>
      <c r="J63" s="8" t="inlineStr">
        <is>
          <t>web/src/features/academics/TimetableOptimizer.tsx</t>
        </is>
      </c>
      <c r="K63" s="8" t="inlineStr"/>
      <c r="L63" s="8" t="n">
        <v>9</v>
      </c>
      <c r="M63" s="8" t="inlineStr">
        <is>
          <t>/timetable-optimizer/drafts
/timetable-optimizer/drafts/{}
/timetable-optimizer/drafts/{}/discard
/timetable-optimizer/drafts/{}/publish
/timetable-optimizer/inputs
/timetable-optimizer/load-rules
/timetable-optimizer/requirements
/timetable-optimizer/unavailability
… +1 more</t>
        </is>
      </c>
      <c r="N63" s="8" t="inlineStr">
        <is>
          <t>worker/src/routes/scheduling/optimizer.ts</t>
        </is>
      </c>
      <c r="O63" s="8" t="n">
        <v>19</v>
      </c>
      <c r="P63" s="8" t="inlineStr">
        <is>
          <t>class_subjects
classes
departments
employees
enrollments
guardians
periods
section_subject_teachers
sections
student_guardians
… +9 more</t>
        </is>
      </c>
      <c r="Q63" s="8" t="inlineStr"/>
      <c r="R63" s="8" t="inlineStr"/>
      <c r="S63" s="8" t="inlineStr">
        <is>
          <t>Genetic algorithms solving complex multi-variable faculty, room, and elective timetable constraints.</t>
        </is>
      </c>
    </row>
    <row r="64">
      <c r="A64" s="8" t="inlineStr">
        <is>
          <t>Super Admin</t>
        </is>
      </c>
      <c r="B64" s="8" t="inlineStr">
        <is>
          <t>AI &amp; Automation</t>
        </is>
      </c>
      <c r="C64" s="8" t="inlineStr">
        <is>
          <t>AI &amp; Automation</t>
        </is>
      </c>
      <c r="D64" s="8" t="inlineStr">
        <is>
          <t>AI Sentiment Analysis on Feedback</t>
        </is>
      </c>
      <c r="E64" s="12" t="inlineStr">
        <is>
          <t>Planned</t>
        </is>
      </c>
      <c r="F64" s="8" t="inlineStr">
        <is>
          <t>core</t>
        </is>
      </c>
      <c r="G64" s="8" t="inlineStr">
        <is>
          <t>Nice-to-Have</t>
        </is>
      </c>
      <c r="H64" s="8" t="inlineStr">
        <is>
          <t>platform</t>
        </is>
      </c>
      <c r="I64" s="8" t="inlineStr">
        <is>
          <t>super_admin.ai_automation.ai_sentiment_analysis_on_feedback</t>
        </is>
      </c>
      <c r="J64" s="8" t="inlineStr"/>
      <c r="K64" s="8" t="inlineStr"/>
      <c r="L64" s="8" t="n">
        <v>0</v>
      </c>
      <c r="M64" s="8" t="inlineStr"/>
      <c r="N64" s="8" t="inlineStr"/>
      <c r="O64" s="8" t="n">
        <v>0</v>
      </c>
      <c r="P64" s="8" t="inlineStr"/>
      <c r="Q64" s="8" t="inlineStr"/>
      <c r="R64" s="8" t="inlineStr">
        <is>
          <t>In the catalogue, no screen built yet.</t>
        </is>
      </c>
      <c r="S64" s="8" t="inlineStr">
        <is>
          <t>Not buildable here: needs an NLP service, and the product stores no ratings to summarise honestly without one. Gauge campus sentiment from parent complaints and reviews.</t>
        </is>
      </c>
    </row>
    <row r="65">
      <c r="A65" s="8" t="inlineStr">
        <is>
          <t>Super Admin</t>
        </is>
      </c>
      <c r="B65" s="8" t="inlineStr">
        <is>
          <t>AI &amp; Automation</t>
        </is>
      </c>
      <c r="C65" s="8" t="inlineStr">
        <is>
          <t>AI &amp; Automation</t>
        </is>
      </c>
      <c r="D65" s="8" t="inlineStr">
        <is>
          <t>Automated Exam Question Translation</t>
        </is>
      </c>
      <c r="E65" s="12" t="inlineStr">
        <is>
          <t>Planned</t>
        </is>
      </c>
      <c r="F65" s="8" t="inlineStr">
        <is>
          <t>core</t>
        </is>
      </c>
      <c r="G65" s="8" t="inlineStr">
        <is>
          <t>Nice-to-Have</t>
        </is>
      </c>
      <c r="H65" s="8" t="inlineStr">
        <is>
          <t>platform</t>
        </is>
      </c>
      <c r="I65" s="8" t="inlineStr">
        <is>
          <t>super_admin.ai_automation.automated_exam_question_translation</t>
        </is>
      </c>
      <c r="J65" s="8" t="inlineStr"/>
      <c r="K65" s="8" t="inlineStr"/>
      <c r="L65" s="8" t="n">
        <v>0</v>
      </c>
      <c r="M65" s="8" t="inlineStr"/>
      <c r="N65" s="8" t="inlineStr"/>
      <c r="O65" s="8" t="n">
        <v>0</v>
      </c>
      <c r="P65" s="8" t="inlineStr"/>
      <c r="Q65" s="8" t="inlineStr"/>
      <c r="R65" s="8" t="inlineStr">
        <is>
          <t>In the catalogue, no screen built yet.</t>
        </is>
      </c>
      <c r="S65" s="8" t="inlineStr">
        <is>
          <t>Not buildable here: needs a machine translation service this deployment does not have. Convert English question banks into regional languages.</t>
        </is>
      </c>
    </row>
    <row r="66">
      <c r="A66" s="8" t="inlineStr">
        <is>
          <t>Super Admin</t>
        </is>
      </c>
      <c r="B66" s="8" t="inlineStr">
        <is>
          <t>AI &amp; Automation</t>
        </is>
      </c>
      <c r="C66" s="8" t="inlineStr">
        <is>
          <t>AI &amp; Automation</t>
        </is>
      </c>
      <c r="D66" s="8" t="inlineStr">
        <is>
          <t>Smart Fee Cash Flow Predictor</t>
        </is>
      </c>
      <c r="E66" s="11" t="inlineStr">
        <is>
          <t>Good</t>
        </is>
      </c>
      <c r="F66" s="8" t="inlineStr">
        <is>
          <t>core</t>
        </is>
      </c>
      <c r="G66" s="8" t="inlineStr">
        <is>
          <t>Nice-to-Have</t>
        </is>
      </c>
      <c r="H66" s="8" t="inlineStr">
        <is>
          <t>platform</t>
        </is>
      </c>
      <c r="I66" s="8" t="inlineStr">
        <is>
          <t>super_admin.ai_automation.smart_fee_cash_flow_predictor</t>
        </is>
      </c>
      <c r="J66" s="8" t="inlineStr">
        <is>
          <t>web/src/features/super_admin/CashOutlook.tsx</t>
        </is>
      </c>
      <c r="K66" s="8" t="inlineStr"/>
      <c r="L66" s="8" t="n">
        <v>1</v>
      </c>
      <c r="M66" s="8" t="inlineStr">
        <is>
          <t>/admin/signals/cash-flow</t>
        </is>
      </c>
      <c r="N66" s="8" t="inlineStr">
        <is>
          <t>worker/src/routes/admin/platform_signals.ts</t>
        </is>
      </c>
      <c r="O66" s="8" t="n">
        <v>6</v>
      </c>
      <c r="P66" s="8" t="inlineStr">
        <is>
          <t>exam_subjects
exams
invoices
marks
student_attendance
students</t>
        </is>
      </c>
      <c r="Q66" s="8" t="inlineStr"/>
      <c r="R66" s="8" t="inlineStr"/>
      <c r="S66" s="8" t="inlineStr">
        <is>
          <t>What falls due in each of the next three months, times the share of the last twelve months' demand each school actually collected. Arithmetic on the row, not a model; the overdue backlog shown beside it.</t>
        </is>
      </c>
    </row>
    <row r="67">
      <c r="A67" s="8" t="inlineStr">
        <is>
          <t>Institution Admin / Principal</t>
        </is>
      </c>
      <c r="B67" s="8" t="inlineStr">
        <is>
          <t>Home</t>
        </is>
      </c>
      <c r="C67" s="8" t="inlineStr">
        <is>
          <t>Home</t>
        </is>
      </c>
      <c r="D67" s="8" t="inlineStr">
        <is>
          <t>Dashboard</t>
        </is>
      </c>
      <c r="E67" s="10" t="inlineStr">
        <is>
          <t>Check</t>
        </is>
      </c>
      <c r="F67" s="8" t="inlineStr">
        <is>
          <t>core</t>
        </is>
      </c>
      <c r="G67" s="8" t="inlineStr">
        <is>
          <t>Must-Have</t>
        </is>
      </c>
      <c r="H67" s="8" t="inlineStr">
        <is>
          <t>institution</t>
        </is>
      </c>
      <c r="I67" s="8" t="inlineStr">
        <is>
          <t>institution_admin.home.dashboard</t>
        </is>
      </c>
      <c r="J67" s="8" t="inlineStr">
        <is>
          <t>web/src/features/principal/Dashboard.tsx</t>
        </is>
      </c>
      <c r="K67" s="8" t="inlineStr">
        <is>
          <t>web/src/features/bento/PrincipalDashboard.tsx</t>
        </is>
      </c>
      <c r="L67" s="8" t="n">
        <v>47</v>
      </c>
      <c r="M67" s="8" t="inlineStr">
        <is>
          <t>/academics/admin/calendar
/academics/admin/substitution-board
/academics/classes
/ai/briefs/principal
/ai/briefs/student/{}
/ai/draft
/ai/import/analyze
/ai/import/commit
… +39 more</t>
        </is>
      </c>
      <c r="N67" s="8" t="inlineStr">
        <is>
          <t>worker/src/routes/academics.ts
worker/src/routes/academics/admin.ts
worker/src/routes/admin/loose.ts
worker/src/routes/admin/metrics.ts
worker/src/routes/ai/briefs.ts
worker/src/routes/ai/drafting.ts
… +14 more</t>
        </is>
      </c>
      <c r="O67" s="8" t="n">
        <v>154</v>
      </c>
      <c r="P67" s="8" t="inlineStr">
        <is>
          <t>absence_followup_section_done
academic_years
activities
ai_warning_dismissals
ai_warnings
alumni_contributions
alumni_event_rsvps
alumni_events
alumni_profiles
announcement_acks
… +144 more</t>
        </is>
      </c>
      <c r="Q67" s="8" t="inlineStr">
        <is>
          <t>admissions_crm.test.ts
ai.test.ts
ai_briefs.test.ts
ai_warnings_import.test.ts
class_status_gaps.test.ts
concerns.test.ts
… +5 more</t>
        </is>
      </c>
      <c r="R67" s="8" t="inlineStr">
        <is>
          <t>2 step(s) in its backend files answer "not ported" (see Not ported tab).</t>
        </is>
      </c>
      <c r="S67" s="8" t="inlineStr">
        <is>
          <t>The school on one page: the numbers at the top, what needs the principal today in the middle, and the day's events and cover at the foot.</t>
        </is>
      </c>
    </row>
    <row r="68">
      <c r="A68" s="8" t="inlineStr">
        <is>
          <t>Institution Admin / Principal</t>
        </is>
      </c>
      <c r="B68" s="8" t="inlineStr">
        <is>
          <t>Home</t>
        </is>
      </c>
      <c r="C68" s="8" t="inlineStr">
        <is>
          <t>Getting Started</t>
        </is>
      </c>
      <c r="D68" s="8" t="inlineStr">
        <is>
          <t>School setup</t>
        </is>
      </c>
      <c r="E68" s="10" t="inlineStr">
        <is>
          <t>Check</t>
        </is>
      </c>
      <c r="F68" s="8" t="inlineStr">
        <is>
          <t>core</t>
        </is>
      </c>
      <c r="G68" s="8" t="inlineStr">
        <is>
          <t>Must-Have</t>
        </is>
      </c>
      <c r="H68" s="8" t="inlineStr">
        <is>
          <t>institution</t>
        </is>
      </c>
      <c r="I68" s="8" t="inlineStr">
        <is>
          <t>institution_admin.getting_started.school_setup</t>
        </is>
      </c>
      <c r="J68" s="8" t="inlineStr">
        <is>
          <t>web/src/features/setup/Wizard.tsx</t>
        </is>
      </c>
      <c r="K68" s="8" t="inlineStr"/>
      <c r="L68" s="8" t="n">
        <v>53</v>
      </c>
      <c r="M68" s="8" t="inlineStr">
        <is>
          <t>/academics/classes
/academics/sections
/academics/subjects
/academics/years
/admin/assignable-roles
/admin/institutions
/admin/roles
/fees/concessions
… +45 more</t>
        </is>
      </c>
      <c r="N68" s="8" t="inlineStr">
        <is>
          <t>worker/src/router.ts
worker/src/routes/academics.ts
worker/src/routes/admin/users.ts
worker/src/routes/daily.ts
worker/src/routes/fees/invoicing.ts
worker/src/routes/fees/refunds.ts
… +7 more</t>
        </is>
      </c>
      <c r="O68" s="8" t="n">
        <v>110</v>
      </c>
      <c r="P68" s="8" t="inlineStr">
        <is>
          <t>absence_followup_section_done
academic_years
activities
applications
attendance_corrections
audit_log
bell_schedules
biometric_devices
biometric_punches
board_memberships
… +100 more</t>
        </is>
      </c>
      <c r="Q68" s="8" t="inlineStr">
        <is>
          <t>access.test.ts
admissions_rte.test.ts
auth.test.ts
class_status_gaps.test.ts
d1_health.test.ts
edge.test.ts
… +13 more</t>
        </is>
      </c>
      <c r="R68" s="8" t="inlineStr">
        <is>
          <t>1 step(s) in its backend files answer "not ported" (see Not ported tab).</t>
        </is>
      </c>
      <c r="S68" s="8" t="inlineStr">
        <is>
          <t>Every step of setting the school up, in the order each one depends on the last: the year, classes, sections, subjects, the school day, staff, students, grading, fees and exams. Shows what is done, what is left, and what each remaining step unlocks.</t>
        </is>
      </c>
    </row>
    <row r="69">
      <c r="A69" s="8" t="inlineStr">
        <is>
          <t>Institution Admin / Principal</t>
        </is>
      </c>
      <c r="B69" s="8" t="inlineStr">
        <is>
          <t>Home</t>
        </is>
      </c>
      <c r="C69" s="8" t="inlineStr">
        <is>
          <t>Approvals</t>
        </is>
      </c>
      <c r="D69" s="8" t="inlineStr">
        <is>
          <t>Approvals</t>
        </is>
      </c>
      <c r="E69" s="10" t="inlineStr">
        <is>
          <t>Check</t>
        </is>
      </c>
      <c r="F69" s="8" t="inlineStr">
        <is>
          <t>core</t>
        </is>
      </c>
      <c r="G69" s="8" t="inlineStr">
        <is>
          <t>Must-Have</t>
        </is>
      </c>
      <c r="H69" s="8" t="inlineStr">
        <is>
          <t>institution</t>
        </is>
      </c>
      <c r="I69" s="8" t="inlineStr">
        <is>
          <t>institution_admin.approvals.approvals</t>
        </is>
      </c>
      <c r="J69" s="8" t="inlineStr">
        <is>
          <t>web/src/features/workflow/Approvals.tsx</t>
        </is>
      </c>
      <c r="K69" s="8" t="inlineStr"/>
      <c r="L69" s="8" t="n">
        <v>1</v>
      </c>
      <c r="M69" s="8" t="inlineStr">
        <is>
          <t>/workflow/approvals</t>
        </is>
      </c>
      <c r="N69" s="8" t="inlineStr">
        <is>
          <t>worker/src/routes/daily.ts</t>
        </is>
      </c>
      <c r="O69" s="8" t="n">
        <v>51</v>
      </c>
      <c r="P69" s="8" t="inlineStr">
        <is>
          <t>absence_followup_section_done
academic_years
applications
attendance_corrections
bell_schedules
board_memberships
campuses
class_subjects
classes
departments
… +41 more</t>
        </is>
      </c>
      <c r="Q69" s="8" t="inlineStr"/>
      <c r="R69" s="8" t="inlineStr">
        <is>
          <t>1 step(s) in its backend files answer "not ported" (see Not ported tab).</t>
        </is>
      </c>
      <c r="S69" s="8" t="inlineStr">
        <is>
          <t>Everything waiting on a signature, leave, attendance corrections, fee concessions, in one queue rather than one queue per module.</t>
        </is>
      </c>
    </row>
    <row r="70">
      <c r="A70" s="8" t="inlineStr">
        <is>
          <t>Institution Admin / Principal</t>
        </is>
      </c>
      <c r="B70" s="8" t="inlineStr">
        <is>
          <t>Students</t>
        </is>
      </c>
      <c r="C70" s="8" t="inlineStr">
        <is>
          <t>Students</t>
        </is>
      </c>
      <c r="D70" s="8" t="inlineStr">
        <is>
          <t>Student 360</t>
        </is>
      </c>
      <c r="E70" s="10" t="inlineStr">
        <is>
          <t>Check</t>
        </is>
      </c>
      <c r="F70" s="8" t="inlineStr">
        <is>
          <t>core</t>
        </is>
      </c>
      <c r="G70" s="8" t="inlineStr">
        <is>
          <t>Must-Have</t>
        </is>
      </c>
      <c r="H70" s="8" t="inlineStr">
        <is>
          <t>institution</t>
        </is>
      </c>
      <c r="I70" s="8" t="inlineStr">
        <is>
          <t>institution_admin.students.student_360</t>
        </is>
      </c>
      <c r="J70" s="8" t="inlineStr">
        <is>
          <t>web/src/features/shared/StudentProfile.tsx</t>
        </is>
      </c>
      <c r="K70" s="8" t="inlineStr"/>
      <c r="L70" s="8" t="n">
        <v>54</v>
      </c>
      <c r="M70" s="8" t="inlineStr">
        <is>
          <t>/academics/activities
/academics/classes
/academics/houses
/academics/sections
/ai/briefs/principal
/ai/briefs/student/{}
/ai/draft
/ai/import/analyze
… +46 more</t>
        </is>
      </c>
      <c r="N70" s="8" t="inlineStr">
        <is>
          <t>worker/src/router.ts
worker/src/routes/academics.ts
worker/src/routes/admin/export.ts
worker/src/routes/admin/loose.ts
worker/src/routes/ai/briefs.ts
worker/src/routes/ai/drafting.ts
… +9 more</t>
        </is>
      </c>
      <c r="O70" s="8" t="n">
        <v>114</v>
      </c>
      <c r="P70" s="8" t="inlineStr">
        <is>
          <t>absence_followup_section_done
academic_years
activities
ai_warning_dismissals
ai_warnings
announcement_acks
announcement_sections
announcement_students
announcements
api_keys
… +104 more</t>
        </is>
      </c>
      <c r="Q70" s="8" t="inlineStr">
        <is>
          <t>access.test.ts
admissions_crm.test.ts
ai.test.ts
ai_briefs.test.ts
ai_warnings_import.test.ts
auth.test.ts
… +8 more</t>
        </is>
      </c>
      <c r="R70" s="8" t="inlineStr">
        <is>
          <t>2 step(s) in its backend files answer "not ported" (see Not ported tab).</t>
        </is>
      </c>
      <c r="S70" s="8" t="inlineStr">
        <is>
          <t>One child, whole: attendance, marks, fees, conduct and who to ring, on one page. The screen a school opens when a parent is at the desk.</t>
        </is>
      </c>
    </row>
    <row r="71">
      <c r="A71" s="8" t="inlineStr">
        <is>
          <t>Institution Admin / Principal</t>
        </is>
      </c>
      <c r="B71" s="8" t="inlineStr">
        <is>
          <t>Students</t>
        </is>
      </c>
      <c r="C71" s="8" t="inlineStr">
        <is>
          <t>Students</t>
        </is>
      </c>
      <c r="D71" s="8" t="inlineStr">
        <is>
          <t>Student photographs</t>
        </is>
      </c>
      <c r="E71" s="11" t="inlineStr">
        <is>
          <t>Good</t>
        </is>
      </c>
      <c r="F71" s="8" t="inlineStr">
        <is>
          <t>core</t>
        </is>
      </c>
      <c r="G71" s="8" t="inlineStr">
        <is>
          <t>Should-Have</t>
        </is>
      </c>
      <c r="H71" s="8" t="inlineStr">
        <is>
          <t>institution</t>
        </is>
      </c>
      <c r="I71" s="8" t="inlineStr">
        <is>
          <t>institution_admin.students.student_photographs</t>
        </is>
      </c>
      <c r="J71" s="8" t="inlineStr">
        <is>
          <t>web/src/features/students/StudentPhotos.tsx</t>
        </is>
      </c>
      <c r="K71" s="8" t="inlineStr"/>
      <c r="L71" s="8" t="n">
        <v>3</v>
      </c>
      <c r="M71" s="8" t="inlineStr">
        <is>
          <t>/files
/students
/students/photos/import</t>
        </is>
      </c>
      <c r="N71" s="8" t="inlineStr">
        <is>
          <t>worker/src/router.ts
worker/src/routes/misc/files.ts
worker/src/routes/students.ts</t>
        </is>
      </c>
      <c r="O71" s="8" t="n">
        <v>53</v>
      </c>
      <c r="P71" s="8" t="inlineStr">
        <is>
          <t>academic_years
activities
application_documents
audit_log
certificate_types
class_subjects
classes
co_scholastic_areas
co_scholastic_grades
discipline_records
… +43 more</t>
        </is>
      </c>
      <c r="Q71" s="8" t="inlineStr">
        <is>
          <t>access.test.ts
auth.test.ts
fees.test.ts
perf.test.ts
student_lms.test.ts
student_login_default.test.ts
… +1 more</t>
        </is>
      </c>
      <c r="R71" s="8" t="inlineStr"/>
      <c r="S71" s="8" t="inlineStr">
        <is>
          <t>The photographer's folder attached to children in one go, matched by admission number. Photographs print on the ID card and on the report card.</t>
        </is>
      </c>
    </row>
    <row r="72">
      <c r="A72" s="8" t="inlineStr">
        <is>
          <t>Institution Admin / Principal</t>
        </is>
      </c>
      <c r="B72" s="8" t="inlineStr">
        <is>
          <t>Students</t>
        </is>
      </c>
      <c r="C72" s="8" t="inlineStr">
        <is>
          <t>Students</t>
        </is>
      </c>
      <c r="D72" s="8" t="inlineStr">
        <is>
          <t>Certificates &amp; transfers</t>
        </is>
      </c>
      <c r="E72" s="11" t="inlineStr">
        <is>
          <t>Good</t>
        </is>
      </c>
      <c r="F72" s="8" t="inlineStr">
        <is>
          <t>core</t>
        </is>
      </c>
      <c r="G72" s="8" t="inlineStr">
        <is>
          <t>Must-Have</t>
        </is>
      </c>
      <c r="H72" s="8" t="inlineStr">
        <is>
          <t>institution</t>
        </is>
      </c>
      <c r="I72" s="8" t="inlineStr">
        <is>
          <t>institution_admin.students.certificates_transfers</t>
        </is>
      </c>
      <c r="J72" s="8" t="inlineStr">
        <is>
          <t>web/src/features/lifecycle/Certificates.tsx</t>
        </is>
      </c>
      <c r="K72" s="8" t="inlineStr"/>
      <c r="L72" s="8" t="n">
        <v>23</v>
      </c>
      <c r="M72" s="8" t="inlineStr">
        <is>
          <t>/ai/import/analyze
/ai/import/commit
/ai/import/preview
/ai/import/propose
/ai/warnings
/ai/warnings/digest
/ai/warnings/dismiss-all
/ai/warnings/run
… +15 more</t>
        </is>
      </c>
      <c r="N72" s="8" t="inlineStr">
        <is>
          <t>worker/src/router.ts
worker/src/routes/ai/import.ts
worker/src/routes/ai/warnings.ts
worker/src/routes/exams.ts
worker/src/routes/setup/imports.ts
worker/src/routes/setup/staff.ts
… +1 more</t>
        </is>
      </c>
      <c r="O72" s="8" t="n">
        <v>84</v>
      </c>
      <c r="P72" s="8" t="inlineStr">
        <is>
          <t>academic_years
activities
ai_warning_dismissals
ai_warnings
audit_log
bell_schedules
biometric_devices
biometric_punches
branding_profiles
campuses
… +74 more</t>
        </is>
      </c>
      <c r="Q72" s="8" t="inlineStr">
        <is>
          <t>access.test.ts
ai.test.ts
ai_warnings_import.test.ts
auth.test.ts
documents.test.ts
fees.test.ts
… +9 more</t>
        </is>
      </c>
      <c r="R72" s="8" t="inlineStr"/>
      <c r="S72" s="8" t="inlineStr">
        <is>
          <t>Transfer, bonafide, conduct and study certificates: issue one, and read the register of every certificate the school has issued with the snapshot it was issued from.</t>
        </is>
      </c>
    </row>
    <row r="73">
      <c r="A73" s="8" t="inlineStr">
        <is>
          <t>Institution Admin / Principal</t>
        </is>
      </c>
      <c r="B73" s="8" t="inlineStr">
        <is>
          <t>Students</t>
        </is>
      </c>
      <c r="C73" s="8" t="inlineStr">
        <is>
          <t>Students</t>
        </is>
      </c>
      <c r="D73" s="8" t="inlineStr">
        <is>
          <t>Class Promotion</t>
        </is>
      </c>
      <c r="E73" s="11" t="inlineStr">
        <is>
          <t>Good</t>
        </is>
      </c>
      <c r="F73" s="8" t="inlineStr">
        <is>
          <t>core</t>
        </is>
      </c>
      <c r="G73" s="8" t="inlineStr">
        <is>
          <t>Must-Have</t>
        </is>
      </c>
      <c r="H73" s="8" t="inlineStr">
        <is>
          <t>institution</t>
        </is>
      </c>
      <c r="I73" s="8" t="inlineStr">
        <is>
          <t>institution_admin.students.class_promotion</t>
        </is>
      </c>
      <c r="J73" s="8" t="inlineStr">
        <is>
          <t>web/src/features/lifecycle/Promotion.tsx</t>
        </is>
      </c>
      <c r="K73" s="8" t="inlineStr"/>
      <c r="L73" s="8" t="n">
        <v>4</v>
      </c>
      <c r="M73" s="8" t="inlineStr">
        <is>
          <t>/academics/sections
/academics/years
/lifecycle/promote
/students</t>
        </is>
      </c>
      <c r="N73" s="8" t="inlineStr">
        <is>
          <t>worker/src/router.ts
worker/src/routes/academics.ts
worker/src/routes/exams.ts
worker/src/routes/students.ts</t>
        </is>
      </c>
      <c r="O73" s="8" t="n">
        <v>67</v>
      </c>
      <c r="P73" s="8" t="inlineStr">
        <is>
          <t>academic_years
activities
audit_log
branding_profiles
campuses
certificate_types
class_subjects
classes
co_scholastic_areas
co_scholastic_grades
… +57 more</t>
        </is>
      </c>
      <c r="Q73" s="8" t="inlineStr">
        <is>
          <t>access.test.ts
auth.test.ts
fees.test.ts
perf.test.ts
student_lms.test.ts
student_login_default.test.ts
… +1 more</t>
        </is>
      </c>
      <c r="R73" s="8" t="inlineStr"/>
      <c r="S73" s="8" t="inlineStr">
        <is>
          <t>Moving a year group up at the end of the session, on the results. The old enrolment is closed rather than overwritten, so the child's history survives the promotion.</t>
        </is>
      </c>
    </row>
    <row r="74">
      <c r="A74" s="8" t="inlineStr">
        <is>
          <t>Institution Admin / Principal</t>
        </is>
      </c>
      <c r="B74" s="8" t="inlineStr">
        <is>
          <t>Students</t>
        </is>
      </c>
      <c r="C74" s="8" t="inlineStr">
        <is>
          <t>Students</t>
        </is>
      </c>
      <c r="D74" s="8" t="inlineStr">
        <is>
          <t>Academic Performance</t>
        </is>
      </c>
      <c r="E74" s="11" t="inlineStr">
        <is>
          <t>Good</t>
        </is>
      </c>
      <c r="F74" s="8" t="inlineStr">
        <is>
          <t>core</t>
        </is>
      </c>
      <c r="G74" s="8" t="inlineStr">
        <is>
          <t>Must-Have</t>
        </is>
      </c>
      <c r="H74" s="8" t="inlineStr">
        <is>
          <t>institution</t>
        </is>
      </c>
      <c r="I74" s="8" t="inlineStr">
        <is>
          <t>institution_admin.students.academic_performance</t>
        </is>
      </c>
      <c r="J74" s="8" t="inlineStr">
        <is>
          <t>web/src/features/exams/ReportCards.tsx</t>
        </is>
      </c>
      <c r="K74" s="8" t="inlineStr"/>
      <c r="L74" s="8" t="n">
        <v>21</v>
      </c>
      <c r="M74" s="8" t="inlineStr">
        <is>
          <t>/academics/sections
/exams/list
/exams/my-signature
/exams/report-cards
/exams/report-cards/generate
/exams/report-cards/pending
/exams/report-cards/readiness
/exams/report-cards/render
… +13 more</t>
        </is>
      </c>
      <c r="N74" s="8" t="inlineStr">
        <is>
          <t>worker/src/router.ts
worker/src/routes/academics.ts
worker/src/routes/exams.ts
worker/src/routes/misc/files.ts
worker/src/routes/setup/imports.ts
worker/src/routes/setup/staff.ts
… +1 more</t>
        </is>
      </c>
      <c r="O74" s="8" t="n">
        <v>88</v>
      </c>
      <c r="P74" s="8" t="inlineStr">
        <is>
          <t>academic_years
activities
application_documents
audit_log
bell_schedules
biometric_devices
biometric_punches
branding_profiles
campuses
certificate_types
… +78 more</t>
        </is>
      </c>
      <c r="Q74" s="8" t="inlineStr">
        <is>
          <t>access.test.ts
auth.test.ts
exams.test.ts
fees.test.ts
lms_modules.test.ts
lms_nesting.test.ts
… +7 more</t>
        </is>
      </c>
      <c r="R74" s="8" t="inlineStr"/>
      <c r="S74" s="8" t="inlineStr">
        <is>
          <t>Term results across the school: which subjects are weak, how a class has moved since last term, and one child's full mark history when a parent or the board asks. Filter by class, section or roll number.</t>
        </is>
      </c>
    </row>
    <row r="75">
      <c r="A75" s="8" t="inlineStr">
        <is>
          <t>Institution Admin / Principal</t>
        </is>
      </c>
      <c r="B75" s="8" t="inlineStr">
        <is>
          <t>Students</t>
        </is>
      </c>
      <c r="C75" s="8" t="inlineStr">
        <is>
          <t>Students</t>
        </is>
      </c>
      <c r="D75" s="8" t="inlineStr">
        <is>
          <t>Groups &amp; lists</t>
        </is>
      </c>
      <c r="E75" s="11" t="inlineStr">
        <is>
          <t>Good</t>
        </is>
      </c>
      <c r="F75" s="8" t="inlineStr">
        <is>
          <t>core</t>
        </is>
      </c>
      <c r="G75" s="8" t="inlineStr">
        <is>
          <t>Should-Have</t>
        </is>
      </c>
      <c r="H75" s="8" t="inlineStr">
        <is>
          <t>institution</t>
        </is>
      </c>
      <c r="I75" s="8" t="inlineStr">
        <is>
          <t>institution_admin.students.groups_lists</t>
        </is>
      </c>
      <c r="J75" s="8" t="inlineStr">
        <is>
          <t>web/src/features/students/PeopleGroups.tsx</t>
        </is>
      </c>
      <c r="K75" s="8" t="inlineStr"/>
      <c r="L75" s="8" t="n">
        <v>5</v>
      </c>
      <c r="M75" s="8" t="inlineStr">
        <is>
          <t>/people/group-fields
/people/groups
/people/groups/{}
/people/groups/{}/members
/people/groups/{}/members/{}</t>
        </is>
      </c>
      <c r="N75" s="8" t="inlineStr">
        <is>
          <t>worker/src/routes/growth/people.ts</t>
        </is>
      </c>
      <c r="O75" s="8" t="n">
        <v>14</v>
      </c>
      <c r="P75" s="8" t="inlineStr">
        <is>
          <t>classes
departments
designations
employees
enrollments
guardians
person_group_members
person_groups
roles
sections
… +4 more</t>
        </is>
      </c>
      <c r="Q75" s="8" t="inlineStr"/>
      <c r="R75" s="8" t="inlineStr"/>
      <c r="S75" s="8" t="inlineStr">
        <is>
          <t>The school's own groupings, the swimming squad, the 3.15 bus, the children a trust pays for. Picked by hand, or defined by a rule over any field including the columns your own spreadsheet brought in, so a group stays right when a child joins the class.</t>
        </is>
      </c>
    </row>
    <row r="76">
      <c r="A76" s="8" t="inlineStr">
        <is>
          <t>Institution Admin / Principal</t>
        </is>
      </c>
      <c r="B76" s="8" t="inlineStr">
        <is>
          <t>Students</t>
        </is>
      </c>
      <c r="C76" s="8" t="inlineStr">
        <is>
          <t>Students</t>
        </is>
      </c>
      <c r="D76" s="8" t="inlineStr">
        <is>
          <t>Class 360</t>
        </is>
      </c>
      <c r="E76" s="10" t="inlineStr">
        <is>
          <t>Check</t>
        </is>
      </c>
      <c r="F76" s="8" t="inlineStr">
        <is>
          <t>core</t>
        </is>
      </c>
      <c r="G76" s="8" t="inlineStr">
        <is>
          <t>Must-Have</t>
        </is>
      </c>
      <c r="H76" s="8" t="inlineStr">
        <is>
          <t>institution</t>
        </is>
      </c>
      <c r="I76" s="8" t="inlineStr">
        <is>
          <t>institution_admin.students.class_360</t>
        </is>
      </c>
      <c r="J76" s="8" t="inlineStr">
        <is>
          <t>web/src/features/shared/ClassOverview.tsx</t>
        </is>
      </c>
      <c r="K76" s="8" t="inlineStr"/>
      <c r="L76" s="8" t="n">
        <v>2</v>
      </c>
      <c r="M76" s="8" t="inlineStr">
        <is>
          <t>/class/sections
/class/{}/overview</t>
        </is>
      </c>
      <c r="N76" s="8" t="inlineStr">
        <is>
          <t>worker/src/routes/daily.ts</t>
        </is>
      </c>
      <c r="O76" s="8" t="n">
        <v>51</v>
      </c>
      <c r="P76" s="8" t="inlineStr">
        <is>
          <t>absence_followup_section_done
academic_years
applications
attendance_corrections
bell_schedules
board_memberships
campuses
class_subjects
classes
departments
… +41 more</t>
        </is>
      </c>
      <c r="Q76" s="8" t="inlineStr">
        <is>
          <t>d1_health.test.ts
feature_class_status.test.ts
session_activity.test.ts</t>
        </is>
      </c>
      <c r="R76" s="8" t="inlineStr">
        <is>
          <t>1 step(s) in its backend files answer "not ported" (see Not ported tab).</t>
        </is>
      </c>
      <c r="S76" s="8" t="inlineStr">
        <is>
          <t>One class on a page: the roster with guardian contacts, attendance and results, the timetable and who teaches what, and fee status, with quick actions to mark attendance, enter marks, edit or move a student.</t>
        </is>
      </c>
    </row>
    <row r="77">
      <c r="A77" s="8" t="inlineStr">
        <is>
          <t>Institution Admin / Principal</t>
        </is>
      </c>
      <c r="B77" s="8" t="inlineStr">
        <is>
          <t>Students</t>
        </is>
      </c>
      <c r="C77" s="8" t="inlineStr">
        <is>
          <t>Admissions</t>
        </is>
      </c>
      <c r="D77" s="8" t="inlineStr">
        <is>
          <t>Admissions Pipeline</t>
        </is>
      </c>
      <c r="E77" s="10" t="inlineStr">
        <is>
          <t>Check</t>
        </is>
      </c>
      <c r="F77" s="8" t="inlineStr">
        <is>
          <t>core</t>
        </is>
      </c>
      <c r="G77" s="8" t="inlineStr">
        <is>
          <t>Must-Have</t>
        </is>
      </c>
      <c r="H77" s="8" t="inlineStr">
        <is>
          <t>institution</t>
        </is>
      </c>
      <c r="I77" s="8" t="inlineStr">
        <is>
          <t>institution_admin.admissions.admissions_pipeline</t>
        </is>
      </c>
      <c r="J77" s="8" t="inlineStr">
        <is>
          <t>web/src/features/admissions/Pipeline.tsx</t>
        </is>
      </c>
      <c r="K77" s="8" t="inlineStr"/>
      <c r="L77" s="8" t="n">
        <v>11</v>
      </c>
      <c r="M77" s="8" t="inlineStr">
        <is>
          <t>/academics/sections
/academics/years
/admissions/workflow/applications/{}/decision
/admissions/workflow/applications/{}/enrol
/admissions/workflow/applications/{}/fees
/admissions/workflow/funnel
/admissions/workflow/merit
/admissions/workflow/seats
… +3 more</t>
        </is>
      </c>
      <c r="N77" s="8" t="inlineStr">
        <is>
          <t>worker/src/routes/academics.ts
worker/src/routes/admin/loose.ts
worker/src/routes/admissions/workflow.ts
worker/src/routes/daily.ts
worker/src/routes/fees/counter.ts</t>
        </is>
      </c>
      <c r="O77" s="8" t="n">
        <v>84</v>
      </c>
      <c r="P77" s="8" t="inlineStr">
        <is>
          <t>absence_followup_section_done
academic_years
activities
admission_assessments
admission_form_versions
admission_forms
admission_sessions
api_keys
application_documents
applications
… +74 more</t>
        </is>
      </c>
      <c r="Q77" s="8" t="inlineStr">
        <is>
          <t>access.test.ts
admissions_crm.test.ts
admissions_rte.test.ts
edge.test.ts
fees.test.ts</t>
        </is>
      </c>
      <c r="R77" s="8" t="inlineStr">
        <is>
          <t>2 step(s) in its backend files answer "not ported" (see Not ported tab).</t>
        </is>
      </c>
      <c r="S77" s="8" t="inlineStr">
        <is>
          <t>Enquiries, applications and confirmed admissions for the coming session, and the conversion between them. Growth, and where it is being lost.</t>
        </is>
      </c>
    </row>
    <row r="78">
      <c r="A78" s="8" t="inlineStr">
        <is>
          <t>Institution Admin / Principal</t>
        </is>
      </c>
      <c r="B78" s="8" t="inlineStr">
        <is>
          <t>Academics</t>
        </is>
      </c>
      <c r="C78" s="8" t="inlineStr">
        <is>
          <t>Academics</t>
        </is>
      </c>
      <c r="D78" s="8" t="inlineStr">
        <is>
          <t>Master Timetable</t>
        </is>
      </c>
      <c r="E78" s="10" t="inlineStr">
        <is>
          <t>Check</t>
        </is>
      </c>
      <c r="F78" s="8" t="inlineStr">
        <is>
          <t>core</t>
        </is>
      </c>
      <c r="G78" s="8" t="inlineStr">
        <is>
          <t>Must-Have</t>
        </is>
      </c>
      <c r="H78" s="8" t="inlineStr">
        <is>
          <t>institution</t>
        </is>
      </c>
      <c r="I78" s="8" t="inlineStr">
        <is>
          <t>institution_admin.academics.master_timetable</t>
        </is>
      </c>
      <c r="J78" s="8" t="inlineStr">
        <is>
          <t>web/src/features/academics/MasterTimetable.tsx</t>
        </is>
      </c>
      <c r="K78" s="8" t="inlineStr"/>
      <c r="L78" s="8" t="n">
        <v>31</v>
      </c>
      <c r="M78" s="8" t="inlineStr">
        <is>
          <t>/academics/sections
/ai/import/analyze
/ai/import/commit
/ai/import/preview
/ai/import/propose
/ai/warnings
/ai/warnings/digest
/ai/warnings/dismiss-all
… +23 more</t>
        </is>
      </c>
      <c r="N78" s="8" t="inlineStr">
        <is>
          <t>worker/src/routes/academics.ts
worker/src/routes/ai/import.ts
worker/src/routes/ai/warnings.ts
worker/src/routes/daily.ts
worker/src/routes/scheduling/master.ts
worker/src/routes/scheduling/optimizer.ts
… +3 more</t>
        </is>
      </c>
      <c r="O78" s="8" t="n">
        <v>86</v>
      </c>
      <c r="P78" s="8" t="inlineStr">
        <is>
          <t>absence_followup_section_done
academic_years
activities
ai_warning_dismissals
ai_warnings
applications
attendance_corrections
bell_schedules
biometric_devices
biometric_punches
… +76 more</t>
        </is>
      </c>
      <c r="Q78" s="8" t="inlineStr">
        <is>
          <t>ai.test.ts
ai_warnings_import.test.ts
lms_modules.test.ts
lms_nesting.test.ts
lms_progression.test.ts
lms_videos.test.ts
… +3 more</t>
        </is>
      </c>
      <c r="R78" s="8" t="inlineStr">
        <is>
          <t>1 step(s) in its backend files answer "not ported" (see Not ported tab).</t>
        </is>
      </c>
      <c r="S78" s="8" t="inlineStr">
        <is>
          <t>The whole school's week in one grid: which class is taught what, when, by whom and in which room, and which periods are still empty.</t>
        </is>
      </c>
    </row>
    <row r="79">
      <c r="A79" s="8" t="inlineStr">
        <is>
          <t>Institution Admin / Principal</t>
        </is>
      </c>
      <c r="B79" s="8" t="inlineStr">
        <is>
          <t>Academics</t>
        </is>
      </c>
      <c r="C79" s="8" t="inlineStr">
        <is>
          <t>Academics</t>
        </is>
      </c>
      <c r="D79" s="8" t="inlineStr">
        <is>
          <t>Substitutions</t>
        </is>
      </c>
      <c r="E79" s="10" t="inlineStr">
        <is>
          <t>Check</t>
        </is>
      </c>
      <c r="F79" s="8" t="inlineStr">
        <is>
          <t>core</t>
        </is>
      </c>
      <c r="G79" s="8" t="inlineStr">
        <is>
          <t>Should-Have</t>
        </is>
      </c>
      <c r="H79" s="8" t="inlineStr">
        <is>
          <t>institution</t>
        </is>
      </c>
      <c r="I79" s="8" t="inlineStr">
        <is>
          <t>institution_admin.academics.substitutions</t>
        </is>
      </c>
      <c r="J79" s="8" t="inlineStr">
        <is>
          <t>web/src/features/academics/SubstitutionBoard.tsx</t>
        </is>
      </c>
      <c r="K79" s="8" t="inlineStr"/>
      <c r="L79" s="8" t="n">
        <v>3</v>
      </c>
      <c r="M79" s="8" t="inlineStr">
        <is>
          <t>/academics/admin/substitution-board
/timetable-admin/substitutions
/timetable/teachers</t>
        </is>
      </c>
      <c r="N79" s="8" t="inlineStr">
        <is>
          <t>worker/src/routes/academics/admin.ts
worker/src/routes/daily.ts
worker/src/routes/payroll.ts</t>
        </is>
      </c>
      <c r="O79" s="8" t="n">
        <v>87</v>
      </c>
      <c r="P79" s="8" t="inlineStr">
        <is>
          <t>absence_followup_section_done
academic_years
alumni_contributions
alumni_event_rsvps
alumni_events
alumni_profiles
announcement_acks
announcement_sections
announcement_students
announcements
… +77 more</t>
        </is>
      </c>
      <c r="Q79" s="8" t="inlineStr"/>
      <c r="R79" s="8" t="inlineStr">
        <is>
          <t>1 step(s) in its backend files answer "not ported" (see Not ported tab).</t>
        </is>
      </c>
      <c r="S79" s="8" t="inlineStr">
        <is>
          <t>Who is away today, which periods that leaves uncovered, and who has been put in front of each of them.</t>
        </is>
      </c>
    </row>
    <row r="80">
      <c r="A80" s="8" t="inlineStr">
        <is>
          <t>Institution Admin / Principal</t>
        </is>
      </c>
      <c r="B80" s="8" t="inlineStr">
        <is>
          <t>Academics</t>
        </is>
      </c>
      <c r="C80" s="8" t="inlineStr">
        <is>
          <t>Academics</t>
        </is>
      </c>
      <c r="D80" s="8" t="inlineStr">
        <is>
          <t>School Calendar</t>
        </is>
      </c>
      <c r="E80" s="11" t="inlineStr">
        <is>
          <t>Good</t>
        </is>
      </c>
      <c r="F80" s="8" t="inlineStr">
        <is>
          <t>core</t>
        </is>
      </c>
      <c r="G80" s="8" t="inlineStr">
        <is>
          <t>Must-Have</t>
        </is>
      </c>
      <c r="H80" s="8" t="inlineStr">
        <is>
          <t>institution</t>
        </is>
      </c>
      <c r="I80" s="8" t="inlineStr">
        <is>
          <t>institution_admin.academics.school_calendar</t>
        </is>
      </c>
      <c r="J80" s="8" t="inlineStr">
        <is>
          <t>web/src/features/academics/AcademicCalendar.tsx</t>
        </is>
      </c>
      <c r="K80" s="8" t="inlineStr"/>
      <c r="L80" s="8" t="n">
        <v>28</v>
      </c>
      <c r="M80" s="8" t="inlineStr">
        <is>
          <t>/academics/admin/calendar
/academics/admin/calendar/day
/academics/admin/calendar/{}
/academics/admin/year-plan
/academics/admin/year-plan/import
/academics/admin/year-plan/template
/academics/calendar/terms
/academics/calendar/terms/{}
… +20 more</t>
        </is>
      </c>
      <c r="N80" s="8" t="inlineStr">
        <is>
          <t>worker/src/routes/academics.ts
worker/src/routes/academics/admin.ts
worker/src/routes/ai/import.ts
worker/src/routes/ai/warnings.ts
worker/src/routes/setup/academics.ts
worker/src/routes/setup/imports.ts
… +1 more</t>
        </is>
      </c>
      <c r="O80" s="8" t="n">
        <v>77</v>
      </c>
      <c r="P80" s="8" t="inlineStr">
        <is>
          <t>academic_years
activities
ai_warning_dismissals
ai_warnings
alumni_contributions
alumni_event_rsvps
alumni_events
alumni_profiles
bell_schedules
biometric_devices
… +67 more</t>
        </is>
      </c>
      <c r="Q80" s="8" t="inlineStr">
        <is>
          <t>ai.test.ts
ai_warnings_import.test.ts
lms_modules.test.ts
lms_nesting.test.ts
lms_progression.test.ts
lms_videos.test.ts
… +3 more</t>
        </is>
      </c>
      <c r="R80" s="8" t="inlineStr"/>
      <c r="S80" s="8" t="inlineStr">
        <is>
          <t>Terms, holidays, exams, sports day and parent meetings. The year the school works to, which the principal signs off before it starts.</t>
        </is>
      </c>
    </row>
    <row r="81">
      <c r="A81" s="8" t="inlineStr">
        <is>
          <t>Institution Admin / Principal</t>
        </is>
      </c>
      <c r="B81" s="8" t="inlineStr">
        <is>
          <t>Academics</t>
        </is>
      </c>
      <c r="C81" s="8" t="inlineStr">
        <is>
          <t>Academics</t>
        </is>
      </c>
      <c r="D81" s="8" t="inlineStr">
        <is>
          <t>Activities &amp; Electives</t>
        </is>
      </c>
      <c r="E81" s="11" t="inlineStr">
        <is>
          <t>Good</t>
        </is>
      </c>
      <c r="F81" s="8" t="inlineStr">
        <is>
          <t>core</t>
        </is>
      </c>
      <c r="G81" s="8" t="inlineStr">
        <is>
          <t>Should-Have</t>
        </is>
      </c>
      <c r="H81" s="8" t="inlineStr">
        <is>
          <t>institution</t>
        </is>
      </c>
      <c r="I81" s="8" t="inlineStr">
        <is>
          <t>institution_admin.academics.activities_electives</t>
        </is>
      </c>
      <c r="J81" s="8" t="inlineStr">
        <is>
          <t>web/src/features/academics/ActivitiesSetup.tsx</t>
        </is>
      </c>
      <c r="K81" s="8" t="inlineStr"/>
      <c r="L81" s="8" t="n">
        <v>3</v>
      </c>
      <c r="M81" s="8" t="inlineStr">
        <is>
          <t>/academics/activities
/academics/houses
/academics/houses/{}</t>
        </is>
      </c>
      <c r="N81" s="8" t="inlineStr">
        <is>
          <t>worker/src/routes/academics.ts</t>
        </is>
      </c>
      <c r="O81" s="8" t="n">
        <v>18</v>
      </c>
      <c r="P81" s="8" t="inlineStr">
        <is>
          <t>academic_years
activities
class_subjects
classes
co_scholastic_areas
employees
enrollments
houses
lesson_plan_units
lesson_plans
… +8 more</t>
        </is>
      </c>
      <c r="Q81" s="8" t="inlineStr"/>
      <c r="R81" s="8" t="inlineStr"/>
      <c r="S81" s="8" t="inlineStr">
        <is>
          <t>The clubs, coaching and electives the school runs, when each meets, what it costs and who is in it. Children are enrolled from their own record, and a paid activity raises a bill the family can pay in the app.</t>
        </is>
      </c>
    </row>
    <row r="82">
      <c r="A82" s="8" t="inlineStr">
        <is>
          <t>Institution Admin / Principal</t>
        </is>
      </c>
      <c r="B82" s="8" t="inlineStr">
        <is>
          <t>Academics</t>
        </is>
      </c>
      <c r="C82" s="8" t="inlineStr">
        <is>
          <t>Academics</t>
        </is>
      </c>
      <c r="D82" s="8" t="inlineStr">
        <is>
          <t>Curriculum Roadmap</t>
        </is>
      </c>
      <c r="E82" s="11" t="inlineStr">
        <is>
          <t>Good</t>
        </is>
      </c>
      <c r="F82" s="8" t="inlineStr">
        <is>
          <t>core</t>
        </is>
      </c>
      <c r="G82" s="8" t="inlineStr">
        <is>
          <t>Must-Have</t>
        </is>
      </c>
      <c r="H82" s="8" t="inlineStr">
        <is>
          <t>institution</t>
        </is>
      </c>
      <c r="I82" s="8" t="inlineStr">
        <is>
          <t>institution_admin.academics.curriculum_roadmap</t>
        </is>
      </c>
      <c r="J82" s="8" t="inlineStr">
        <is>
          <t>web/src/features/academics/Syllabus.tsx</t>
        </is>
      </c>
      <c r="K82" s="8" t="inlineStr"/>
      <c r="L82" s="8" t="n">
        <v>8</v>
      </c>
      <c r="M82" s="8" t="inlineStr">
        <is>
          <t>/academics/sections
/files
/session
/setup/class-subjects
/syllabus/coverage
/syllabus/lesson-plans
/syllabus/lesson-plans/{}/decide
/syllabus/units</t>
        </is>
      </c>
      <c r="N82" s="8" t="inlineStr">
        <is>
          <t>worker/src/routes/academics.ts
worker/src/routes/misc/files.ts
worker/src/routes/misc/profile.ts
worker/src/routes/setup/academics.ts</t>
        </is>
      </c>
      <c r="O82" s="8" t="n">
        <v>51</v>
      </c>
      <c r="P82" s="8" t="inlineStr">
        <is>
          <t>academic_years
activities
application_documents
bell_schedules
campuses
class_subjects
classes
co_scholastic_areas
employee_documents
employee_year_history
… +41 more</t>
        </is>
      </c>
      <c r="Q82" s="8" t="inlineStr">
        <is>
          <t>access.test.ts
admissions_rte.test.ts
auth.test.ts
edge.test.ts
session_activity.test.ts</t>
        </is>
      </c>
      <c r="R82" s="8" t="inlineStr"/>
      <c r="S82" s="8" t="inlineStr">
        <is>
          <t>The chapters each subject will cover, in order, with the hours and the term they are meant to land in. Approved once a year and taught from all of it.</t>
        </is>
      </c>
    </row>
    <row r="83">
      <c r="A83" s="8" t="inlineStr">
        <is>
          <t>Institution Admin / Principal</t>
        </is>
      </c>
      <c r="B83" s="8" t="inlineStr">
        <is>
          <t>Academics</t>
        </is>
      </c>
      <c r="C83" s="8" t="inlineStr">
        <is>
          <t>Academics</t>
        </is>
      </c>
      <c r="D83" s="8" t="inlineStr">
        <is>
          <t>Lesson Plans</t>
        </is>
      </c>
      <c r="E83" s="11" t="inlineStr">
        <is>
          <t>Good</t>
        </is>
      </c>
      <c r="F83" s="8" t="inlineStr">
        <is>
          <t>core</t>
        </is>
      </c>
      <c r="G83" s="8" t="inlineStr">
        <is>
          <t>Must-Have</t>
        </is>
      </c>
      <c r="H83" s="8" t="inlineStr">
        <is>
          <t>institution</t>
        </is>
      </c>
      <c r="I83" s="8" t="inlineStr">
        <is>
          <t>institution_admin.academics.lesson_plans</t>
        </is>
      </c>
      <c r="J83" s="8" t="inlineStr">
        <is>
          <t>web/src/features/academics/Syllabus.tsx</t>
        </is>
      </c>
      <c r="K83" s="8" t="inlineStr"/>
      <c r="L83" s="8" t="n">
        <v>8</v>
      </c>
      <c r="M83" s="8" t="inlineStr">
        <is>
          <t>/academics/sections
/files
/session
/setup/class-subjects
/syllabus/coverage
/syllabus/lesson-plans
/syllabus/lesson-plans/{}/decide
/syllabus/units</t>
        </is>
      </c>
      <c r="N83" s="8" t="inlineStr">
        <is>
          <t>worker/src/routes/academics.ts
worker/src/routes/misc/files.ts
worker/src/routes/misc/profile.ts
worker/src/routes/setup/academics.ts</t>
        </is>
      </c>
      <c r="O83" s="8" t="n">
        <v>51</v>
      </c>
      <c r="P83" s="8" t="inlineStr">
        <is>
          <t>academic_years
activities
application_documents
bell_schedules
campuses
class_subjects
classes
co_scholastic_areas
employee_documents
employee_year_history
… +41 more</t>
        </is>
      </c>
      <c r="Q83" s="8" t="inlineStr">
        <is>
          <t>access.test.ts
admissions_rte.test.ts
auth.test.ts
edge.test.ts
session_activity.test.ts</t>
        </is>
      </c>
      <c r="R83" s="8" t="inlineStr"/>
      <c r="S83" s="8" t="inlineStr">
        <is>
          <t>Plans teachers have submitted and nobody has read yet, so pacing is checked while the term can still be changed.</t>
        </is>
      </c>
    </row>
    <row r="84">
      <c r="A84" s="8" t="inlineStr">
        <is>
          <t>Institution Admin / Principal</t>
        </is>
      </c>
      <c r="B84" s="8" t="inlineStr">
        <is>
          <t>Academics</t>
        </is>
      </c>
      <c r="C84" s="8" t="inlineStr">
        <is>
          <t>Academics</t>
        </is>
      </c>
      <c r="D84" s="8" t="inlineStr">
        <is>
          <t>Syllabus Progress</t>
        </is>
      </c>
      <c r="E84" s="11" t="inlineStr">
        <is>
          <t>Good</t>
        </is>
      </c>
      <c r="F84" s="8" t="inlineStr">
        <is>
          <t>core</t>
        </is>
      </c>
      <c r="G84" s="8" t="inlineStr">
        <is>
          <t>Should-Have</t>
        </is>
      </c>
      <c r="H84" s="8" t="inlineStr">
        <is>
          <t>institution</t>
        </is>
      </c>
      <c r="I84" s="8" t="inlineStr">
        <is>
          <t>institution_admin.academics.syllabus_progress</t>
        </is>
      </c>
      <c r="J84" s="8" t="inlineStr">
        <is>
          <t>web/src/features/academics/Syllabus.tsx</t>
        </is>
      </c>
      <c r="K84" s="8" t="inlineStr"/>
      <c r="L84" s="8" t="n">
        <v>8</v>
      </c>
      <c r="M84" s="8" t="inlineStr">
        <is>
          <t>/academics/sections
/files
/session
/setup/class-subjects
/syllabus/coverage
/syllabus/lesson-plans
/syllabus/lesson-plans/{}/decide
/syllabus/units</t>
        </is>
      </c>
      <c r="N84" s="8" t="inlineStr">
        <is>
          <t>worker/src/routes/academics.ts
worker/src/routes/misc/files.ts
worker/src/routes/misc/profile.ts
worker/src/routes/setup/academics.ts</t>
        </is>
      </c>
      <c r="O84" s="8" t="n">
        <v>51</v>
      </c>
      <c r="P84" s="8" t="inlineStr">
        <is>
          <t>academic_years
activities
application_documents
bell_schedules
campuses
class_subjects
classes
co_scholastic_areas
employee_documents
employee_year_history
… +41 more</t>
        </is>
      </c>
      <c r="Q84" s="8" t="inlineStr">
        <is>
          <t>access.test.ts
admissions_rte.test.ts
auth.test.ts
edge.test.ts
session_activity.test.ts</t>
        </is>
      </c>
      <c r="R84" s="8" t="inlineStr"/>
      <c r="S84" s="8" t="inlineStr">
        <is>
          <t>How much of each subject has actually been taught against how much was planned, which is the question asked in the month before an exam.</t>
        </is>
      </c>
    </row>
    <row r="85">
      <c r="A85" s="8" t="inlineStr">
        <is>
          <t>Institution Admin / Principal</t>
        </is>
      </c>
      <c r="B85" s="8" t="inlineStr">
        <is>
          <t>Academics</t>
        </is>
      </c>
      <c r="C85" s="8" t="inlineStr">
        <is>
          <t>Academics</t>
        </is>
      </c>
      <c r="D85" s="8" t="inlineStr">
        <is>
          <t>Attendance Audit</t>
        </is>
      </c>
      <c r="E85" s="10" t="inlineStr">
        <is>
          <t>Check</t>
        </is>
      </c>
      <c r="F85" s="8" t="inlineStr">
        <is>
          <t>core</t>
        </is>
      </c>
      <c r="G85" s="8" t="inlineStr">
        <is>
          <t>Must-Have</t>
        </is>
      </c>
      <c r="H85" s="8" t="inlineStr">
        <is>
          <t>institution</t>
        </is>
      </c>
      <c r="I85" s="8" t="inlineStr">
        <is>
          <t>institution_admin.academics.attendance_audit</t>
        </is>
      </c>
      <c r="J85" s="8" t="inlineStr">
        <is>
          <t>web/src/features/principal/AttendanceMonitoring.tsx</t>
        </is>
      </c>
      <c r="K85" s="8" t="inlineStr"/>
      <c r="L85" s="8" t="n">
        <v>3</v>
      </c>
      <c r="M85" s="8" t="inlineStr">
        <is>
          <t>/attendance
/principal/attendance-shortage
/principal/attendance-trend</t>
        </is>
      </c>
      <c r="N85" s="8" t="inlineStr">
        <is>
          <t>worker/src/routes/daily.ts
worker/src/routes/teaching/dashboards.ts</t>
        </is>
      </c>
      <c r="O85" s="8" t="n">
        <v>61</v>
      </c>
      <c r="P85" s="8" t="inlineStr">
        <is>
          <t>absence_followup_section_done
academic_years
announcement_acks
announcements
applications
attendance_corrections
bell_schedules
board_memberships
campuses
class_subjects
… +51 more</t>
        </is>
      </c>
      <c r="Q85" s="8" t="inlineStr">
        <is>
          <t>access.test.ts
attendance.test.ts
perf.test.ts
session_activity.test.ts
student_lms.test.ts</t>
        </is>
      </c>
      <c r="R85" s="8" t="inlineStr">
        <is>
          <t>1 step(s) in its backend files answer "not ported" (see Not ported tab).</t>
        </is>
      </c>
      <c r="S85" s="8" t="inlineStr">
        <is>
          <t>School-wide attendance and the corrections people have asked for: the class that has stopped turning up, and the register somebody wants changed after the fact.</t>
        </is>
      </c>
    </row>
    <row r="86">
      <c r="A86" s="8" t="inlineStr">
        <is>
          <t>Institution Admin / Principal</t>
        </is>
      </c>
      <c r="B86" s="8" t="inlineStr">
        <is>
          <t>Academics</t>
        </is>
      </c>
      <c r="C86" s="8" t="inlineStr">
        <is>
          <t>Academics</t>
        </is>
      </c>
      <c r="D86" s="8" t="inlineStr">
        <is>
          <t>Present &amp; absent</t>
        </is>
      </c>
      <c r="E86" s="10" t="inlineStr">
        <is>
          <t>Check</t>
        </is>
      </c>
      <c r="F86" s="8" t="inlineStr">
        <is>
          <t>core</t>
        </is>
      </c>
      <c r="G86" s="8" t="inlineStr">
        <is>
          <t>Must-Have</t>
        </is>
      </c>
      <c r="H86" s="8" t="inlineStr">
        <is>
          <t>institution</t>
        </is>
      </c>
      <c r="I86" s="8" t="inlineStr">
        <is>
          <t>institution_admin.academics.student_absentees</t>
        </is>
      </c>
      <c r="J86" s="8" t="inlineStr">
        <is>
          <t>web/src/features/attendance/StudentAbsentees.tsx</t>
        </is>
      </c>
      <c r="K86" s="8" t="inlineStr"/>
      <c r="L86" s="8" t="n">
        <v>1</v>
      </c>
      <c r="M86" s="8" t="inlineStr">
        <is>
          <t>/attendance/absentees</t>
        </is>
      </c>
      <c r="N86" s="8" t="inlineStr">
        <is>
          <t>worker/src/routes/daily.ts</t>
        </is>
      </c>
      <c r="O86" s="8" t="n">
        <v>51</v>
      </c>
      <c r="P86" s="8" t="inlineStr">
        <is>
          <t>absence_followup_section_done
academic_years
applications
attendance_corrections
bell_schedules
board_memberships
campuses
class_subjects
classes
departments
… +41 more</t>
        </is>
      </c>
      <c r="Q86" s="8" t="inlineStr"/>
      <c r="R86" s="8" t="inlineStr">
        <is>
          <t>1 step(s) in its backend files answer "not ported" (see Not ported tab).</t>
        </is>
      </c>
      <c r="S86" s="8" t="inlineStr">
        <is>
          <t>A read-only day-wise monitor with two tabs for the chosen date and section: Present lists every child who came in, and Absent lists every child marked away with their class and section, whether the parent has been called or is still pending, who made the call, and the parent's response. Refreshes on its own as the office records calls, so the whole school's follow-up can be watched live without editing anything, the calling itself stays on Absentee followup.</t>
        </is>
      </c>
    </row>
    <row r="87">
      <c r="A87" s="8" t="inlineStr">
        <is>
          <t>Institution Admin / Principal</t>
        </is>
      </c>
      <c r="B87" s="8" t="inlineStr">
        <is>
          <t>Academics</t>
        </is>
      </c>
      <c r="C87" s="8" t="inlineStr">
        <is>
          <t>Academics</t>
        </is>
      </c>
      <c r="D87" s="8" t="inlineStr">
        <is>
          <t>Class Setup</t>
        </is>
      </c>
      <c r="E87" s="11" t="inlineStr">
        <is>
          <t>Good</t>
        </is>
      </c>
      <c r="F87" s="8" t="inlineStr">
        <is>
          <t>core</t>
        </is>
      </c>
      <c r="G87" s="8" t="inlineStr">
        <is>
          <t>Must-Have</t>
        </is>
      </c>
      <c r="H87" s="8" t="inlineStr">
        <is>
          <t>institution</t>
        </is>
      </c>
      <c r="I87" s="8" t="inlineStr">
        <is>
          <t>institution_admin.academics.class_setup</t>
        </is>
      </c>
      <c r="J87" s="8" t="inlineStr">
        <is>
          <t>web/src/features/shared/Academics.tsx</t>
        </is>
      </c>
      <c r="K87" s="8" t="inlineStr"/>
      <c r="L87" s="8" t="n">
        <v>15</v>
      </c>
      <c r="M87" s="8" t="inlineStr">
        <is>
          <t>/academics/classes
/academics/sections
/academics/subjects
/academics/years
/setup/academic-years/{}
/setup/classes/{}
/setup/import/history
/setup/import/history/{}/content
… +7 more</t>
        </is>
      </c>
      <c r="N87" s="8" t="inlineStr">
        <is>
          <t>worker/src/routes/academics.ts
worker/src/routes/setup/academics.ts
worker/src/routes/setup/imports.ts
worker/src/routes/setup/staff.ts</t>
        </is>
      </c>
      <c r="O87" s="8" t="n">
        <v>61</v>
      </c>
      <c r="P87" s="8" t="inlineStr">
        <is>
          <t>academic_years
activities
bell_schedules
biometric_devices
biometric_punches
campuses
certificate_types
class_subjects
classes
co_scholastic_areas
… +51 more</t>
        </is>
      </c>
      <c r="Q87" s="8" t="inlineStr">
        <is>
          <t>d1_health.test.ts
lms_modules.test.ts
lms_nesting.test.ts
lms_progression.test.ts
lms_videos.test.ts
marks_import.test.ts
… +2 more</t>
        </is>
      </c>
      <c r="R87" s="8" t="inlineStr"/>
      <c r="S87" s="8" t="inlineStr">
        <is>
          <t>Every grade, its sections, their rooms and how the roll is spread across them. What the school has room for, before anybody is admitted into it.</t>
        </is>
      </c>
    </row>
    <row r="88">
      <c r="A88" s="8" t="inlineStr">
        <is>
          <t>Institution Admin / Principal</t>
        </is>
      </c>
      <c r="B88" s="8" t="inlineStr">
        <is>
          <t>Academics</t>
        </is>
      </c>
      <c r="C88" s="8" t="inlineStr">
        <is>
          <t>Academics</t>
        </is>
      </c>
      <c r="D88" s="8" t="inlineStr">
        <is>
          <t>Year Rollover</t>
        </is>
      </c>
      <c r="E88" s="11" t="inlineStr">
        <is>
          <t>Good</t>
        </is>
      </c>
      <c r="F88" s="8" t="inlineStr">
        <is>
          <t>core</t>
        </is>
      </c>
      <c r="G88" s="8" t="inlineStr">
        <is>
          <t>Must-Have</t>
        </is>
      </c>
      <c r="H88" s="8" t="inlineStr">
        <is>
          <t>institution</t>
        </is>
      </c>
      <c r="I88" s="8" t="inlineStr">
        <is>
          <t>institution_admin.academics.year_rollover</t>
        </is>
      </c>
      <c r="J88" s="8" t="inlineStr">
        <is>
          <t>web/src/features/academics/YearRollover.tsx</t>
        </is>
      </c>
      <c r="K88" s="8" t="inlineStr"/>
      <c r="L88" s="8" t="n">
        <v>2</v>
      </c>
      <c r="M88" s="8" t="inlineStr">
        <is>
          <t>/academics/years
/admin/academic-years/{}/rollover</t>
        </is>
      </c>
      <c r="N88" s="8" t="inlineStr">
        <is>
          <t>worker/src/routes/academics.ts
worker/src/routes/admin/security.ts</t>
        </is>
      </c>
      <c r="O88" s="8" t="n">
        <v>44</v>
      </c>
      <c r="P88" s="8" t="inlineStr">
        <is>
          <t>academic_years
activities
app_events
audit_log
class_subjects
classes
co_scholastic_areas
counselor_messages
counselor_threads
employees
… +34 more</t>
        </is>
      </c>
      <c r="Q88" s="8" t="inlineStr"/>
      <c r="R88" s="8" t="inlineStr"/>
      <c r="S88" s="8" t="inlineStr">
        <is>
          <t>Carry this year's sections, fee structure, bus allocations and timetable grid into the year that has not started yet, once. Shows what will be copied before it runs, and what was already carried. Children move separately, under Class Promotion.</t>
        </is>
      </c>
    </row>
    <row r="89">
      <c r="A89" s="8" t="inlineStr">
        <is>
          <t>Institution Admin / Principal</t>
        </is>
      </c>
      <c r="B89" s="8" t="inlineStr">
        <is>
          <t>Academics</t>
        </is>
      </c>
      <c r="C89" s="8" t="inlineStr">
        <is>
          <t>Academics</t>
        </is>
      </c>
      <c r="D89" s="8" t="inlineStr">
        <is>
          <t>Teacher Assignment</t>
        </is>
      </c>
      <c r="E89" s="10" t="inlineStr">
        <is>
          <t>Check</t>
        </is>
      </c>
      <c r="F89" s="8" t="inlineStr">
        <is>
          <t>core</t>
        </is>
      </c>
      <c r="G89" s="8" t="inlineStr">
        <is>
          <t>Must-Have</t>
        </is>
      </c>
      <c r="H89" s="8" t="inlineStr">
        <is>
          <t>institution</t>
        </is>
      </c>
      <c r="I89" s="8" t="inlineStr">
        <is>
          <t>institution_admin.academics.teacher_assignment</t>
        </is>
      </c>
      <c r="J89" s="8" t="inlineStr">
        <is>
          <t>web/src/features/academics/FacultyAllocation.tsx</t>
        </is>
      </c>
      <c r="K89" s="8" t="inlineStr"/>
      <c r="L89" s="8" t="n">
        <v>6</v>
      </c>
      <c r="M89" s="8" t="inlineStr">
        <is>
          <t>/academics/admin/faculty-allocation
/academics/admin/faculty-allocation/apply
/academics/classes
/academics/sections
/setup/class-teacher
/timetable/teachers</t>
        </is>
      </c>
      <c r="N89" s="8" t="inlineStr">
        <is>
          <t>worker/src/routes/academics.ts
worker/src/routes/academics/admin.ts
worker/src/routes/daily.ts
worker/src/routes/setup/academics.ts</t>
        </is>
      </c>
      <c r="O89" s="8" t="n">
        <v>84</v>
      </c>
      <c r="P89" s="8" t="inlineStr">
        <is>
          <t>absence_followup_section_done
academic_years
activities
alumni_contributions
alumni_event_rsvps
alumni_events
alumni_profiles
applications
attendance_corrections
bell_schedules
… +74 more</t>
        </is>
      </c>
      <c r="Q89" s="8" t="inlineStr"/>
      <c r="R89" s="8" t="inlineStr">
        <is>
          <t>1 step(s) in its backend files answer "not ported" (see Not ported tab).</t>
        </is>
      </c>
      <c r="S89" s="8" t="inlineStr">
        <is>
          <t>Who teaches which subject in which section, for the whole school. Allocate a teacher, move one, or leave a subject unallocated, and push the result into the published timetable so the two agree.</t>
        </is>
      </c>
    </row>
    <row r="90">
      <c r="A90" s="8" t="inlineStr">
        <is>
          <t>Institution Admin / Principal</t>
        </is>
      </c>
      <c r="B90" s="8" t="inlineStr">
        <is>
          <t>Academics</t>
        </is>
      </c>
      <c r="C90" s="8" t="inlineStr">
        <is>
          <t>Examinations</t>
        </is>
      </c>
      <c r="D90" s="8" t="inlineStr">
        <is>
          <t>Performance overview</t>
        </is>
      </c>
      <c r="E90" s="11" t="inlineStr">
        <is>
          <t>Good</t>
        </is>
      </c>
      <c r="F90" s="8" t="inlineStr">
        <is>
          <t>core</t>
        </is>
      </c>
      <c r="G90" s="8" t="inlineStr">
        <is>
          <t>Must-Have</t>
        </is>
      </c>
      <c r="H90" s="8" t="inlineStr">
        <is>
          <t>institution</t>
        </is>
      </c>
      <c r="I90" s="8" t="inlineStr">
        <is>
          <t>institution_admin.examinations.performance_overview</t>
        </is>
      </c>
      <c r="J90" s="8" t="inlineStr">
        <is>
          <t>web/src/features/exams/PerformanceOverview.tsx</t>
        </is>
      </c>
      <c r="K90" s="8" t="inlineStr"/>
      <c r="L90" s="8" t="n">
        <v>3</v>
      </c>
      <c r="M90" s="8" t="inlineStr">
        <is>
          <t>/academics/classes
/exams/board/performance
/exams/list</t>
        </is>
      </c>
      <c r="N90" s="8" t="inlineStr">
        <is>
          <t>worker/src/routes/academics.ts
worker/src/routes/board_exams.ts
worker/src/routes/exams.ts</t>
        </is>
      </c>
      <c r="O90" s="8" t="n">
        <v>55</v>
      </c>
      <c r="P90" s="8" t="inlineStr">
        <is>
          <t>academic_years
activities
board_registration_amendments
board_registrations
board_result_imports
board_result_rows
branding_profiles
campuses
certificate_types
class_subjects
… +45 more</t>
        </is>
      </c>
      <c r="Q90" s="8" t="inlineStr"/>
      <c r="R90" s="8" t="inlineStr"/>
      <c r="S90" s="8" t="inlineStr">
        <is>
          <t>Pass rate, subject performance, at-risk students and backlog summary.</t>
        </is>
      </c>
    </row>
    <row r="91">
      <c r="A91" s="8" t="inlineStr">
        <is>
          <t>Institution Admin / Principal</t>
        </is>
      </c>
      <c r="B91" s="8" t="inlineStr">
        <is>
          <t>Academics</t>
        </is>
      </c>
      <c r="C91" s="8" t="inlineStr">
        <is>
          <t>Examinations</t>
        </is>
      </c>
      <c r="D91" s="8" t="inlineStr">
        <is>
          <t>Hall Ticket Issue</t>
        </is>
      </c>
      <c r="E91" s="11" t="inlineStr">
        <is>
          <t>Good</t>
        </is>
      </c>
      <c r="F91" s="8" t="inlineStr">
        <is>
          <t>core</t>
        </is>
      </c>
      <c r="G91" s="8" t="inlineStr">
        <is>
          <t>Must-Have</t>
        </is>
      </c>
      <c r="H91" s="8" t="inlineStr">
        <is>
          <t>institution</t>
        </is>
      </c>
      <c r="I91" s="8" t="inlineStr">
        <is>
          <t>institution_admin.examinations.hall_ticket_issue</t>
        </is>
      </c>
      <c r="J91" s="8" t="inlineStr">
        <is>
          <t>web/src/features/exams/HallTicket.tsx</t>
        </is>
      </c>
      <c r="K91" s="8" t="inlineStr"/>
      <c r="L91" s="8" t="n">
        <v>7</v>
      </c>
      <c r="M91" s="8" t="inlineStr">
        <is>
          <t>/exams/hall-plan
/exams/halls
/exams/list
/exams/seats/allocate
/hpc/hall-ticket
/portal/students
/session</t>
        </is>
      </c>
      <c r="N91" s="8" t="inlineStr">
        <is>
          <t>worker/src/routes/exams.ts
worker/src/routes/misc/profile.ts
worker/src/routes/portal/family.ts</t>
        </is>
      </c>
      <c r="O91" s="8" t="n">
        <v>60</v>
      </c>
      <c r="P91" s="8" t="inlineStr">
        <is>
          <t>academic_years
admission_form_versions
admission_forms
application_documents
applications
branding_profiles
campuses
certificate_types
class_subjects
classes
… +50 more</t>
        </is>
      </c>
      <c r="Q91" s="8" t="inlineStr">
        <is>
          <t>access.test.ts
admissions_rte.test.ts
auth.test.ts
edge.test.ts
session_activity.test.ts</t>
        </is>
      </c>
      <c r="R91" s="8" t="inlineStr"/>
      <c r="S91" s="8" t="inlineStr">
        <is>
          <t>Issue and reprint board hall tickets against the accepted nominal roll.</t>
        </is>
      </c>
    </row>
    <row r="92">
      <c r="A92" s="8" t="inlineStr">
        <is>
          <t>Institution Admin / Principal</t>
        </is>
      </c>
      <c r="B92" s="8" t="inlineStr">
        <is>
          <t>Academics</t>
        </is>
      </c>
      <c r="C92" s="8" t="inlineStr">
        <is>
          <t>Examinations</t>
        </is>
      </c>
      <c r="D92" s="8" t="inlineStr">
        <is>
          <t>Exams &amp; results</t>
        </is>
      </c>
      <c r="E92" s="11" t="inlineStr">
        <is>
          <t>Good</t>
        </is>
      </c>
      <c r="F92" s="8" t="inlineStr">
        <is>
          <t>core</t>
        </is>
      </c>
      <c r="G92" s="8" t="inlineStr">
        <is>
          <t>Must-Have</t>
        </is>
      </c>
      <c r="H92" s="8" t="inlineStr">
        <is>
          <t>institution</t>
        </is>
      </c>
      <c r="I92" s="8" t="inlineStr">
        <is>
          <t>institution_admin.examinations.exams_results</t>
        </is>
      </c>
      <c r="J92" s="8" t="inlineStr">
        <is>
          <t>web/src/features/exams/ReportCards.tsx</t>
        </is>
      </c>
      <c r="K92" s="8" t="inlineStr"/>
      <c r="L92" s="8" t="n">
        <v>21</v>
      </c>
      <c r="M92" s="8" t="inlineStr">
        <is>
          <t>/academics/sections
/exams/list
/exams/my-signature
/exams/report-cards
/exams/report-cards/generate
/exams/report-cards/pending
/exams/report-cards/readiness
/exams/report-cards/render
… +13 more</t>
        </is>
      </c>
      <c r="N92" s="8" t="inlineStr">
        <is>
          <t>worker/src/router.ts
worker/src/routes/academics.ts
worker/src/routes/exams.ts
worker/src/routes/misc/files.ts
worker/src/routes/setup/imports.ts
worker/src/routes/setup/staff.ts
… +1 more</t>
        </is>
      </c>
      <c r="O92" s="8" t="n">
        <v>88</v>
      </c>
      <c r="P92" s="8" t="inlineStr">
        <is>
          <t>academic_years
activities
application_documents
audit_log
bell_schedules
biometric_devices
biometric_punches
branding_profiles
campuses
certificate_types
… +78 more</t>
        </is>
      </c>
      <c r="Q92" s="8" t="inlineStr">
        <is>
          <t>access.test.ts
auth.test.ts
exams.test.ts
fees.test.ts
lms_modules.test.ts
lms_nesting.test.ts
… +7 more</t>
        </is>
      </c>
      <c r="R92" s="8" t="inlineStr"/>
      <c r="S92" s="8" t="inlineStr">
        <is>
          <t>Exam schedule, marks entry status and result publication readiness.</t>
        </is>
      </c>
    </row>
    <row r="93">
      <c r="A93" s="8" t="inlineStr">
        <is>
          <t>Institution Admin / Principal</t>
        </is>
      </c>
      <c r="B93" s="8" t="inlineStr">
        <is>
          <t>Academics</t>
        </is>
      </c>
      <c r="C93" s="8" t="inlineStr">
        <is>
          <t>Examinations</t>
        </is>
      </c>
      <c r="D93" s="8" t="inlineStr">
        <is>
          <t>Exams &amp; papers</t>
        </is>
      </c>
      <c r="E93" s="11" t="inlineStr">
        <is>
          <t>Good</t>
        </is>
      </c>
      <c r="F93" s="8" t="inlineStr">
        <is>
          <t>core</t>
        </is>
      </c>
      <c r="G93" s="8" t="inlineStr">
        <is>
          <t>Must-Have</t>
        </is>
      </c>
      <c r="H93" s="8" t="inlineStr">
        <is>
          <t>institution</t>
        </is>
      </c>
      <c r="I93" s="8" t="inlineStr">
        <is>
          <t>institution_admin.examinations.exams_papers</t>
        </is>
      </c>
      <c r="J93" s="8" t="inlineStr">
        <is>
          <t>web/src/features/exams/Exams.tsx</t>
        </is>
      </c>
      <c r="K93" s="8" t="inlineStr"/>
      <c r="L93" s="8" t="n">
        <v>5</v>
      </c>
      <c r="M93" s="8" t="inlineStr">
        <is>
          <t>/academics/classes
/exams/list
/exams/{}/papers
/setup/exams
/setup/exams/{}</t>
        </is>
      </c>
      <c r="N93" s="8" t="inlineStr">
        <is>
          <t>worker/src/routes/academics.ts
worker/src/routes/exams.ts
worker/src/routes/setup/academics.ts</t>
        </is>
      </c>
      <c r="O93" s="8" t="n">
        <v>56</v>
      </c>
      <c r="P93" s="8" t="inlineStr">
        <is>
          <t>academic_years
activities
bell_schedules
branding_profiles
campuses
certificate_types
class_subjects
classes
co_scholastic_areas
employee_year_history
… +46 more</t>
        </is>
      </c>
      <c r="Q93" s="8" t="inlineStr">
        <is>
          <t>documents.test.ts
exams.test.ts</t>
        </is>
      </c>
      <c r="R93" s="8" t="inlineStr"/>
      <c r="S93" s="8" t="inlineStr">
        <is>
          <t>Every exam the school has scheduled and how many papers it holds. An exam with no papers cannot be marked, moderated, or turned into a report card, so this is where they are created, one for every subject each class studies.</t>
        </is>
      </c>
    </row>
    <row r="94">
      <c r="A94" s="8" t="inlineStr">
        <is>
          <t>Institution Admin / Principal</t>
        </is>
      </c>
      <c r="B94" s="8" t="inlineStr">
        <is>
          <t>Finance</t>
        </is>
      </c>
      <c r="C94" s="8" t="inlineStr">
        <is>
          <t>Fees</t>
        </is>
      </c>
      <c r="D94" s="8" t="inlineStr">
        <is>
          <t>Fee Dashboard</t>
        </is>
      </c>
      <c r="E94" s="11" t="inlineStr">
        <is>
          <t>Good</t>
        </is>
      </c>
      <c r="F94" s="8" t="inlineStr">
        <is>
          <t>core</t>
        </is>
      </c>
      <c r="G94" s="8" t="inlineStr">
        <is>
          <t>Must-Have</t>
        </is>
      </c>
      <c r="H94" s="8" t="inlineStr">
        <is>
          <t>institution</t>
        </is>
      </c>
      <c r="I94" s="8" t="inlineStr">
        <is>
          <t>institution_admin.fees.fee_dashboard</t>
        </is>
      </c>
      <c r="J94" s="8" t="inlineStr">
        <is>
          <t>web/src/features/analytics/FeeOverview.tsx</t>
        </is>
      </c>
      <c r="K94" s="8" t="inlineStr"/>
      <c r="L94" s="8" t="n">
        <v>3</v>
      </c>
      <c r="M94" s="8" t="inlineStr">
        <is>
          <t>/rollups/fees/ageing
/rollups/fees/concessions
/rollups/fees/overview</t>
        </is>
      </c>
      <c r="N94" s="8" t="inlineStr">
        <is>
          <t>worker/src/routes/growth/rollups.ts</t>
        </is>
      </c>
      <c r="O94" s="8" t="n">
        <v>42</v>
      </c>
      <c r="P94" s="8" t="inlineStr">
        <is>
          <t>academic_years
applications
appointments
attendance_corrections
background_verifications
class_subjects
classes
departments
designations
employees
… +32 more</t>
        </is>
      </c>
      <c r="Q94" s="8" t="inlineStr"/>
      <c r="R94" s="8" t="inlineStr"/>
      <c r="S94" s="8" t="inlineStr">
        <is>
          <t>Expected against collected against outstanding, for the school and by class. The one number a principal is asked for in a management meeting.</t>
        </is>
      </c>
    </row>
    <row r="95">
      <c r="A95" s="8" t="inlineStr">
        <is>
          <t>Institution Admin / Principal</t>
        </is>
      </c>
      <c r="B95" s="8" t="inlineStr">
        <is>
          <t>Finance</t>
        </is>
      </c>
      <c r="C95" s="8" t="inlineStr">
        <is>
          <t>Fees</t>
        </is>
      </c>
      <c r="D95" s="8" t="inlineStr">
        <is>
          <t>Period Close</t>
        </is>
      </c>
      <c r="E95" s="11" t="inlineStr">
        <is>
          <t>Good</t>
        </is>
      </c>
      <c r="F95" s="8" t="inlineStr">
        <is>
          <t>core</t>
        </is>
      </c>
      <c r="G95" s="8" t="inlineStr">
        <is>
          <t>Must-Have</t>
        </is>
      </c>
      <c r="H95" s="8" t="inlineStr">
        <is>
          <t>institution</t>
        </is>
      </c>
      <c r="I95" s="8" t="inlineStr">
        <is>
          <t>institution_admin.fees.period_close</t>
        </is>
      </c>
      <c r="J95" s="8" t="inlineStr">
        <is>
          <t>web/src/features/finance/PeriodClose.tsx</t>
        </is>
      </c>
      <c r="K95" s="8" t="inlineStr"/>
      <c r="L95" s="8" t="n">
        <v>2</v>
      </c>
      <c r="M95" s="8" t="inlineStr">
        <is>
          <t>/admin/period-closes
/admin/period-closes/{}</t>
        </is>
      </c>
      <c r="N95" s="8" t="inlineStr">
        <is>
          <t>worker/src/routes/admin/period_close.ts</t>
        </is>
      </c>
      <c r="O95" s="8" t="n">
        <v>3</v>
      </c>
      <c r="P95" s="8" t="inlineStr">
        <is>
          <t>academic_years
period_closes
users</t>
        </is>
      </c>
      <c r="Q95" s="8" t="inlineStr"/>
      <c r="R95" s="8" t="inlineStr"/>
      <c r="S95" s="8" t="inlineStr">
        <is>
          <t>Which months of the year are finished, and the year itself. Close a month and the register, the fee counter, the payslip and cheque bounces dated inside it become read-only; close the year and its marks and fee demands do too. Reopen here when a correction is needed.</t>
        </is>
      </c>
    </row>
    <row r="96">
      <c r="A96" s="8" t="inlineStr">
        <is>
          <t>Institution Admin / Principal</t>
        </is>
      </c>
      <c r="B96" s="8" t="inlineStr">
        <is>
          <t>Finance</t>
        </is>
      </c>
      <c r="C96" s="8" t="inlineStr">
        <is>
          <t>Fees</t>
        </is>
      </c>
      <c r="D96" s="8" t="inlineStr">
        <is>
          <t>Student wallets</t>
        </is>
      </c>
      <c r="E96" s="11" t="inlineStr">
        <is>
          <t>Good</t>
        </is>
      </c>
      <c r="F96" s="8" t="inlineStr">
        <is>
          <t>core</t>
        </is>
      </c>
      <c r="G96" s="8" t="inlineStr">
        <is>
          <t>Must-Have</t>
        </is>
      </c>
      <c r="H96" s="8" t="inlineStr">
        <is>
          <t>institution</t>
        </is>
      </c>
      <c r="I96" s="8" t="inlineStr">
        <is>
          <t>institution_admin.fees.student_wallets</t>
        </is>
      </c>
      <c r="J96" s="8" t="inlineStr">
        <is>
          <t>web/src/features/finance/StudentWallets.tsx</t>
        </is>
      </c>
      <c r="K96" s="8" t="inlineStr"/>
      <c r="L96" s="8" t="n">
        <v>4</v>
      </c>
      <c r="M96" s="8" t="inlineStr">
        <is>
          <t>/fees/students/{}/wallet
/fees/wallet/adjustments
/fees/wallet/topups
/students</t>
        </is>
      </c>
      <c r="N96" s="8" t="inlineStr">
        <is>
          <t>worker/src/router.ts
worker/src/routes/fees/counter.ts
worker/src/routes/students.ts</t>
        </is>
      </c>
      <c r="O96" s="8" t="n">
        <v>54</v>
      </c>
      <c r="P96" s="8" t="inlineStr">
        <is>
          <t>academic_years
activities
audit_log
certificate_types
class_subjects
classes
co_scholastic_areas
co_scholastic_grades
discipline_records
employees
… +44 more</t>
        </is>
      </c>
      <c r="Q96" s="8" t="inlineStr">
        <is>
          <t>access.test.ts
auth.test.ts
fees.test.ts
perf.test.ts
student_lms.test.ts
student_login_default.test.ts
… +1 more</t>
        </is>
      </c>
      <c r="R96" s="8" t="inlineStr"/>
      <c r="S96" s="8" t="inlineStr">
        <is>
          <t>Digital money. A prepaid balance the school holds for each child: record a top-up the family has paid in (cash, UPI, transfer), correct a balance with a reason, and read the full ledger of what went in and what was spent.</t>
        </is>
      </c>
    </row>
    <row r="97">
      <c r="A97" s="8" t="inlineStr">
        <is>
          <t>Institution Admin / Principal</t>
        </is>
      </c>
      <c r="B97" s="8" t="inlineStr">
        <is>
          <t>Finance</t>
        </is>
      </c>
      <c r="C97" s="8" t="inlineStr">
        <is>
          <t>Fees</t>
        </is>
      </c>
      <c r="D97" s="8" t="inlineStr">
        <is>
          <t>Fee Default</t>
        </is>
      </c>
      <c r="E97" s="11" t="inlineStr">
        <is>
          <t>Good</t>
        </is>
      </c>
      <c r="F97" s="8" t="inlineStr">
        <is>
          <t>core</t>
        </is>
      </c>
      <c r="G97" s="8" t="inlineStr">
        <is>
          <t>Must-Have</t>
        </is>
      </c>
      <c r="H97" s="8" t="inlineStr">
        <is>
          <t>institution</t>
        </is>
      </c>
      <c r="I97" s="8" t="inlineStr">
        <is>
          <t>institution_admin.fees.fee_default</t>
        </is>
      </c>
      <c r="J97" s="8" t="inlineStr">
        <is>
          <t>web/src/features/finance/Defaulters.tsx</t>
        </is>
      </c>
      <c r="K97" s="8" t="inlineStr"/>
      <c r="L97" s="8" t="n">
        <v>3</v>
      </c>
      <c r="M97" s="8" t="inlineStr">
        <is>
          <t>/fees/defaulters
/fees/reminders/schedule
/fees/reminders/send</t>
        </is>
      </c>
      <c r="N97" s="8" t="inlineStr">
        <is>
          <t>worker/src/routes/fees/counter.ts
worker/src/routes/fees/reminders.ts</t>
        </is>
      </c>
      <c r="O97" s="8" t="n">
        <v>16</v>
      </c>
      <c r="P97" s="8" t="inlineStr">
        <is>
          <t>fee_concessions
fee_heads
guardians
institutions
invoice_lines
invoices
message_trigger_rules
module_settings
payment_allocations
payments
… +6 more</t>
        </is>
      </c>
      <c r="Q97" s="8" t="inlineStr"/>
      <c r="R97" s="8" t="inlineStr"/>
      <c r="S97" s="8" t="inlineStr">
        <is>
          <t>Who is behind, by how much and for how long, grouped by class. The accountant works the counter; this is the list a principal takes into a parent meeting.</t>
        </is>
      </c>
    </row>
    <row r="98">
      <c r="A98" s="8" t="inlineStr">
        <is>
          <t>Institution Admin / Principal</t>
        </is>
      </c>
      <c r="B98" s="8" t="inlineStr">
        <is>
          <t>Communication</t>
        </is>
      </c>
      <c r="C98" s="8" t="inlineStr">
        <is>
          <t>Communication</t>
        </is>
      </c>
      <c r="D98" s="8" t="inlineStr">
        <is>
          <t>All messages</t>
        </is>
      </c>
      <c r="E98" s="11" t="inlineStr">
        <is>
          <t>Good</t>
        </is>
      </c>
      <c r="F98" s="8" t="inlineStr">
        <is>
          <t>core</t>
        </is>
      </c>
      <c r="G98" s="8" t="inlineStr">
        <is>
          <t>Must-Have</t>
        </is>
      </c>
      <c r="H98" s="8" t="inlineStr">
        <is>
          <t>institution</t>
        </is>
      </c>
      <c r="I98" s="8" t="inlineStr">
        <is>
          <t>institution_admin.communication.all_messages</t>
        </is>
      </c>
      <c r="J98" s="8" t="inlineStr">
        <is>
          <t>web/src/features/communication/AllMessages.tsx</t>
        </is>
      </c>
      <c r="K98" s="8" t="inlineStr"/>
      <c r="L98" s="8" t="n">
        <v>10</v>
      </c>
      <c r="M98" s="8" t="inlineStr">
        <is>
          <t>/admin/inbox
/admin/inbox/circular
/admin/inbox/concern
/admin/inbox/reply
/admin/inbox/staff-thread
/admin/inbox/thread
/chat/messages/{}
/files
… +2 more</t>
        </is>
      </c>
      <c r="N98" s="8" t="inlineStr">
        <is>
          <t>worker/src/routes/admin/inbox.ts
worker/src/routes/misc/chat.ts
worker/src/routes/misc/files.ts
worker/src/routes/portal/life.ts</t>
        </is>
      </c>
      <c r="O98" s="8" t="n">
        <v>49</v>
      </c>
      <c r="P98" s="8" t="inlineStr">
        <is>
          <t>announcement_acks
announcements
application_documents
class_subjects
classes
club_events
counselor_threads
designations
discipline_records
employee_documents
… +39 more</t>
        </is>
      </c>
      <c r="Q98" s="8" t="inlineStr">
        <is>
          <t>edge.test.ts</t>
        </is>
      </c>
      <c r="R98" s="8" t="inlineStr"/>
      <c r="S98" s="8" t="inlineStr">
        <is>
          <t>Every conversation in the school on one desk, parents writing to teachers, concerns raised, staff messages, circulars awaiting acknowledgement, with a count of what is still waiting for the school's reply. A parent thread can be answered from here; counselling is counted, never read.</t>
        </is>
      </c>
    </row>
    <row r="99">
      <c r="A99" s="8" t="inlineStr">
        <is>
          <t>Institution Admin / Principal</t>
        </is>
      </c>
      <c r="B99" s="8" t="inlineStr">
        <is>
          <t>Communication</t>
        </is>
      </c>
      <c r="C99" s="8" t="inlineStr">
        <is>
          <t>Communication</t>
        </is>
      </c>
      <c r="D99" s="8" t="inlineStr">
        <is>
          <t>Grievances</t>
        </is>
      </c>
      <c r="E99" s="11" t="inlineStr">
        <is>
          <t>Good</t>
        </is>
      </c>
      <c r="F99" s="8" t="inlineStr">
        <is>
          <t>core</t>
        </is>
      </c>
      <c r="G99" s="8" t="inlineStr">
        <is>
          <t>Must-Have</t>
        </is>
      </c>
      <c r="H99" s="8" t="inlineStr">
        <is>
          <t>institution</t>
        </is>
      </c>
      <c r="I99" s="8" t="inlineStr">
        <is>
          <t>institution_admin.communication.grievances</t>
        </is>
      </c>
      <c r="J99" s="8" t="inlineStr">
        <is>
          <t>web/src/features/communication/GrievanceHub.tsx</t>
        </is>
      </c>
      <c r="K99" s="8" t="inlineStr"/>
      <c r="L99" s="8" t="n">
        <v>12</v>
      </c>
      <c r="M99" s="8" t="inlineStr">
        <is>
          <t>/comms/grievance-sla
/comms/grievances
/comms/grievances/assignees
/comms/grievances/escalate-overdue
/comms/grievances/summary
/comms/grievances/{}
/comms/grievances/{}/assign
/comms/grievances/{}/triage
… +4 more</t>
        </is>
      </c>
      <c r="N99" s="8" t="inlineStr">
        <is>
          <t>worker/src/routes/comms/grievances.ts
worker/src/routes/misc/files.ts</t>
        </is>
      </c>
      <c r="O99" s="8" t="n">
        <v>15</v>
      </c>
      <c r="P99" s="8" t="inlineStr">
        <is>
          <t>application_documents
designations
employee_documents
employees
enrollments
files
grievance_sla_policies
grievance_updates
homework
homework_attachments
… +5 more</t>
        </is>
      </c>
      <c r="Q99" s="8" t="inlineStr">
        <is>
          <t>concerns.test.ts</t>
        </is>
      </c>
      <c r="R99" s="8" t="inlineStr"/>
      <c r="S99" s="8" t="inlineStr">
        <is>
          <t>Complaints the class teacher and the coordinator could not settle, which reach the principal's desk because somewhere below it nobody could close them.</t>
        </is>
      </c>
    </row>
    <row r="100">
      <c r="A100" s="8" t="inlineStr">
        <is>
          <t>Institution Admin / Principal</t>
        </is>
      </c>
      <c r="B100" s="8" t="inlineStr">
        <is>
          <t>Communication</t>
        </is>
      </c>
      <c r="C100" s="8" t="inlineStr">
        <is>
          <t>Communication</t>
        </is>
      </c>
      <c r="D100" s="8" t="inlineStr">
        <is>
          <t>School Achievements Showcase</t>
        </is>
      </c>
      <c r="E100" s="11" t="inlineStr">
        <is>
          <t>Good</t>
        </is>
      </c>
      <c r="F100" s="8" t="inlineStr">
        <is>
          <t>optional</t>
        </is>
      </c>
      <c r="G100" s="8" t="inlineStr">
        <is>
          <t>Must-Have</t>
        </is>
      </c>
      <c r="H100" s="8" t="inlineStr">
        <is>
          <t>institution</t>
        </is>
      </c>
      <c r="I100" s="8" t="inlineStr">
        <is>
          <t>institution_admin.communication.school_achievements_showcase</t>
        </is>
      </c>
      <c r="J100" s="8" t="inlineStr">
        <is>
          <t>web/src/features/communication/AchievementsShowcase.tsx</t>
        </is>
      </c>
      <c r="K100" s="8" t="inlineStr"/>
      <c r="L100" s="8" t="n">
        <v>8</v>
      </c>
      <c r="M100" s="8" t="inlineStr">
        <is>
          <t>/comms/achievements
/comms/achievements/{}
/comms/achievements/{}/consent
/comms/achievements/{}/media
/comms/achievements/{}/media/{}
/comms/achievements/{}/publish
/comms/achievements/{}/unpublish
/students</t>
        </is>
      </c>
      <c r="N100" s="8" t="inlineStr">
        <is>
          <t>worker/src/router.ts
worker/src/routes/comms/showcase.ts
worker/src/routes/students.ts</t>
        </is>
      </c>
      <c r="O100" s="8" t="n">
        <v>50</v>
      </c>
      <c r="P100" s="8" t="inlineStr">
        <is>
          <t>academic_years
achievement_media
activities
audit_log
certificate_types
class_subjects
classes
co_scholastic_areas
co_scholastic_grades
discipline_records
… +40 more</t>
        </is>
      </c>
      <c r="Q100" s="8" t="inlineStr">
        <is>
          <t>access.test.ts
auth.test.ts
fees.test.ts
perf.test.ts
student_lms.test.ts
student_login_default.test.ts
… +1 more</t>
        </is>
      </c>
      <c r="R100" s="8" t="inlineStr"/>
      <c r="S100" s="8" t="inlineStr">
        <is>
          <t>Log awards, sports victories, academic honors, and publish them to parent/student portals.</t>
        </is>
      </c>
    </row>
    <row r="101">
      <c r="A101" s="8" t="inlineStr">
        <is>
          <t>Institution Admin / Principal</t>
        </is>
      </c>
      <c r="B101" s="8" t="inlineStr">
        <is>
          <t>Communication</t>
        </is>
      </c>
      <c r="C101" s="8" t="inlineStr">
        <is>
          <t>Communication</t>
        </is>
      </c>
      <c r="D101" s="8" t="inlineStr">
        <is>
          <t>Circulars</t>
        </is>
      </c>
      <c r="E101" s="11" t="inlineStr">
        <is>
          <t>Good</t>
        </is>
      </c>
      <c r="F101" s="8" t="inlineStr">
        <is>
          <t>core</t>
        </is>
      </c>
      <c r="G101" s="8" t="inlineStr">
        <is>
          <t>Must-Have</t>
        </is>
      </c>
      <c r="H101" s="8" t="inlineStr">
        <is>
          <t>institution</t>
        </is>
      </c>
      <c r="I101" s="8" t="inlineStr">
        <is>
          <t>institution_admin.communication.circulars</t>
        </is>
      </c>
      <c r="J101" s="8" t="inlineStr">
        <is>
          <t>web/src/features/comms/Circulars.tsx</t>
        </is>
      </c>
      <c r="K101" s="8" t="inlineStr"/>
      <c r="L101" s="8" t="n">
        <v>16</v>
      </c>
      <c r="M101" s="8" t="inlineStr">
        <is>
          <t>/academics/sections
/admin/messaging/estimate
/admin/messaging/health
/ai/briefs/principal
/ai/briefs/student/{}
/ai/draft
/ai/status
/ai/translate
… +8 more</t>
        </is>
      </c>
      <c r="N101" s="8" t="inlineStr">
        <is>
          <t>worker/src/routes/academics.ts
worker/src/routes/ai/briefs.ts
worker/src/routes/ai/drafting.ts
worker/src/routes/comms/delivery.ts
worker/src/routes/comms/sms_gateway.ts
worker/src/routes/misc/files.ts
… +2 more</t>
        </is>
      </c>
      <c r="O101" s="8" t="n">
        <v>76</v>
      </c>
      <c r="P101" s="8" t="inlineStr">
        <is>
          <t>academic_years
activities
announcement_acks
announcement_sections
announcement_students
announcements
application_documents
applications
class_subjects
classes
… +66 more</t>
        </is>
      </c>
      <c r="Q101" s="8" t="inlineStr">
        <is>
          <t>access.test.ts
admissions_crm.test.ts
admissions_rte.test.ts
ai_briefs.test.ts
auth.test.ts
edge.test.ts
… +1 more</t>
        </is>
      </c>
      <c r="R101" s="8" t="inlineStr"/>
      <c r="S101" s="8" t="inlineStr">
        <is>
          <t>A holiday, an exam datesheet, an emergency: written once and sent to the parents and staff it concerns, through the portal and through SMS and email.</t>
        </is>
      </c>
    </row>
    <row r="102">
      <c r="A102" s="8" t="inlineStr">
        <is>
          <t>Institution Admin / Principal</t>
        </is>
      </c>
      <c r="B102" s="8" t="inlineStr">
        <is>
          <t>Communication</t>
        </is>
      </c>
      <c r="C102" s="8" t="inlineStr">
        <is>
          <t>Communication</t>
        </is>
      </c>
      <c r="D102" s="8" t="inlineStr">
        <is>
          <t>Messages</t>
        </is>
      </c>
      <c r="E102" s="11" t="inlineStr">
        <is>
          <t>Good</t>
        </is>
      </c>
      <c r="F102" s="8" t="inlineStr">
        <is>
          <t>core</t>
        </is>
      </c>
      <c r="G102" s="8" t="inlineStr">
        <is>
          <t>Must-Have</t>
        </is>
      </c>
      <c r="H102" s="8" t="inlineStr">
        <is>
          <t>institution</t>
        </is>
      </c>
      <c r="I102" s="8" t="inlineStr">
        <is>
          <t>institution_admin.communication.messages</t>
        </is>
      </c>
      <c r="J102" s="8" t="inlineStr">
        <is>
          <t>web/src/features/comms/StaffMessages.tsx</t>
        </is>
      </c>
      <c r="K102" s="8" t="inlineStr"/>
      <c r="L102" s="8" t="n">
        <v>12</v>
      </c>
      <c r="M102" s="8" t="inlineStr">
        <is>
          <t>/chat/messages/{}
/chat/parent-thread/read
/chat/staff-thread/read
/files
/files/{}
/portal/messages
/staff-messages
/staff-messages/threads
… +4 more</t>
        </is>
      </c>
      <c r="N102" s="8" t="inlineStr">
        <is>
          <t>worker/src/routes/misc/chat.ts
worker/src/routes/misc/files.ts
worker/src/routes/portal/requests.ts
worker/src/routes/teaching/dashboards.ts</t>
        </is>
      </c>
      <c r="O102" s="8" t="n">
        <v>60</v>
      </c>
      <c r="P102" s="8" t="inlineStr">
        <is>
          <t>academic_years
announcement_acks
announcements
application_documents
applications
certificate_types
class_subjects
classes
departments
designations
… +50 more</t>
        </is>
      </c>
      <c r="Q102" s="8" t="inlineStr">
        <is>
          <t>live.test.ts</t>
        </is>
      </c>
      <c r="R102" s="8" t="inlineStr"/>
      <c r="S102" s="8" t="inlineStr">
        <is>
          <t>A message to one colleague, a head of department, a class teacher, rather than a notice to the school. Every member of staff is listed whether or not you have written to them before.</t>
        </is>
      </c>
    </row>
    <row r="103">
      <c r="A103" s="8" t="inlineStr">
        <is>
          <t>Institution Admin / Principal</t>
        </is>
      </c>
      <c r="B103" s="8" t="inlineStr">
        <is>
          <t>Communication</t>
        </is>
      </c>
      <c r="C103" s="8" t="inlineStr">
        <is>
          <t>Communication</t>
        </is>
      </c>
      <c r="D103" s="8" t="inlineStr">
        <is>
          <t>Class Status</t>
        </is>
      </c>
      <c r="E103" s="11" t="inlineStr">
        <is>
          <t>Good</t>
        </is>
      </c>
      <c r="F103" s="8" t="inlineStr">
        <is>
          <t>core</t>
        </is>
      </c>
      <c r="G103" s="8" t="inlineStr">
        <is>
          <t>Must-Have</t>
        </is>
      </c>
      <c r="H103" s="8" t="inlineStr">
        <is>
          <t>institution</t>
        </is>
      </c>
      <c r="I103" s="8" t="inlineStr">
        <is>
          <t>institution_admin.communication.class_status</t>
        </is>
      </c>
      <c r="J103" s="8" t="inlineStr">
        <is>
          <t>web/src/features/comms/ClassStatusAdmin.tsx</t>
        </is>
      </c>
      <c r="K103" s="8" t="inlineStr"/>
      <c r="L103" s="8" t="n">
        <v>12</v>
      </c>
      <c r="M103" s="8" t="inlineStr">
        <is>
          <t>/files/{}
/status/admin/posts
/status/audiences
/status/feed
/status/mine
/status/posts
/status/posts/{}
/status/posts/{}/pin
… +4 more</t>
        </is>
      </c>
      <c r="N103" s="8" t="inlineStr">
        <is>
          <t>worker/src/routes/comms/class_status.ts
worker/src/routes/misc/files.ts</t>
        </is>
      </c>
      <c r="O103" s="8" t="n">
        <v>25</v>
      </c>
      <c r="P103" s="8" t="inlineStr">
        <is>
          <t>academic_years
application_documents
branding_profiles
classes
employee_documents
employees
enrollments
files
guardians
homework
… +15 more</t>
        </is>
      </c>
      <c r="Q103" s="8" t="inlineStr">
        <is>
          <t>class_status_gaps.test.ts
feature_class_status.test.ts
feature_switch_cache.test.ts
perf.test.ts</t>
        </is>
      </c>
      <c r="R103" s="8" t="inlineStr"/>
      <c r="S103" s="8" t="inlineStr">
        <is>
          <t>Every live and pinned status in the school with who posted it, its audience and how many have seen it; post as the school, approve teachers' posts, delete or pin any post, and set the rules: on or off, approval, who may post, video and its length.</t>
        </is>
      </c>
    </row>
    <row r="104">
      <c r="A104" s="8" t="inlineStr">
        <is>
          <t>Institution Admin / Principal</t>
        </is>
      </c>
      <c r="B104" s="8" t="inlineStr">
        <is>
          <t>Reports</t>
        </is>
      </c>
      <c r="C104" s="8" t="inlineStr">
        <is>
          <t>Standard</t>
        </is>
      </c>
      <c r="D104" s="8" t="inlineStr">
        <is>
          <t>Reports</t>
        </is>
      </c>
      <c r="E104" s="11" t="inlineStr">
        <is>
          <t>Good</t>
        </is>
      </c>
      <c r="F104" s="8" t="inlineStr">
        <is>
          <t>core</t>
        </is>
      </c>
      <c r="G104" s="8" t="inlineStr">
        <is>
          <t>Must-Have</t>
        </is>
      </c>
      <c r="H104" s="8" t="inlineStr">
        <is>
          <t>institution</t>
        </is>
      </c>
      <c r="I104" s="8" t="inlineStr">
        <is>
          <t>institution_admin.standard.reports</t>
        </is>
      </c>
      <c r="J104" s="8" t="inlineStr">
        <is>
          <t>web/src/features/shared/Exports.tsx</t>
        </is>
      </c>
      <c r="K104" s="8" t="inlineStr"/>
      <c r="L104" s="8" t="n">
        <v>1</v>
      </c>
      <c r="M104" s="8" t="inlineStr">
        <is>
          <t>/export</t>
        </is>
      </c>
      <c r="N104" s="8" t="inlineStr">
        <is>
          <t>worker/src/routes/admin/export.ts</t>
        </is>
      </c>
      <c r="O104" s="8" t="n">
        <v>33</v>
      </c>
      <c r="P104" s="8" t="inlineStr">
        <is>
          <t>academic_years
applications
class_subjects
classes
departments
designations
employee_documents
employees
enrollments
exam_subjects
… +23 more</t>
        </is>
      </c>
      <c r="Q104" s="8" t="inlineStr">
        <is>
          <t>session_activity.test.ts</t>
        </is>
      </c>
      <c r="R104" s="8" t="inlineStr"/>
      <c r="S104" s="8" t="inlineStr">
        <is>
          <t>Core enrollment, attendance, academic, fee and staff reports.</t>
        </is>
      </c>
    </row>
    <row r="105">
      <c r="A105" s="8" t="inlineStr">
        <is>
          <t>Institution Admin / Principal</t>
        </is>
      </c>
      <c r="B105" s="8" t="inlineStr">
        <is>
          <t>Reports</t>
        </is>
      </c>
      <c r="C105" s="8" t="inlineStr">
        <is>
          <t>Standard</t>
        </is>
      </c>
      <c r="D105" s="8" t="inlineStr">
        <is>
          <t>Attendance Overview</t>
        </is>
      </c>
      <c r="E105" s="10" t="inlineStr">
        <is>
          <t>Check</t>
        </is>
      </c>
      <c r="F105" s="8" t="inlineStr">
        <is>
          <t>core</t>
        </is>
      </c>
      <c r="G105" s="8" t="inlineStr">
        <is>
          <t>Must-Have</t>
        </is>
      </c>
      <c r="H105" s="8" t="inlineStr">
        <is>
          <t>institution</t>
        </is>
      </c>
      <c r="I105" s="8" t="inlineStr">
        <is>
          <t>institution_admin.standard.attendance_overview</t>
        </is>
      </c>
      <c r="J105" s="8" t="inlineStr">
        <is>
          <t>web/src/features/principal/AttendanceMonitoring.tsx</t>
        </is>
      </c>
      <c r="K105" s="8" t="inlineStr"/>
      <c r="L105" s="8" t="n">
        <v>3</v>
      </c>
      <c r="M105" s="8" t="inlineStr">
        <is>
          <t>/attendance
/principal/attendance-shortage
/principal/attendance-trend</t>
        </is>
      </c>
      <c r="N105" s="8" t="inlineStr">
        <is>
          <t>worker/src/routes/daily.ts
worker/src/routes/teaching/dashboards.ts</t>
        </is>
      </c>
      <c r="O105" s="8" t="n">
        <v>61</v>
      </c>
      <c r="P105" s="8" t="inlineStr">
        <is>
          <t>absence_followup_section_done
academic_years
announcement_acks
announcements
applications
attendance_corrections
bell_schedules
board_memberships
campuses
class_subjects
… +51 more</t>
        </is>
      </c>
      <c r="Q105" s="8" t="inlineStr">
        <is>
          <t>access.test.ts
attendance.test.ts
perf.test.ts
session_activity.test.ts
student_lms.test.ts</t>
        </is>
      </c>
      <c r="R105" s="8" t="inlineStr">
        <is>
          <t>1 step(s) in its backend files answer "not ported" (see Not ported tab).</t>
        </is>
      </c>
      <c r="S105" s="8" t="inlineStr">
        <is>
          <t>School-wide attendance for children and for staff, by class and by month, so mass absence and the child slipping towards dropping out are both visible before the attendance return is due.</t>
        </is>
      </c>
    </row>
    <row r="106">
      <c r="A106" s="8" t="inlineStr">
        <is>
          <t>Institution Admin / Principal</t>
        </is>
      </c>
      <c r="B106" s="8" t="inlineStr">
        <is>
          <t>Reports</t>
        </is>
      </c>
      <c r="C106" s="8" t="inlineStr">
        <is>
          <t>Standard</t>
        </is>
      </c>
      <c r="D106" s="8" t="inlineStr">
        <is>
          <t>Fee Collection</t>
        </is>
      </c>
      <c r="E106" s="11" t="inlineStr">
        <is>
          <t>Good</t>
        </is>
      </c>
      <c r="F106" s="8" t="inlineStr">
        <is>
          <t>core</t>
        </is>
      </c>
      <c r="G106" s="8" t="inlineStr">
        <is>
          <t>Must-Have</t>
        </is>
      </c>
      <c r="H106" s="8" t="inlineStr">
        <is>
          <t>institution</t>
        </is>
      </c>
      <c r="I106" s="8" t="inlineStr">
        <is>
          <t>institution_admin.standard.fee_collection</t>
        </is>
      </c>
      <c r="J106" s="8" t="inlineStr">
        <is>
          <t>web/src/features/analytics/CollectionSummaries.tsx</t>
        </is>
      </c>
      <c r="K106" s="8" t="inlineStr"/>
      <c r="L106" s="8" t="n">
        <v>2</v>
      </c>
      <c r="M106" s="8" t="inlineStr">
        <is>
          <t>/date-ranges
/rollups/fees/collections</t>
        </is>
      </c>
      <c r="N106" s="8" t="inlineStr">
        <is>
          <t>worker/src/routes/growth/rollups.ts
worker/src/routes/misc/shell.ts</t>
        </is>
      </c>
      <c r="O106" s="8" t="n">
        <v>52</v>
      </c>
      <c r="P106" s="8" t="inlineStr">
        <is>
          <t>academic_years
applications
appointments
attendance_corrections
background_verifications
class_subjects
classes
departments
designations
employees
… +42 more</t>
        </is>
      </c>
      <c r="Q106" s="8" t="inlineStr"/>
      <c r="R106" s="8" t="inlineStr"/>
      <c r="S106" s="8" t="inlineStr">
        <is>
          <t>Collected against expected, and what is outstanding by class and by term. The accountant works the counter; the principal answers for the cash flow.</t>
        </is>
      </c>
    </row>
    <row r="107">
      <c r="A107" s="8" t="inlineStr">
        <is>
          <t>Institution Admin / Principal</t>
        </is>
      </c>
      <c r="B107" s="8" t="inlineStr">
        <is>
          <t>Reports</t>
        </is>
      </c>
      <c r="C107" s="8" t="inlineStr">
        <is>
          <t>Standard</t>
        </is>
      </c>
      <c r="D107" s="8" t="inlineStr">
        <is>
          <t>Scheduled digests</t>
        </is>
      </c>
      <c r="E107" s="11" t="inlineStr">
        <is>
          <t>Good</t>
        </is>
      </c>
      <c r="F107" s="8" t="inlineStr">
        <is>
          <t>core</t>
        </is>
      </c>
      <c r="G107" s="8" t="inlineStr">
        <is>
          <t>Should-Have</t>
        </is>
      </c>
      <c r="H107" s="8" t="inlineStr">
        <is>
          <t>institution</t>
        </is>
      </c>
      <c r="I107" s="8" t="inlineStr">
        <is>
          <t>institution_admin.standard.scheduled_digests</t>
        </is>
      </c>
      <c r="J107" s="8" t="inlineStr">
        <is>
          <t>web/src/features/principal/ReportDigests.tsx</t>
        </is>
      </c>
      <c r="K107" s="8" t="inlineStr"/>
      <c r="L107" s="8" t="n">
        <v>1</v>
      </c>
      <c r="M107" s="8" t="inlineStr">
        <is>
          <t>/reports/digest/settings</t>
        </is>
      </c>
      <c r="N107" s="8" t="inlineStr">
        <is>
          <t>worker/src/routes/admin/report_digest.ts</t>
        </is>
      </c>
      <c r="O107" s="8" t="n">
        <v>4</v>
      </c>
      <c r="P107" s="8" t="inlineStr">
        <is>
          <t>report_digest_settings
roles
user_roles
users</t>
        </is>
      </c>
      <c r="Q107" s="8" t="inlineStr"/>
      <c r="R107" s="8" t="inlineStr"/>
      <c r="S107" s="8" t="inlineStr">
        <is>
          <t>Turn the daily and weekly report digest on or off, choose which reports it carries, attendance, fees, admissions, staff, and which channels each goes out on. Board members and admins receive it automatically.</t>
        </is>
      </c>
    </row>
    <row r="108">
      <c r="A108" s="8" t="inlineStr">
        <is>
          <t>Institution Admin / Principal</t>
        </is>
      </c>
      <c r="B108" s="8" t="inlineStr">
        <is>
          <t>Staff</t>
        </is>
      </c>
      <c r="C108" s="8" t="inlineStr">
        <is>
          <t>Staff</t>
        </is>
      </c>
      <c r="D108" s="8" t="inlineStr">
        <is>
          <t>Leaves &amp; Subs</t>
        </is>
      </c>
      <c r="E108" s="10" t="inlineStr">
        <is>
          <t>Check</t>
        </is>
      </c>
      <c r="F108" s="8" t="inlineStr">
        <is>
          <t>core</t>
        </is>
      </c>
      <c r="G108" s="8" t="inlineStr">
        <is>
          <t>Must-Have</t>
        </is>
      </c>
      <c r="H108" s="8" t="inlineStr">
        <is>
          <t>institution</t>
        </is>
      </c>
      <c r="I108" s="8" t="inlineStr">
        <is>
          <t>institution_admin.staff.leaves_subs</t>
        </is>
      </c>
      <c r="J108" s="8" t="inlineStr">
        <is>
          <t>web/src/features/workflow/Approvals.tsx</t>
        </is>
      </c>
      <c r="K108" s="8" t="inlineStr"/>
      <c r="L108" s="8" t="n">
        <v>1</v>
      </c>
      <c r="M108" s="8" t="inlineStr">
        <is>
          <t>/workflow/approvals</t>
        </is>
      </c>
      <c r="N108" s="8" t="inlineStr">
        <is>
          <t>worker/src/routes/daily.ts</t>
        </is>
      </c>
      <c r="O108" s="8" t="n">
        <v>51</v>
      </c>
      <c r="P108" s="8" t="inlineStr">
        <is>
          <t>absence_followup_section_done
academic_years
applications
attendance_corrections
bell_schedules
board_memberships
campuses
class_subjects
classes
departments
… +41 more</t>
        </is>
      </c>
      <c r="Q108" s="8" t="inlineStr"/>
      <c r="R108" s="8" t="inlineStr">
        <is>
          <t>1 step(s) in its backend files answer "not ported" (see Not ported tab).</t>
        </is>
      </c>
      <c r="S108" s="8" t="inlineStr">
        <is>
          <t>Leave the department heads have passed up, and long leave that needs the principal's signature. Shows who is away today across the school and which periods are still uncovered.</t>
        </is>
      </c>
    </row>
    <row r="109">
      <c r="A109" s="8" t="inlineStr">
        <is>
          <t>Institution Admin / Principal</t>
        </is>
      </c>
      <c r="B109" s="8" t="inlineStr">
        <is>
          <t>Staff</t>
        </is>
      </c>
      <c r="C109" s="8" t="inlineStr">
        <is>
          <t>Staff</t>
        </is>
      </c>
      <c r="D109" s="8" t="inlineStr">
        <is>
          <t>Roles &amp; permissions</t>
        </is>
      </c>
      <c r="E109" s="11" t="inlineStr">
        <is>
          <t>Good</t>
        </is>
      </c>
      <c r="F109" s="8" t="inlineStr">
        <is>
          <t>core</t>
        </is>
      </c>
      <c r="G109" s="8" t="inlineStr">
        <is>
          <t>Must-Have</t>
        </is>
      </c>
      <c r="H109" s="8" t="inlineStr">
        <is>
          <t>institution</t>
        </is>
      </c>
      <c r="I109" s="8" t="inlineStr">
        <is>
          <t>institution_admin.staff.roles_permissions</t>
        </is>
      </c>
      <c r="J109" s="8" t="inlineStr">
        <is>
          <t>web/src/features/super_admin/RolesPermissions.tsx</t>
        </is>
      </c>
      <c r="K109" s="8" t="inlineStr"/>
      <c r="L109" s="8" t="n">
        <v>6</v>
      </c>
      <c r="M109" s="8" t="inlineStr">
        <is>
          <t>/admin/installable-roles
/admin/roles
/admin/roles/install
/admin/roles/{}/features
/admin/roles/{}/grid
/admin/roles/{}/reset</t>
        </is>
      </c>
      <c r="N109" s="8" t="inlineStr">
        <is>
          <t>worker/src/routes/admin/users.ts</t>
        </is>
      </c>
      <c r="O109" s="8" t="n">
        <v>27</v>
      </c>
      <c r="P109" s="8" t="inlineStr">
        <is>
          <t>applications
campuses
classes
employees
enquiries
enrollments
guardians
institutions
integrations
invoices
… +17 more</t>
        </is>
      </c>
      <c r="Q109" s="8" t="inlineStr">
        <is>
          <t>feature_grants.test.ts
student_lms.test.ts</t>
        </is>
      </c>
      <c r="R109" s="8" t="inlineStr"/>
      <c r="S109" s="8" t="inlineStr">
        <is>
          <t>Who can see and do what. Each role is a grid of feature groups with a level and a data scope, not a list of permission keys. The built-in roles are read-only and restored on every upgrade; copy one to make a role of your own and then add or remove groups on it.</t>
        </is>
      </c>
    </row>
    <row r="110">
      <c r="A110" s="8" t="inlineStr">
        <is>
          <t>Institution Admin / Principal</t>
        </is>
      </c>
      <c r="B110" s="8" t="inlineStr">
        <is>
          <t>Staff</t>
        </is>
      </c>
      <c r="C110" s="8" t="inlineStr">
        <is>
          <t>Staff</t>
        </is>
      </c>
      <c r="D110" s="8" t="inlineStr">
        <is>
          <t>Logins &amp; access</t>
        </is>
      </c>
      <c r="E110" s="11" t="inlineStr">
        <is>
          <t>Good</t>
        </is>
      </c>
      <c r="F110" s="8" t="inlineStr">
        <is>
          <t>core</t>
        </is>
      </c>
      <c r="G110" s="8" t="inlineStr">
        <is>
          <t>Must-Have</t>
        </is>
      </c>
      <c r="H110" s="8" t="inlineStr">
        <is>
          <t>institution</t>
        </is>
      </c>
      <c r="I110" s="8" t="inlineStr">
        <is>
          <t>institution_admin.staff.logins_access</t>
        </is>
      </c>
      <c r="J110" s="8" t="inlineStr">
        <is>
          <t>web/src/features/principal/Logins.tsx</t>
        </is>
      </c>
      <c r="K110" s="8" t="inlineStr"/>
      <c r="L110" s="8" t="n">
        <v>38</v>
      </c>
      <c r="M110" s="8" t="inlineStr">
        <is>
          <t>/academics/sections
/admin/assignable-roles
/admin/day-code
/admin/features
/admin/login-events
/admin/parent-logins
/admin/parent-logins/issue-missing
/admin/permissions
… +30 more</t>
        </is>
      </c>
      <c r="N110" s="8" t="inlineStr">
        <is>
          <t>worker/src/router.ts
worker/src/routes/academics.ts
worker/src/routes/admin/security.ts
worker/src/routes/admin/session_activity.ts
worker/src/routes/admin/student_logins.ts
worker/src/routes/admin/users.ts
… +7 more</t>
        </is>
      </c>
      <c r="O110" s="8" t="n">
        <v>108</v>
      </c>
      <c r="P110" s="8" t="inlineStr">
        <is>
          <t>academic_years
activities
app_events
applications
audit_log
bell_schedules
biometric_devices
biometric_punches
branding_profiles
campuses
… +98 more</t>
        </is>
      </c>
      <c r="Q110" s="8" t="inlineStr">
        <is>
          <t>access.test.ts
auth.test.ts
class_status_gaps.test.ts
d1_health.test.ts
edge.test.ts
feature_grants.test.ts
… +11 more</t>
        </is>
      </c>
      <c r="R110" s="8" t="inlineStr"/>
      <c r="S110" s="8" t="inlineStr">
        <is>
          <t>Every login at this school: who it belongs to, whether it can still sign in, the roles it carries, when it last signed in and how many devices it is signed in on right now. Issue a login, reset a password, deactivate and reactivate, and sign a device out. Flags accounts whose staff, student or guardian record no longer exists, which is how a login outlives the person.</t>
        </is>
      </c>
    </row>
    <row r="111">
      <c r="A111" s="8" t="inlineStr">
        <is>
          <t>Institution Admin / Principal</t>
        </is>
      </c>
      <c r="B111" s="8" t="inlineStr">
        <is>
          <t>Staff</t>
        </is>
      </c>
      <c r="C111" s="8" t="inlineStr">
        <is>
          <t>Staff</t>
        </is>
      </c>
      <c r="D111" s="8" t="inlineStr">
        <is>
          <t>Privacy</t>
        </is>
      </c>
      <c r="E111" s="11" t="inlineStr">
        <is>
          <t>Good</t>
        </is>
      </c>
      <c r="F111" s="8" t="inlineStr">
        <is>
          <t>core</t>
        </is>
      </c>
      <c r="G111" s="8" t="inlineStr">
        <is>
          <t>Must-Have</t>
        </is>
      </c>
      <c r="H111" s="8" t="inlineStr">
        <is>
          <t>institution</t>
        </is>
      </c>
      <c r="I111" s="8" t="inlineStr">
        <is>
          <t>institution_admin.staff.privacy</t>
        </is>
      </c>
      <c r="J111" s="8" t="inlineStr">
        <is>
          <t>web/src/features/principal/Privacy.tsx</t>
        </is>
      </c>
      <c r="K111" s="8" t="inlineStr"/>
      <c r="L111" s="8" t="n">
        <v>1</v>
      </c>
      <c r="M111" s="8" t="inlineStr">
        <is>
          <t>/admin/privacy</t>
        </is>
      </c>
      <c r="N111" s="8" t="inlineStr">
        <is>
          <t>worker/src/routes/admin/security.ts</t>
        </is>
      </c>
      <c r="O111" s="8" t="n">
        <v>33</v>
      </c>
      <c r="P111" s="8" t="inlineStr">
        <is>
          <t>academic_years
app_events
audit_log
class_subjects
counselor_messages
counselor_threads
employees
enrollments
fee_structure_items
fee_structure_version_items
… +23 more</t>
        </is>
      </c>
      <c r="Q111" s="8" t="inlineStr"/>
      <c r="R111" s="8" t="inlineStr"/>
      <c r="S111" s="8" t="inlineStr">
        <is>
          <t>Who hears about a child (the primary guardian only, or every linked adult), whether a new login's password travels by email only, and where a guardian's portal access is ended or blocked. Links the privacy notice families are shown.</t>
        </is>
      </c>
    </row>
    <row r="112">
      <c r="A112" s="8" t="inlineStr">
        <is>
          <t>Institution Admin / Principal</t>
        </is>
      </c>
      <c r="B112" s="8" t="inlineStr">
        <is>
          <t>Staff</t>
        </is>
      </c>
      <c r="C112" s="8" t="inlineStr">
        <is>
          <t>Staff</t>
        </is>
      </c>
      <c r="D112" s="8" t="inlineStr">
        <is>
          <t>Interaction log</t>
        </is>
      </c>
      <c r="E112" s="11" t="inlineStr">
        <is>
          <t>Good</t>
        </is>
      </c>
      <c r="F112" s="8" t="inlineStr">
        <is>
          <t>core</t>
        </is>
      </c>
      <c r="G112" s="8" t="inlineStr">
        <is>
          <t>Must-Have</t>
        </is>
      </c>
      <c r="H112" s="8" t="inlineStr">
        <is>
          <t>institution</t>
        </is>
      </c>
      <c r="I112" s="8" t="inlineStr">
        <is>
          <t>institution_admin.staff.interaction_log</t>
        </is>
      </c>
      <c r="J112" s="8" t="inlineStr">
        <is>
          <t>web/src/features/principal/InteractionLog.tsx</t>
        </is>
      </c>
      <c r="K112" s="8" t="inlineStr"/>
      <c r="L112" s="8" t="n">
        <v>2</v>
      </c>
      <c r="M112" s="8" t="inlineStr">
        <is>
          <t>/admin/interactions
/admin/interactions/people</t>
        </is>
      </c>
      <c r="N112" s="8" t="inlineStr">
        <is>
          <t>worker/src/routes/admin/security.ts</t>
        </is>
      </c>
      <c r="O112" s="8" t="n">
        <v>33</v>
      </c>
      <c r="P112" s="8" t="inlineStr">
        <is>
          <t>academic_years
app_events
audit_log
class_subjects
counselor_messages
counselor_threads
employees
enrollments
fee_structure_items
fee_structure_version_items
… +23 more</t>
        </is>
      </c>
      <c r="Q112" s="8" t="inlineStr"/>
      <c r="R112" s="8" t="inlineStr"/>
      <c r="S112" s="8" t="inlineStr">
        <is>
          <t>Everything that passed between any two people at the school, in one list: messages between colleagues, a teacher's exchange with a family, the counsellor's thread, a remark written about a child, a fee taken at the counter. Pick one or two people, a kind and a window; search the text; export as CSV. Read-only, with a link to where each item lives.</t>
        </is>
      </c>
    </row>
    <row r="113">
      <c r="A113" s="8" t="inlineStr">
        <is>
          <t>Institution Admin / Principal</t>
        </is>
      </c>
      <c r="B113" s="8" t="inlineStr">
        <is>
          <t>Staff</t>
        </is>
      </c>
      <c r="C113" s="8" t="inlineStr">
        <is>
          <t>Staff</t>
        </is>
      </c>
      <c r="D113" s="8" t="inlineStr">
        <is>
          <t>Branding</t>
        </is>
      </c>
      <c r="E113" s="11" t="inlineStr">
        <is>
          <t>Good</t>
        </is>
      </c>
      <c r="F113" s="8" t="inlineStr">
        <is>
          <t>core</t>
        </is>
      </c>
      <c r="G113" s="8" t="inlineStr">
        <is>
          <t>Must-Have</t>
        </is>
      </c>
      <c r="H113" s="8" t="inlineStr">
        <is>
          <t>institution</t>
        </is>
      </c>
      <c r="I113" s="8" t="inlineStr">
        <is>
          <t>institution_admin.staff.branding</t>
        </is>
      </c>
      <c r="J113" s="8" t="inlineStr">
        <is>
          <t>web/src/features/super_admin/Branding.tsx</t>
        </is>
      </c>
      <c r="K113" s="8" t="inlineStr"/>
      <c r="L113" s="8" t="n">
        <v>3</v>
      </c>
      <c r="M113" s="8" t="inlineStr">
        <is>
          <t>/admin/platform
/files
/files/{}</t>
        </is>
      </c>
      <c r="N113" s="8" t="inlineStr">
        <is>
          <t>worker/src/routes/admin/platform_config.ts
worker/src/routes/misc/files.ts</t>
        </is>
      </c>
      <c r="O113" s="8" t="n">
        <v>43</v>
      </c>
      <c r="P113" s="8" t="inlineStr">
        <is>
          <t>academic_calendar_models
academic_years
application_documents
audit_log
auth_policies
backup_policies
backup_runs
board_configurations
board_disclosures
branding_profiles
… +33 more</t>
        </is>
      </c>
      <c r="Q113" s="8" t="inlineStr">
        <is>
          <t>platform_staff.test.ts</t>
        </is>
      </c>
      <c r="R113" s="8" t="inlineStr"/>
      <c r="S113" s="8" t="inlineStr">
        <is>
          <t>The school's own logo, name, colours and support contacts, shown in the app header, the browser tab, receipts and the sign-in page. Set once; a campus can override the school's where it runs its own identity. The vendor confirms a custom web address separately.</t>
        </is>
      </c>
    </row>
    <row r="114">
      <c r="A114" s="8" t="inlineStr">
        <is>
          <t>Institution Admin / Principal</t>
        </is>
      </c>
      <c r="B114" s="8" t="inlineStr">
        <is>
          <t>Staff</t>
        </is>
      </c>
      <c r="C114" s="8" t="inlineStr">
        <is>
          <t>Staff</t>
        </is>
      </c>
      <c r="D114" s="8" t="inlineStr">
        <is>
          <t>Staff groups &amp; lists</t>
        </is>
      </c>
      <c r="E114" s="11" t="inlineStr">
        <is>
          <t>Good</t>
        </is>
      </c>
      <c r="F114" s="8" t="inlineStr">
        <is>
          <t>core</t>
        </is>
      </c>
      <c r="G114" s="8" t="inlineStr">
        <is>
          <t>Should-Have</t>
        </is>
      </c>
      <c r="H114" s="8" t="inlineStr">
        <is>
          <t>institution</t>
        </is>
      </c>
      <c r="I114" s="8" t="inlineStr">
        <is>
          <t>institution_admin.staff.staff_groups_lists</t>
        </is>
      </c>
      <c r="J114" s="8" t="inlineStr">
        <is>
          <t>web/src/features/students/PeopleGroups.tsx</t>
        </is>
      </c>
      <c r="K114" s="8" t="inlineStr"/>
      <c r="L114" s="8" t="n">
        <v>5</v>
      </c>
      <c r="M114" s="8" t="inlineStr">
        <is>
          <t>/people/group-fields
/people/groups
/people/groups/{}
/people/groups/{}/members
/people/groups/{}/members/{}</t>
        </is>
      </c>
      <c r="N114" s="8" t="inlineStr">
        <is>
          <t>worker/src/routes/growth/people.ts</t>
        </is>
      </c>
      <c r="O114" s="8" t="n">
        <v>14</v>
      </c>
      <c r="P114" s="8" t="inlineStr">
        <is>
          <t>classes
departments
designations
employees
enrollments
guardians
person_group_members
person_groups
roles
sections
… +4 more</t>
        </is>
      </c>
      <c r="Q114" s="8" t="inlineStr"/>
      <c r="R114" s="8" t="inlineStr"/>
      <c r="S114" s="8" t="inlineStr">
        <is>
          <t>Named groups of staff, exam duty, the lab-trained four, everybody at one branch. Same rules as the student groups, over staff fields and your own imported columns.</t>
        </is>
      </c>
    </row>
    <row r="115">
      <c r="A115" s="8" t="inlineStr">
        <is>
          <t>Institution Admin / Principal</t>
        </is>
      </c>
      <c r="B115" s="8" t="inlineStr">
        <is>
          <t>Staff</t>
        </is>
      </c>
      <c r="C115" s="8" t="inlineStr">
        <is>
          <t>Staff</t>
        </is>
      </c>
      <c r="D115" s="8" t="inlineStr">
        <is>
          <t>My pay</t>
        </is>
      </c>
      <c r="E115" s="10" t="inlineStr">
        <is>
          <t>Check</t>
        </is>
      </c>
      <c r="F115" s="8" t="inlineStr">
        <is>
          <t>core</t>
        </is>
      </c>
      <c r="G115" s="8" t="inlineStr">
        <is>
          <t>Must-Have</t>
        </is>
      </c>
      <c r="H115" s="8" t="inlineStr">
        <is>
          <t>self</t>
        </is>
      </c>
      <c r="I115" s="8" t="inlineStr">
        <is>
          <t>institution_admin.staff.my_pay</t>
        </is>
      </c>
      <c r="J115" s="8" t="inlineStr">
        <is>
          <t>web/src/features/me/MyPay.tsx</t>
        </is>
      </c>
      <c r="K115" s="8" t="inlineStr"/>
      <c r="L115" s="8" t="n">
        <v>1</v>
      </c>
      <c r="M115" s="8" t="inlineStr">
        <is>
          <t>/me/pay</t>
        </is>
      </c>
      <c r="N115" s="8" t="inlineStr">
        <is>
          <t>worker/src/routes/daily.ts</t>
        </is>
      </c>
      <c r="O115" s="8" t="n">
        <v>51</v>
      </c>
      <c r="P115" s="8" t="inlineStr">
        <is>
          <t>absence_followup_section_done
academic_years
applications
attendance_corrections
bell_schedules
board_memberships
campuses
class_subjects
classes
departments
… +41 more</t>
        </is>
      </c>
      <c r="Q115" s="8" t="inlineStr"/>
      <c r="R115" s="8" t="inlineStr">
        <is>
          <t>1 step(s) in its backend files answer "not ported" (see Not ported tab).</t>
        </is>
      </c>
      <c r="S115" s="8" t="inlineStr">
        <is>
          <t>Your own payslips month by month, what was taken off and how much of it was tax, the days you were marked present, and the leave you have left. Only ever your own.</t>
        </is>
      </c>
    </row>
    <row r="116">
      <c r="A116" s="8" t="inlineStr">
        <is>
          <t>Institution Admin / Principal</t>
        </is>
      </c>
      <c r="B116" s="8" t="inlineStr">
        <is>
          <t>Academics</t>
        </is>
      </c>
      <c r="C116" s="8" t="inlineStr">
        <is>
          <t>Exams</t>
        </is>
      </c>
      <c r="D116" s="8" t="inlineStr">
        <is>
          <t>Question paper approval</t>
        </is>
      </c>
      <c r="E116" s="11" t="inlineStr">
        <is>
          <t>Good</t>
        </is>
      </c>
      <c r="F116" s="8" t="inlineStr">
        <is>
          <t>core</t>
        </is>
      </c>
      <c r="G116" s="8" t="inlineStr">
        <is>
          <t>Must-Have</t>
        </is>
      </c>
      <c r="H116" s="8" t="inlineStr">
        <is>
          <t>institution</t>
        </is>
      </c>
      <c r="I116" s="8" t="inlineStr">
        <is>
          <t>institution_admin.exams.question_paper_approval</t>
        </is>
      </c>
      <c r="J116" s="8" t="inlineStr">
        <is>
          <t>web/src/features/exams/QuestionPapers.tsx</t>
        </is>
      </c>
      <c r="K116" s="8" t="inlineStr"/>
      <c r="L116" s="8" t="n">
        <v>5</v>
      </c>
      <c r="M116" s="8" t="inlineStr">
        <is>
          <t>/exams/question-papers
/exams/question-papers/slots
/exams/question-papers/{}/decide
/files
/files/{}</t>
        </is>
      </c>
      <c r="N116" s="8" t="inlineStr">
        <is>
          <t>worker/src/routes/exams.ts
worker/src/routes/misc/files.ts</t>
        </is>
      </c>
      <c r="O116" s="8" t="n">
        <v>44</v>
      </c>
      <c r="P116" s="8" t="inlineStr">
        <is>
          <t>academic_years
application_documents
branding_profiles
campuses
certificate_types
class_subjects
classes
employee_documents
employees
enrollments
… +34 more</t>
        </is>
      </c>
      <c r="Q116" s="8" t="inlineStr"/>
      <c r="R116" s="8" t="inlineStr"/>
      <c r="S116" s="8" t="inlineStr">
        <is>
          <t>Every paper waiting to be read, across the school, with who set it and when the exam is.</t>
        </is>
      </c>
    </row>
    <row r="117">
      <c r="A117" s="8" t="inlineStr">
        <is>
          <t>Institution Admin / Principal</t>
        </is>
      </c>
      <c r="B117" s="8" t="inlineStr">
        <is>
          <t>Academics</t>
        </is>
      </c>
      <c r="C117" s="8" t="inlineStr">
        <is>
          <t>Exams</t>
        </is>
      </c>
      <c r="D117" s="8" t="inlineStr">
        <is>
          <t>Mark moderation</t>
        </is>
      </c>
      <c r="E117" s="11" t="inlineStr">
        <is>
          <t>Good</t>
        </is>
      </c>
      <c r="F117" s="8" t="inlineStr">
        <is>
          <t>core</t>
        </is>
      </c>
      <c r="G117" s="8" t="inlineStr">
        <is>
          <t>Must-Have</t>
        </is>
      </c>
      <c r="H117" s="8" t="inlineStr">
        <is>
          <t>institution</t>
        </is>
      </c>
      <c r="I117" s="8" t="inlineStr">
        <is>
          <t>institution_admin.exams.mark_moderation</t>
        </is>
      </c>
      <c r="J117" s="8" t="inlineStr">
        <is>
          <t>web/src/features/exams/MarkModeration.tsx</t>
        </is>
      </c>
      <c r="K117" s="8" t="inlineStr"/>
      <c r="L117" s="8" t="n">
        <v>1</v>
      </c>
      <c r="M117" s="8" t="inlineStr">
        <is>
          <t>/exams/moderation</t>
        </is>
      </c>
      <c r="N117" s="8" t="inlineStr">
        <is>
          <t>worker/src/routes/exams.ts</t>
        </is>
      </c>
      <c r="O117" s="8" t="n">
        <v>36</v>
      </c>
      <c r="P117" s="8" t="inlineStr">
        <is>
          <t>academic_years
branding_profiles
campuses
certificate_types
class_subjects
classes
enrollments
exam_halls
exam_seats
exam_subjects
… +26 more</t>
        </is>
      </c>
      <c r="Q117" s="8" t="inlineStr"/>
      <c r="R117" s="8" t="inlineStr"/>
      <c r="S117" s="8" t="inlineStr">
        <is>
          <t>The same paper-by-paper view across every department, and the record of who moderated what.</t>
        </is>
      </c>
    </row>
    <row r="118">
      <c r="A118" s="8" t="inlineStr">
        <is>
          <t>Institution Admin / Principal</t>
        </is>
      </c>
      <c r="B118" s="8" t="inlineStr">
        <is>
          <t>Hostel</t>
        </is>
      </c>
      <c r="C118" s="8" t="inlineStr">
        <is>
          <t>Hostel</t>
        </is>
      </c>
      <c r="D118" s="8" t="inlineStr">
        <is>
          <t>Hostel &amp; rooms</t>
        </is>
      </c>
      <c r="E118" s="11" t="inlineStr">
        <is>
          <t>Good</t>
        </is>
      </c>
      <c r="F118" s="8" t="inlineStr">
        <is>
          <t>core</t>
        </is>
      </c>
      <c r="G118" s="8" t="inlineStr">
        <is>
          <t>Must-Have</t>
        </is>
      </c>
      <c r="H118" s="8" t="inlineStr">
        <is>
          <t>institution</t>
        </is>
      </c>
      <c r="I118" s="8" t="inlineStr">
        <is>
          <t>institution_admin.hostel.hostel_rooms</t>
        </is>
      </c>
      <c r="J118" s="8" t="inlineStr">
        <is>
          <t>web/src/features/operations/Hostel.tsx</t>
        </is>
      </c>
      <c r="K118" s="8" t="inlineStr"/>
      <c r="L118" s="8" t="n">
        <v>4</v>
      </c>
      <c r="M118" s="8" t="inlineStr">
        <is>
          <t>/ops/hostel/allocate
/ops/hostel/occupancy
/ops/hostel/rooms/{}/boarders
/students</t>
        </is>
      </c>
      <c r="N118" s="8" t="inlineStr">
        <is>
          <t>worker/src/router.ts
worker/src/routes/ops/hostel.ts
worker/src/routes/students.ts</t>
        </is>
      </c>
      <c r="O118" s="8" t="n">
        <v>54</v>
      </c>
      <c r="P118" s="8" t="inlineStr">
        <is>
          <t>academic_years
activities
audit_log
certificate_types
class_subjects
classes
co_scholastic_areas
co_scholastic_grades
discipline_records
employees
… +44 more</t>
        </is>
      </c>
      <c r="Q118" s="8" t="inlineStr">
        <is>
          <t>access.test.ts
auth.test.ts
fees.test.ts
perf.test.ts
student_lms.test.ts
student_login_default.test.ts
… +1 more</t>
        </is>
      </c>
      <c r="R118" s="8" t="inlineStr"/>
      <c r="S118" s="8" t="inlineStr">
        <is>
          <t>Blocks, rooms and who sleeps where, with the roll call taken against it.</t>
        </is>
      </c>
    </row>
    <row r="119">
      <c r="A119" s="8" t="inlineStr">
        <is>
          <t>Institution Admin / Principal</t>
        </is>
      </c>
      <c r="B119" s="8" t="inlineStr">
        <is>
          <t>Hostel</t>
        </is>
      </c>
      <c r="C119" s="8" t="inlineStr">
        <is>
          <t>Hostel</t>
        </is>
      </c>
      <c r="D119" s="8" t="inlineStr">
        <is>
          <t>Outpasses &amp; mess</t>
        </is>
      </c>
      <c r="E119" s="11" t="inlineStr">
        <is>
          <t>Good</t>
        </is>
      </c>
      <c r="F119" s="8" t="inlineStr">
        <is>
          <t>core</t>
        </is>
      </c>
      <c r="G119" s="8" t="inlineStr">
        <is>
          <t>Must-Have</t>
        </is>
      </c>
      <c r="H119" s="8" t="inlineStr">
        <is>
          <t>institution</t>
        </is>
      </c>
      <c r="I119" s="8" t="inlineStr">
        <is>
          <t>institution_admin.hostel.outpasses_mess</t>
        </is>
      </c>
      <c r="J119" s="8" t="inlineStr">
        <is>
          <t>web/src/features/operations/HostelLife.tsx</t>
        </is>
      </c>
      <c r="K119" s="8" t="inlineStr"/>
      <c r="L119" s="8" t="n">
        <v>5</v>
      </c>
      <c r="M119" s="8" t="inlineStr">
        <is>
          <t>/ops/hostel/complaints
/ops/hostel/complaints/{}/resolve
/ops/hostel/mess
/ops/hostel/outpasses
/ops/hostel/outpasses/{}/decide</t>
        </is>
      </c>
      <c r="N119" s="8" t="inlineStr">
        <is>
          <t>worker/src/routes/ops/hostel.ts</t>
        </is>
      </c>
      <c r="O119" s="8" t="n">
        <v>11</v>
      </c>
      <c r="P119" s="8" t="inlineStr">
        <is>
          <t>classes
enrollments
hostel_allocations
hostel_blocks
hostel_complaints
hostel_outpasses
hostel_rooms
mess_menus
sections
students
… +1 more</t>
        </is>
      </c>
      <c r="Q119" s="8" t="inlineStr"/>
      <c r="R119" s="8" t="inlineStr"/>
      <c r="S119" s="8" t="inlineStr">
        <is>
          <t>Leave out of the hostel, complaints raised from it, and the week’s mess menu.</t>
        </is>
      </c>
    </row>
    <row r="120">
      <c r="A120" s="8" t="inlineStr">
        <is>
          <t>Institution Admin / Principal</t>
        </is>
      </c>
      <c r="B120" s="8" t="inlineStr">
        <is>
          <t>Hostel</t>
        </is>
      </c>
      <c r="C120" s="8" t="inlineStr">
        <is>
          <t>Hostel</t>
        </is>
      </c>
      <c r="D120" s="8" t="inlineStr">
        <is>
          <t>Night study attendance</t>
        </is>
      </c>
      <c r="E120" s="11" t="inlineStr">
        <is>
          <t>Good</t>
        </is>
      </c>
      <c r="F120" s="8" t="inlineStr">
        <is>
          <t>core</t>
        </is>
      </c>
      <c r="G120" s="8" t="inlineStr">
        <is>
          <t>Must-Have</t>
        </is>
      </c>
      <c r="H120" s="8" t="inlineStr">
        <is>
          <t>institution</t>
        </is>
      </c>
      <c r="I120" s="8" t="inlineStr">
        <is>
          <t>institution_admin.hostel.night_study_attendance</t>
        </is>
      </c>
      <c r="J120" s="8" t="inlineStr">
        <is>
          <t>web/src/features/operations/HostelNightStudy.tsx</t>
        </is>
      </c>
      <c r="K120" s="8" t="inlineStr"/>
      <c r="L120" s="8" t="n">
        <v>1</v>
      </c>
      <c r="M120" s="8" t="inlineStr">
        <is>
          <t>/ops/hostel/night-study</t>
        </is>
      </c>
      <c r="N120" s="8" t="inlineStr">
        <is>
          <t>worker/src/routes/ops/infirmary.ts</t>
        </is>
      </c>
      <c r="O120" s="8" t="n">
        <v>23</v>
      </c>
      <c r="P120" s="8" t="inlineStr">
        <is>
          <t>academic_years
classes
enrollments
health_camp_attendance
health_camps
health_checkups
hostel_allocations
hostel_blocks
hostel_laundry
hostel_outpasses
… +13 more</t>
        </is>
      </c>
      <c r="Q120" s="8" t="inlineStr"/>
      <c r="R120" s="8" t="inlineStr"/>
      <c r="S120" s="8" t="inlineStr">
        <is>
          <t>Who was in the study hall, taken the way the register is.</t>
        </is>
      </c>
    </row>
    <row r="121">
      <c r="A121" s="8" t="inlineStr">
        <is>
          <t>Institution Admin / Principal</t>
        </is>
      </c>
      <c r="B121" s="8" t="inlineStr">
        <is>
          <t>Hostel</t>
        </is>
      </c>
      <c r="C121" s="8" t="inlineStr">
        <is>
          <t>Hostel</t>
        </is>
      </c>
      <c r="D121" s="8" t="inlineStr">
        <is>
          <t>Room inventory checklists</t>
        </is>
      </c>
      <c r="E121" s="11" t="inlineStr">
        <is>
          <t>Good</t>
        </is>
      </c>
      <c r="F121" s="8" t="inlineStr">
        <is>
          <t>core</t>
        </is>
      </c>
      <c r="G121" s="8" t="inlineStr">
        <is>
          <t>Must-Have</t>
        </is>
      </c>
      <c r="H121" s="8" t="inlineStr">
        <is>
          <t>institution</t>
        </is>
      </c>
      <c r="I121" s="8" t="inlineStr">
        <is>
          <t>institution_admin.hostel.room_inventory_checklists</t>
        </is>
      </c>
      <c r="J121" s="8" t="inlineStr">
        <is>
          <t>web/src/features/operations/HostelRoomChecks.tsx</t>
        </is>
      </c>
      <c r="K121" s="8" t="inlineStr"/>
      <c r="L121" s="8" t="n">
        <v>3</v>
      </c>
      <c r="M121" s="8" t="inlineStr">
        <is>
          <t>/ops/hostel/occupancy
/ops/hostel/room-checks
/ops/hostel/room-checks/{}/items</t>
        </is>
      </c>
      <c r="N121" s="8" t="inlineStr">
        <is>
          <t>worker/src/routes/ops/hostel.ts
worker/src/routes/ops/infirmary.ts</t>
        </is>
      </c>
      <c r="O121" s="8" t="n">
        <v>25</v>
      </c>
      <c r="P121" s="8" t="inlineStr">
        <is>
          <t>academic_years
classes
enrollments
health_camp_attendance
health_camps
health_checkups
hostel_allocations
hostel_blocks
hostel_complaints
hostel_laundry
… +15 more</t>
        </is>
      </c>
      <c r="Q121" s="8" t="inlineStr"/>
      <c r="R121" s="8" t="inlineStr"/>
      <c r="S121" s="8" t="inlineStr">
        <is>
          <t>What each room holds and what condition it is in, checked in, checked out.</t>
        </is>
      </c>
    </row>
    <row r="122">
      <c r="A122" s="8" t="inlineStr">
        <is>
          <t>Institution Admin / Principal</t>
        </is>
      </c>
      <c r="B122" s="8" t="inlineStr">
        <is>
          <t>Hostel</t>
        </is>
      </c>
      <c r="C122" s="8" t="inlineStr">
        <is>
          <t>Hostel</t>
        </is>
      </c>
      <c r="D122" s="8" t="inlineStr">
        <is>
          <t>Hostel visitor log</t>
        </is>
      </c>
      <c r="E122" s="11" t="inlineStr">
        <is>
          <t>Good</t>
        </is>
      </c>
      <c r="F122" s="8" t="inlineStr">
        <is>
          <t>core</t>
        </is>
      </c>
      <c r="G122" s="8" t="inlineStr">
        <is>
          <t>Must-Have</t>
        </is>
      </c>
      <c r="H122" s="8" t="inlineStr">
        <is>
          <t>institution</t>
        </is>
      </c>
      <c r="I122" s="8" t="inlineStr">
        <is>
          <t>institution_admin.hostel.hostel_visitor_log</t>
        </is>
      </c>
      <c r="J122" s="8" t="inlineStr">
        <is>
          <t>web/src/features/operations/HostelVisitors.tsx</t>
        </is>
      </c>
      <c r="K122" s="8" t="inlineStr"/>
      <c r="L122" s="8" t="n">
        <v>2</v>
      </c>
      <c r="M122" s="8" t="inlineStr">
        <is>
          <t>/ops/hostel/visits
/ops/hostel/visits/{}/out</t>
        </is>
      </c>
      <c r="N122" s="8" t="inlineStr">
        <is>
          <t>worker/src/routes/ops/infirmary.ts</t>
        </is>
      </c>
      <c r="O122" s="8" t="n">
        <v>23</v>
      </c>
      <c r="P122" s="8" t="inlineStr">
        <is>
          <t>academic_years
classes
enrollments
health_camp_attendance
health_camps
health_checkups
hostel_allocations
hostel_blocks
hostel_laundry
hostel_outpasses
… +13 more</t>
        </is>
      </c>
      <c r="Q122" s="8" t="inlineStr"/>
      <c r="R122" s="8" t="inlineStr"/>
      <c r="S122" s="8" t="inlineStr">
        <is>
          <t>Who came to see a boarder, when they arrived and when they left.</t>
        </is>
      </c>
    </row>
    <row r="123">
      <c r="A123" s="8" t="inlineStr">
        <is>
          <t>Institution Admin / Principal</t>
        </is>
      </c>
      <c r="B123" s="8" t="inlineStr">
        <is>
          <t>Hostel</t>
        </is>
      </c>
      <c r="C123" s="8" t="inlineStr">
        <is>
          <t>Hostel</t>
        </is>
      </c>
      <c r="D123" s="8" t="inlineStr">
        <is>
          <t>Boarder laundry</t>
        </is>
      </c>
      <c r="E123" s="11" t="inlineStr">
        <is>
          <t>Good</t>
        </is>
      </c>
      <c r="F123" s="8" t="inlineStr">
        <is>
          <t>core</t>
        </is>
      </c>
      <c r="G123" s="8" t="inlineStr">
        <is>
          <t>Must-Have</t>
        </is>
      </c>
      <c r="H123" s="8" t="inlineStr">
        <is>
          <t>institution</t>
        </is>
      </c>
      <c r="I123" s="8" t="inlineStr">
        <is>
          <t>institution_admin.hostel.boarder_laundry</t>
        </is>
      </c>
      <c r="J123" s="8" t="inlineStr">
        <is>
          <t>web/src/features/operations/HostelLaundry.tsx</t>
        </is>
      </c>
      <c r="K123" s="8" t="inlineStr"/>
      <c r="L123" s="8" t="n">
        <v>2</v>
      </c>
      <c r="M123" s="8" t="inlineStr">
        <is>
          <t>/ops/hostel/laundry
/ops/hostel/laundry/{}/return</t>
        </is>
      </c>
      <c r="N123" s="8" t="inlineStr">
        <is>
          <t>worker/src/routes/ops/infirmary.ts</t>
        </is>
      </c>
      <c r="O123" s="8" t="n">
        <v>23</v>
      </c>
      <c r="P123" s="8" t="inlineStr">
        <is>
          <t>academic_years
classes
enrollments
health_camp_attendance
health_camps
health_checkups
hostel_allocations
hostel_blocks
hostel_laundry
hostel_outpasses
… +13 more</t>
        </is>
      </c>
      <c r="Q123" s="8" t="inlineStr"/>
      <c r="R123" s="8" t="inlineStr"/>
      <c r="S123" s="8" t="inlineStr">
        <is>
          <t>Bundles out and back, so a missing shirt has a record rather than an argument.</t>
        </is>
      </c>
    </row>
    <row r="124">
      <c r="A124" s="8" t="inlineStr">
        <is>
          <t>Institution Admin / Principal</t>
        </is>
      </c>
      <c r="B124" s="8" t="inlineStr">
        <is>
          <t>Communication</t>
        </is>
      </c>
      <c r="C124" s="8" t="inlineStr">
        <is>
          <t>Channel Setup</t>
        </is>
      </c>
      <c r="D124" s="8" t="inlineStr">
        <is>
          <t>Message Channels</t>
        </is>
      </c>
      <c r="E124" s="11" t="inlineStr">
        <is>
          <t>Good</t>
        </is>
      </c>
      <c r="F124" s="8" t="inlineStr">
        <is>
          <t>core</t>
        </is>
      </c>
      <c r="G124" s="8" t="inlineStr">
        <is>
          <t>Must-Have</t>
        </is>
      </c>
      <c r="H124" s="8" t="inlineStr">
        <is>
          <t>institution</t>
        </is>
      </c>
      <c r="I124" s="8" t="inlineStr">
        <is>
          <t>institution_admin.channel_setup.message_channels</t>
        </is>
      </c>
      <c r="J124" s="8" t="inlineStr">
        <is>
          <t>web/src/features/communication/ChannelSetup.tsx</t>
        </is>
      </c>
      <c r="K124" s="8" t="inlineStr"/>
      <c r="L124" s="8" t="n">
        <v>1</v>
      </c>
      <c r="M124" s="8" t="inlineStr">
        <is>
          <t>/admin/messaging/health</t>
        </is>
      </c>
      <c r="N124" s="8" t="inlineStr">
        <is>
          <t>worker/src/routes/comms/delivery.ts</t>
        </is>
      </c>
      <c r="O124" s="8" t="n">
        <v>9</v>
      </c>
      <c r="P124" s="8" t="inlineStr">
        <is>
          <t>announcements
dead_letters
message_digest_items
message_log
message_policies
message_settings
notifications
push_tokens
users</t>
        </is>
      </c>
      <c r="Q124" s="8" t="inlineStr"/>
      <c r="R124" s="8" t="inlineStr"/>
      <c r="S124" s="8" t="inlineStr">
        <is>
          <t>The school's own email, SMS and WhatsApp senders, the SMTP host a circular leaves through, the gateway a fee reminder uses, the WhatsApp number a parent replies to. Tested from the screen, so a wrong password is found here and not in a parent's empty inbox.</t>
        </is>
      </c>
    </row>
    <row r="125">
      <c r="A125" s="8" t="inlineStr">
        <is>
          <t>Institution Admin / Principal</t>
        </is>
      </c>
      <c r="B125" s="8" t="inlineStr">
        <is>
          <t>Staff</t>
        </is>
      </c>
      <c r="C125" s="8" t="inlineStr">
        <is>
          <t>Attendance Devices</t>
        </is>
      </c>
      <c r="D125" s="8" t="inlineStr">
        <is>
          <t>Biometric Readers</t>
        </is>
      </c>
      <c r="E125" s="11" t="inlineStr">
        <is>
          <t>Good</t>
        </is>
      </c>
      <c r="F125" s="8" t="inlineStr">
        <is>
          <t>core</t>
        </is>
      </c>
      <c r="G125" s="8" t="inlineStr">
        <is>
          <t>Must-Have</t>
        </is>
      </c>
      <c r="H125" s="8" t="inlineStr">
        <is>
          <t>institution</t>
        </is>
      </c>
      <c r="I125" s="8" t="inlineStr">
        <is>
          <t>institution_admin.attendance_devices.biometric_readers</t>
        </is>
      </c>
      <c r="J125" s="8" t="inlineStr">
        <is>
          <t>web/src/features/communication/BiometricReaders.tsx</t>
        </is>
      </c>
      <c r="K125" s="8" t="inlineStr"/>
      <c r="L125" s="8" t="n">
        <v>2</v>
      </c>
      <c r="M125" s="8" t="inlineStr">
        <is>
          <t>/setup/biometric-devices
/setup/biometric-devices/unclaimed</t>
        </is>
      </c>
      <c r="N125" s="8" t="inlineStr">
        <is>
          <t>worker/src/routes/setup/staff.ts</t>
        </is>
      </c>
      <c r="O125" s="8" t="n">
        <v>22</v>
      </c>
      <c r="P125" s="8" t="inlineStr">
        <is>
          <t>biometric_devices
biometric_punches
class_subjects
classes
departments
designations
employee_documents
employees
enrollments
guardians
… +12 more</t>
        </is>
      </c>
      <c r="Q125" s="8" t="inlineStr"/>
      <c r="R125" s="8" t="inlineStr"/>
      <c r="S125" s="8" t="inlineStr">
        <is>
          <t>The fingerprint readers this school runs: the serial each one reports, whether it is trusted yet, when it last spoke, and punches from a finger nobody claims.</t>
        </is>
      </c>
    </row>
    <row r="126">
      <c r="A126" s="8" t="inlineStr">
        <is>
          <t>Institution Admin / Principal</t>
        </is>
      </c>
      <c r="B126" s="8" t="inlineStr">
        <is>
          <t>Staff</t>
        </is>
      </c>
      <c r="C126" s="8" t="inlineStr">
        <is>
          <t>Attendance Devices</t>
        </is>
      </c>
      <c r="D126" s="8" t="inlineStr">
        <is>
          <t>Staff attendance register</t>
        </is>
      </c>
      <c r="E126" s="10" t="inlineStr">
        <is>
          <t>Check</t>
        </is>
      </c>
      <c r="F126" s="8" t="inlineStr">
        <is>
          <t>core</t>
        </is>
      </c>
      <c r="G126" s="8" t="inlineStr">
        <is>
          <t>Must-Have</t>
        </is>
      </c>
      <c r="H126" s="8" t="inlineStr">
        <is>
          <t>institution</t>
        </is>
      </c>
      <c r="I126" s="8" t="inlineStr">
        <is>
          <t>institution_admin.attendance_devices.staff_attendance_register</t>
        </is>
      </c>
      <c r="J126" s="8" t="inlineStr">
        <is>
          <t>web/src/features/hr/StaffAttendance.tsx</t>
        </is>
      </c>
      <c r="K126" s="8" t="inlineStr"/>
      <c r="L126" s="8" t="n">
        <v>9</v>
      </c>
      <c r="M126" s="8" t="inlineStr">
        <is>
          <t>/setup/import/history
/setup/import/history/{}/content
/setup/import/history/{}/undo
/setup/import/{}
/setup/import/{}/fields
/setup/import/{}/template
/setup/logins/bulk
/workflow/staff-attendance
… +1 more</t>
        </is>
      </c>
      <c r="N126" s="8" t="inlineStr">
        <is>
          <t>worker/src/routes/daily.ts
worker/src/routes/setup/imports.ts
worker/src/routes/setup/staff.ts</t>
        </is>
      </c>
      <c r="O126" s="8" t="n">
        <v>67</v>
      </c>
      <c r="P126" s="8" t="inlineStr">
        <is>
          <t>absence_followup_section_done
academic_years
applications
attendance_corrections
bell_schedules
biometric_devices
biometric_punches
board_memberships
campuses
certificate_types
… +57 more</t>
        </is>
      </c>
      <c r="Q126" s="8" t="inlineStr">
        <is>
          <t>lms_modules.test.ts
lms_nesting.test.ts
lms_progression.test.ts
lms_videos.test.ts
marks_import.test.ts
perf.test.ts
… +1 more</t>
        </is>
      </c>
      <c r="R126" s="8" t="inlineStr">
        <is>
          <t>1 step(s) in its backend files answer "not ported" (see Not ported tab).</t>
        </is>
      </c>
      <c r="S126" s="8" t="inlineStr">
        <is>
          <t>Who was in today and who was not, taken off the fingerprint readers above. The day the school actually had, not the one the roster planned: late arrivals, early departures, and the staff a reader recorded no punch for at all.</t>
        </is>
      </c>
    </row>
    <row r="127">
      <c r="A127" s="8" t="inlineStr">
        <is>
          <t>Institution Admin / Principal</t>
        </is>
      </c>
      <c r="B127" s="8" t="inlineStr">
        <is>
          <t>Staff</t>
        </is>
      </c>
      <c r="C127" s="8" t="inlineStr">
        <is>
          <t>Attendance Devices</t>
        </is>
      </c>
      <c r="D127" s="8" t="inlineStr">
        <is>
          <t>Staff Working Hours</t>
        </is>
      </c>
      <c r="E127" s="11" t="inlineStr">
        <is>
          <t>Good</t>
        </is>
      </c>
      <c r="F127" s="8" t="inlineStr">
        <is>
          <t>core</t>
        </is>
      </c>
      <c r="G127" s="8" t="inlineStr">
        <is>
          <t>Must-Have</t>
        </is>
      </c>
      <c r="H127" s="8" t="inlineStr">
        <is>
          <t>institution</t>
        </is>
      </c>
      <c r="I127" s="8" t="inlineStr">
        <is>
          <t>institution_admin.attendance_devices.staff_working_hours</t>
        </is>
      </c>
      <c r="J127" s="8" t="inlineStr">
        <is>
          <t>web/src/features/hr/WorkPatterns.tsx</t>
        </is>
      </c>
      <c r="K127" s="8" t="inlineStr"/>
      <c r="L127" s="8" t="n">
        <v>5</v>
      </c>
      <c r="M127" s="8" t="inlineStr">
        <is>
          <t>/setup/departments
/setup/work-patterns
/setup/work-patterns/assign
/setup/work-patterns/staff
/setup/work-patterns/{}</t>
        </is>
      </c>
      <c r="N127" s="8" t="inlineStr">
        <is>
          <t>worker/src/routes/setup/staff.ts</t>
        </is>
      </c>
      <c r="O127" s="8" t="n">
        <v>22</v>
      </c>
      <c r="P127" s="8" t="inlineStr">
        <is>
          <t>biometric_devices
biometric_punches
class_subjects
classes
departments
designations
employee_documents
employees
enrollments
guardians
… +12 more</t>
        </is>
      </c>
      <c r="Q127" s="8" t="inlineStr"/>
      <c r="R127" s="8" t="inlineStr"/>
      <c r="S127" s="8" t="inlineStr">
        <is>
          <t>The hours this school expects, named by the school and assigned to a department or a person: teaching, office and transport rarely start together. Each set says what counts as a full day, when somebody is late, and how -- or whether -- the school cuts pay for a day lost.</t>
        </is>
      </c>
    </row>
    <row r="128">
      <c r="A128" s="8" t="inlineStr">
        <is>
          <t>Institution Admin / Principal</t>
        </is>
      </c>
      <c r="B128" s="8" t="inlineStr">
        <is>
          <t>Staff</t>
        </is>
      </c>
      <c r="C128" s="8" t="inlineStr">
        <is>
          <t>Attendance Devices</t>
        </is>
      </c>
      <c r="D128" s="8" t="inlineStr">
        <is>
          <t>Staff Hours This Month</t>
        </is>
      </c>
      <c r="E128" s="11" t="inlineStr">
        <is>
          <t>Good</t>
        </is>
      </c>
      <c r="F128" s="8" t="inlineStr">
        <is>
          <t>core</t>
        </is>
      </c>
      <c r="G128" s="8" t="inlineStr">
        <is>
          <t>Must-Have</t>
        </is>
      </c>
      <c r="H128" s="8" t="inlineStr">
        <is>
          <t>institution</t>
        </is>
      </c>
      <c r="I128" s="8" t="inlineStr">
        <is>
          <t>institution_admin.attendance_devices.staff_hours_this_month</t>
        </is>
      </c>
      <c r="J128" s="8" t="inlineStr">
        <is>
          <t>web/src/features/hr/StaffHours.tsx</t>
        </is>
      </c>
      <c r="K128" s="8" t="inlineStr"/>
      <c r="L128" s="8" t="n">
        <v>2</v>
      </c>
      <c r="M128" s="8" t="inlineStr">
        <is>
          <t>/setup/staff-hours
/setup/staff-hours/{}</t>
        </is>
      </c>
      <c r="N128" s="8" t="inlineStr">
        <is>
          <t>worker/src/routes/setup/staff.ts</t>
        </is>
      </c>
      <c r="O128" s="8" t="n">
        <v>22</v>
      </c>
      <c r="P128" s="8" t="inlineStr">
        <is>
          <t>biometric_devices
biometric_punches
class_subjects
classes
departments
designations
employee_documents
employees
enrollments
guardians
… +12 more</t>
        </is>
      </c>
      <c r="Q128" s="8" t="inlineStr"/>
      <c r="R128" s="8" t="inlineStr"/>
      <c r="S128" s="8" t="inlineStr">
        <is>
          <t>One month of the fingerprint readers read against each person's own expected hours: days worked, half days, late arrivals, early departures, and the loss of pay that follows under the school's own rule -- with the rule named beside the figure.</t>
        </is>
      </c>
    </row>
    <row r="129">
      <c r="A129" s="8" t="inlineStr">
        <is>
          <t>Institution Admin / Principal</t>
        </is>
      </c>
      <c r="B129" s="8" t="inlineStr">
        <is>
          <t>Staff</t>
        </is>
      </c>
      <c r="C129" s="8" t="inlineStr">
        <is>
          <t>Attendance Devices</t>
        </is>
      </c>
      <c r="D129" s="8" t="inlineStr">
        <is>
          <t>Leave Rules &amp; LOP</t>
        </is>
      </c>
      <c r="E129" s="11" t="inlineStr">
        <is>
          <t>Good</t>
        </is>
      </c>
      <c r="F129" s="8" t="inlineStr">
        <is>
          <t>core</t>
        </is>
      </c>
      <c r="G129" s="8" t="inlineStr">
        <is>
          <t>Must-Have</t>
        </is>
      </c>
      <c r="H129" s="8" t="inlineStr">
        <is>
          <t>institution</t>
        </is>
      </c>
      <c r="I129" s="8" t="inlineStr">
        <is>
          <t>institution_admin.attendance_devices.leave_rules_lop</t>
        </is>
      </c>
      <c r="J129" s="8" t="inlineStr">
        <is>
          <t>web/src/features/hr/LeavePolicy.tsx</t>
        </is>
      </c>
      <c r="K129" s="8" t="inlineStr"/>
      <c r="L129" s="8" t="n">
        <v>4</v>
      </c>
      <c r="M129" s="8" t="inlineStr">
        <is>
          <t>/hr/leave-policy
/hr/leave-types
/hr/leave-types/{}
/hr/lop</t>
        </is>
      </c>
      <c r="N129" s="8" t="inlineStr">
        <is>
          <t>worker/src/routes/hr/lifecycle.ts
worker/src/routes/hr/staff.ts</t>
        </is>
      </c>
      <c r="O129" s="8" t="n">
        <v>43</v>
      </c>
      <c r="P129" s="8" t="inlineStr">
        <is>
          <t>audit_log
background_verifications
biometric_devices
branding_profiles
campuses
certificate_types
class_subjects
classes
clearance_departments
departments
… +33 more</t>
        </is>
      </c>
      <c r="Q129" s="8" t="inlineStr"/>
      <c r="R129" s="8" t="inlineStr"/>
      <c r="S129" s="8" t="inlineStr">
        <is>
          <t>The leave types this school grants and how many of each, whether they carry forward or are encashed, and exactly what becomes loss of pay -- absence, unpaid leave, leave taken past its quota, and how many late marks make a day. The payslip is built from these and nothing else.</t>
        </is>
      </c>
    </row>
    <row r="130">
      <c r="A130" s="8" t="inlineStr">
        <is>
          <t>Institution Admin / Principal</t>
        </is>
      </c>
      <c r="B130" s="8" t="inlineStr">
        <is>
          <t>Staff</t>
        </is>
      </c>
      <c r="C130" s="8" t="inlineStr">
        <is>
          <t>Attendance Devices</t>
        </is>
      </c>
      <c r="D130" s="8" t="inlineStr">
        <is>
          <t>Staff attendance reports</t>
        </is>
      </c>
      <c r="E130" s="11" t="inlineStr">
        <is>
          <t>Good</t>
        </is>
      </c>
      <c r="F130" s="8" t="inlineStr">
        <is>
          <t>core</t>
        </is>
      </c>
      <c r="G130" s="8" t="inlineStr">
        <is>
          <t>Should-Have</t>
        </is>
      </c>
      <c r="H130" s="8" t="inlineStr">
        <is>
          <t>institution</t>
        </is>
      </c>
      <c r="I130" s="8" t="inlineStr">
        <is>
          <t>institution_admin.attendance_devices.staff_attendance_reports</t>
        </is>
      </c>
      <c r="J130" s="8" t="inlineStr">
        <is>
          <t>web/src/features/analytics/HRReports.tsx</t>
        </is>
      </c>
      <c r="K130" s="8" t="inlineStr"/>
      <c r="L130" s="8" t="n">
        <v>6</v>
      </c>
      <c r="M130" s="8" t="inlineStr">
        <is>
          <t>/date-ranges
/rollups/hr/attendance
/rollups/hr/expiries
/rollups/hr/headcount
/rollups/hr/movement
/rollups/hr/workload</t>
        </is>
      </c>
      <c r="N130" s="8" t="inlineStr">
        <is>
          <t>worker/src/routes/growth/rollups.ts
worker/src/routes/misc/shell.ts</t>
        </is>
      </c>
      <c r="O130" s="8" t="n">
        <v>52</v>
      </c>
      <c r="P130" s="8" t="inlineStr">
        <is>
          <t>academic_years
applications
appointments
attendance_corrections
background_verifications
class_subjects
classes
departments
designations
employees
… +42 more</t>
        </is>
      </c>
      <c r="Q130" s="8" t="inlineStr"/>
      <c r="R130" s="8" t="inlineStr"/>
      <c r="S130" s="8" t="inlineStr">
        <is>
          <t>The same register over a month or a term, per member of staff and per department, with the totals a payroll run and a confirmation-of-service letter both need.</t>
        </is>
      </c>
    </row>
    <row r="131">
      <c r="A131" s="8" t="inlineStr">
        <is>
          <t>Institution Admin / Principal</t>
        </is>
      </c>
      <c r="B131" s="8" t="inlineStr">
        <is>
          <t>Stores</t>
        </is>
      </c>
      <c r="C131" s="8" t="inlineStr">
        <is>
          <t>Stores</t>
        </is>
      </c>
      <c r="D131" s="8" t="inlineStr">
        <is>
          <t>Store catalogue</t>
        </is>
      </c>
      <c r="E131" s="11" t="inlineStr">
        <is>
          <t>Good</t>
        </is>
      </c>
      <c r="F131" s="8" t="inlineStr">
        <is>
          <t>core</t>
        </is>
      </c>
      <c r="G131" s="8" t="inlineStr">
        <is>
          <t>Should-Have</t>
        </is>
      </c>
      <c r="H131" s="8" t="inlineStr">
        <is>
          <t>institution</t>
        </is>
      </c>
      <c r="I131" s="8" t="inlineStr">
        <is>
          <t>institution_admin.stores.store_catalogue</t>
        </is>
      </c>
      <c r="J131" s="8" t="inlineStr">
        <is>
          <t>web/src/features/finance/StoreCatalogue.tsx</t>
        </is>
      </c>
      <c r="K131" s="8" t="inlineStr"/>
      <c r="L131" s="8" t="n">
        <v>3</v>
      </c>
      <c r="M131" s="8" t="inlineStr">
        <is>
          <t>/finance/collections
/finance/ledgers
/store/catalogue</t>
        </is>
      </c>
      <c r="N131" s="8" t="inlineStr">
        <is>
          <t>worker/src/routes/fees/collections.ts
worker/src/routes/fees/ledgers.ts
worker/src/routes/misc/shell.ts</t>
        </is>
      </c>
      <c r="O131" s="8" t="n">
        <v>57</v>
      </c>
      <c r="P131" s="8" t="inlineStr">
        <is>
          <t>academic_years
accounting_years
bank_accounts
budget_lines
budgets
cafeteria_purchase_items
cafeteria_purchases
class_subjects
classes
collections_settings
… +47 more</t>
        </is>
      </c>
      <c r="Q131" s="8" t="inlineStr"/>
      <c r="R131" s="8" t="inlineStr"/>
      <c r="S131" s="8" t="inlineStr">
        <is>
          <t>The school store as families see it: every active product with price and stock, display only, alongside the stock and issuance screens.</t>
        </is>
      </c>
    </row>
    <row r="132">
      <c r="A132" s="8" t="inlineStr">
        <is>
          <t>Institution Admin / Principal</t>
        </is>
      </c>
      <c r="B132" s="8" t="inlineStr">
        <is>
          <t>Stores</t>
        </is>
      </c>
      <c r="C132" s="8" t="inlineStr">
        <is>
          <t>Stores</t>
        </is>
      </c>
      <c r="D132" s="8" t="inlineStr">
        <is>
          <t>Purchase Order Workflow</t>
        </is>
      </c>
      <c r="E132" s="11" t="inlineStr">
        <is>
          <t>Good</t>
        </is>
      </c>
      <c r="F132" s="8" t="inlineStr">
        <is>
          <t>advanced</t>
        </is>
      </c>
      <c r="G132" s="8" t="inlineStr">
        <is>
          <t>Should-Have</t>
        </is>
      </c>
      <c r="H132" s="8" t="inlineStr">
        <is>
          <t>institution</t>
        </is>
      </c>
      <c r="I132" s="8" t="inlineStr">
        <is>
          <t>institution_admin.stores.purchase_order_workflow</t>
        </is>
      </c>
      <c r="J132" s="8" t="inlineStr">
        <is>
          <t>web/src/features/operations/PurchaseOrders.tsx</t>
        </is>
      </c>
      <c r="K132" s="8" t="inlineStr"/>
      <c r="L132" s="8" t="n">
        <v>1</v>
      </c>
      <c r="M132" s="8" t="inlineStr">
        <is>
          <t>/admin-ops</t>
        </is>
      </c>
      <c r="N132" s="8" t="inlineStr">
        <is>
          <t>worker/src/routes/admin/ops_evaluation.ts
worker/src/routes/admin/ops_fee_filings.ts
worker/src/routes/admin/ops_mdm.ts
worker/src/routes/admin/ops_purchasing.ts</t>
        </is>
      </c>
      <c r="O132" s="8" t="n">
        <v>40</v>
      </c>
      <c r="P132" s="8" t="inlineStr">
        <is>
          <t>academic_years
classes
departments
employees
enrollments
evaluation_answers
evaluation_cycles
evaluation_invitations
evaluation_questions
evaluation_responses
… +30 more</t>
        </is>
      </c>
      <c r="Q132" s="8" t="inlineStr"/>
      <c r="R132" s="8" t="inlineStr"/>
      <c r="S132" s="8" t="inlineStr">
        <is>
          <t>Raise a purchase requisition, approve it within the spending limits, issue the purchase order, record the goods received and match the supplier's invoice against both before it is paid.</t>
        </is>
      </c>
    </row>
    <row r="133">
      <c r="A133" s="8" t="inlineStr">
        <is>
          <t>Institution Admin / Principal</t>
        </is>
      </c>
      <c r="B133" s="8" t="inlineStr">
        <is>
          <t>Reports</t>
        </is>
      </c>
      <c r="C133" s="8" t="inlineStr">
        <is>
          <t>Analysis</t>
        </is>
      </c>
      <c r="D133" s="8" t="inlineStr">
        <is>
          <t>Custom Report Builder</t>
        </is>
      </c>
      <c r="E133" s="11" t="inlineStr">
        <is>
          <t>Good</t>
        </is>
      </c>
      <c r="F133" s="8" t="inlineStr">
        <is>
          <t>advanced</t>
        </is>
      </c>
      <c r="G133" s="8" t="inlineStr">
        <is>
          <t>Should-Have</t>
        </is>
      </c>
      <c r="H133" s="8" t="inlineStr">
        <is>
          <t>institution</t>
        </is>
      </c>
      <c r="I133" s="8" t="inlineStr">
        <is>
          <t>institution_admin.analysis.custom_report_builder</t>
        </is>
      </c>
      <c r="J133" s="8" t="inlineStr">
        <is>
          <t>web/src/features/analytics/ReportBuilder.tsx</t>
        </is>
      </c>
      <c r="K133" s="8" t="inlineStr"/>
      <c r="L133" s="8" t="n">
        <v>7</v>
      </c>
      <c r="M133" s="8" t="inlineStr">
        <is>
          <t>/report-builder/definitions
/report-builder/definitions/{}
/report-builder/definitions/{}/run
/report-builder/definitions/{}/shares
/report-builder/definitions/{}/shares/{}
/report-builder/preview
/report-builder/schema</t>
        </is>
      </c>
      <c r="N133" s="8" t="inlineStr">
        <is>
          <t>worker/src/routes/growth/report_builder.ts</t>
        </is>
      </c>
      <c r="O133" s="8" t="n">
        <v>12</v>
      </c>
      <c r="P133" s="8" t="inlineStr">
        <is>
          <t>classes
departments
designations
enrollments
report_definitions
report_runs
report_shares
roles
sections
students
… +2 more</t>
        </is>
      </c>
      <c r="Q133" s="8" t="inlineStr"/>
      <c r="R133" s="8" t="inlineStr"/>
      <c r="S133" s="8" t="inlineStr">
        <is>
          <t>Build your own report: pick the data, the columns and the filters, preview it, save it, share it with colleagues and export it.</t>
        </is>
      </c>
    </row>
    <row r="134">
      <c r="A134" s="8" t="inlineStr">
        <is>
          <t>Institution Admin / Principal</t>
        </is>
      </c>
      <c r="B134" s="8" t="inlineStr">
        <is>
          <t>Reports</t>
        </is>
      </c>
      <c r="C134" s="8" t="inlineStr">
        <is>
          <t>Analysis</t>
        </is>
      </c>
      <c r="D134" s="8" t="inlineStr">
        <is>
          <t>Department reports</t>
        </is>
      </c>
      <c r="E134" s="11" t="inlineStr">
        <is>
          <t>Good</t>
        </is>
      </c>
      <c r="F134" s="8" t="inlineStr">
        <is>
          <t>advanced</t>
        </is>
      </c>
      <c r="G134" s="8" t="inlineStr">
        <is>
          <t>Should-Have</t>
        </is>
      </c>
      <c r="H134" s="8" t="inlineStr">
        <is>
          <t>institution</t>
        </is>
      </c>
      <c r="I134" s="8" t="inlineStr">
        <is>
          <t>institution_admin.analysis.department_reports</t>
        </is>
      </c>
      <c r="J134" s="8" t="inlineStr">
        <is>
          <t>web/src/features/analytics/DepartmentReports.tsx</t>
        </is>
      </c>
      <c r="K134" s="8" t="inlineStr"/>
      <c r="L134" s="8" t="n">
        <v>2</v>
      </c>
      <c r="M134" s="8" t="inlineStr">
        <is>
          <t>/date-ranges
/rollups/departments/reports</t>
        </is>
      </c>
      <c r="N134" s="8" t="inlineStr">
        <is>
          <t>worker/src/routes/growth/rollups.ts
worker/src/routes/misc/shell.ts</t>
        </is>
      </c>
      <c r="O134" s="8" t="n">
        <v>52</v>
      </c>
      <c r="P134" s="8" t="inlineStr">
        <is>
          <t>academic_years
applications
appointments
attendance_corrections
background_verifications
class_subjects
classes
departments
designations
employees
… +42 more</t>
        </is>
      </c>
      <c r="Q134" s="8" t="inlineStr"/>
      <c r="R134" s="8" t="inlineStr"/>
      <c r="S134" s="8" t="inlineStr">
        <is>
          <t>Attendance, workload, results and a summary for each department side by side.</t>
        </is>
      </c>
    </row>
    <row r="135">
      <c r="A135" s="8" t="inlineStr">
        <is>
          <t>Institution Admin / Principal</t>
        </is>
      </c>
      <c r="B135" s="8" t="inlineStr">
        <is>
          <t>Reports</t>
        </is>
      </c>
      <c r="C135" s="8" t="inlineStr">
        <is>
          <t>Analysis</t>
        </is>
      </c>
      <c r="D135" s="8" t="inlineStr">
        <is>
          <t>Performance analytics</t>
        </is>
      </c>
      <c r="E135" s="11" t="inlineStr">
        <is>
          <t>Good</t>
        </is>
      </c>
      <c r="F135" s="8" t="inlineStr">
        <is>
          <t>advanced</t>
        </is>
      </c>
      <c r="G135" s="8" t="inlineStr">
        <is>
          <t>Should-Have</t>
        </is>
      </c>
      <c r="H135" s="8" t="inlineStr">
        <is>
          <t>institution</t>
        </is>
      </c>
      <c r="I135" s="8" t="inlineStr">
        <is>
          <t>institution_admin.analysis.performance_analytics</t>
        </is>
      </c>
      <c r="J135" s="8" t="inlineStr">
        <is>
          <t>web/src/features/analytics/PerformanceAnalytics.tsx</t>
        </is>
      </c>
      <c r="K135" s="8" t="inlineStr"/>
      <c r="L135" s="8" t="n">
        <v>4</v>
      </c>
      <c r="M135" s="8" t="inlineStr">
        <is>
          <t>/rollups/performance/at-risk
/rollups/performance/distribution
/rollups/performance/subjects
/rollups/performance/trend</t>
        </is>
      </c>
      <c r="N135" s="8" t="inlineStr">
        <is>
          <t>worker/src/routes/growth/rollups.ts</t>
        </is>
      </c>
      <c r="O135" s="8" t="n">
        <v>42</v>
      </c>
      <c r="P135" s="8" t="inlineStr">
        <is>
          <t>academic_years
applications
appointments
attendance_corrections
background_verifications
class_subjects
classes
departments
designations
employees
… +32 more</t>
        </is>
      </c>
      <c r="Q135" s="8" t="inlineStr">
        <is>
          <t>degenerate_numbers.test.ts</t>
        </is>
      </c>
      <c r="R135" s="8" t="inlineStr"/>
      <c r="S135" s="8" t="inlineStr">
        <is>
          <t>Subject pass rates, the term-on-term trend, the spread of marks and the students at risk.</t>
        </is>
      </c>
    </row>
    <row r="136">
      <c r="A136" s="8" t="inlineStr">
        <is>
          <t>Institution Admin / Principal</t>
        </is>
      </c>
      <c r="B136" s="8" t="inlineStr">
        <is>
          <t>Staff</t>
        </is>
      </c>
      <c r="C136" s="8" t="inlineStr">
        <is>
          <t>Department</t>
        </is>
      </c>
      <c r="D136" s="8" t="inlineStr">
        <is>
          <t>Department academics</t>
        </is>
      </c>
      <c r="E136" s="11" t="inlineStr">
        <is>
          <t>Good</t>
        </is>
      </c>
      <c r="F136" s="8" t="inlineStr">
        <is>
          <t>advanced</t>
        </is>
      </c>
      <c r="G136" s="8" t="inlineStr">
        <is>
          <t>Should-Have</t>
        </is>
      </c>
      <c r="H136" s="8" t="inlineStr">
        <is>
          <t>institution</t>
        </is>
      </c>
      <c r="I136" s="8" t="inlineStr">
        <is>
          <t>institution_admin.department.department_academics</t>
        </is>
      </c>
      <c r="J136" s="8" t="inlineStr">
        <is>
          <t>web/src/features/analytics/DepartmentAcademics.tsx</t>
        </is>
      </c>
      <c r="K136" s="8" t="inlineStr"/>
      <c r="L136" s="8" t="n">
        <v>1</v>
      </c>
      <c r="M136" s="8" t="inlineStr">
        <is>
          <t>/rollups/departments/academics</t>
        </is>
      </c>
      <c r="N136" s="8" t="inlineStr">
        <is>
          <t>worker/src/routes/growth/rollups.ts</t>
        </is>
      </c>
      <c r="O136" s="8" t="n">
        <v>42</v>
      </c>
      <c r="P136" s="8" t="inlineStr">
        <is>
          <t>academic_years
applications
appointments
attendance_corrections
background_verifications
class_subjects
classes
departments
designations
employees
… +32 more</t>
        </is>
      </c>
      <c r="Q136" s="8" t="inlineStr"/>
      <c r="R136" s="8" t="inlineStr"/>
      <c r="S136" s="8" t="inlineStr">
        <is>
          <t>Each department's subjects, sections and teachers, and how far its syllabus has got.</t>
        </is>
      </c>
    </row>
    <row r="137">
      <c r="A137" s="8" t="inlineStr">
        <is>
          <t>Institution Admin / Principal</t>
        </is>
      </c>
      <c r="B137" s="8" t="inlineStr">
        <is>
          <t>Staff</t>
        </is>
      </c>
      <c r="C137" s="8" t="inlineStr">
        <is>
          <t>Evaluation</t>
        </is>
      </c>
      <c r="D137" s="8" t="inlineStr">
        <is>
          <t>Appraisals</t>
        </is>
      </c>
      <c r="E137" s="11" t="inlineStr">
        <is>
          <t>Good</t>
        </is>
      </c>
      <c r="F137" s="8" t="inlineStr">
        <is>
          <t>advanced</t>
        </is>
      </c>
      <c r="G137" s="8" t="inlineStr">
        <is>
          <t>Should-Have</t>
        </is>
      </c>
      <c r="H137" s="8" t="inlineStr">
        <is>
          <t>institution</t>
        </is>
      </c>
      <c r="I137" s="8" t="inlineStr">
        <is>
          <t>institution_admin.evaluation.appraisals</t>
        </is>
      </c>
      <c r="J137" s="8" t="inlineStr">
        <is>
          <t>web/src/features/operations/EvaluationOversight.tsx</t>
        </is>
      </c>
      <c r="K137" s="8" t="inlineStr"/>
      <c r="L137" s="8" t="n">
        <v>1</v>
      </c>
      <c r="M137" s="8" t="inlineStr">
        <is>
          <t>/admin-ops</t>
        </is>
      </c>
      <c r="N137" s="8" t="inlineStr">
        <is>
          <t>worker/src/routes/admin/ops_evaluation.ts
worker/src/routes/admin/ops_fee_filings.ts
worker/src/routes/admin/ops_mdm.ts
worker/src/routes/admin/ops_purchasing.ts</t>
        </is>
      </c>
      <c r="O137" s="8" t="n">
        <v>40</v>
      </c>
      <c r="P137" s="8" t="inlineStr">
        <is>
          <t>academic_years
classes
departments
employees
enrollments
evaluation_answers
evaluation_cycles
evaluation_invitations
evaluation_questions
evaluation_responses
… +30 more</t>
        </is>
      </c>
      <c r="Q137" s="8" t="inlineStr"/>
      <c r="R137" s="8" t="inlineStr"/>
      <c r="S137" s="8" t="inlineStr">
        <is>
          <t>Run a 360-degree review cycle: peers, students and the principal answer the same questions, and each teacher's results are released once enough people have answered to keep them anonymous.</t>
        </is>
      </c>
    </row>
    <row r="138">
      <c r="A138" s="8" t="inlineStr">
        <is>
          <t>Institution Admin / Principal</t>
        </is>
      </c>
      <c r="B138" s="8" t="inlineStr">
        <is>
          <t>Administration</t>
        </is>
      </c>
      <c r="C138" s="8" t="inlineStr">
        <is>
          <t>Statutory Returns</t>
        </is>
      </c>
      <c r="D138" s="8" t="inlineStr">
        <is>
          <t>Instruction Hours</t>
        </is>
      </c>
      <c r="E138" s="11" t="inlineStr">
        <is>
          <t>Good</t>
        </is>
      </c>
      <c r="F138" s="8" t="inlineStr">
        <is>
          <t>advanced</t>
        </is>
      </c>
      <c r="G138" s="8" t="inlineStr">
        <is>
          <t>Should-Have</t>
        </is>
      </c>
      <c r="H138" s="8" t="inlineStr">
        <is>
          <t>institution</t>
        </is>
      </c>
      <c r="I138" s="8" t="inlineStr">
        <is>
          <t>institution_admin.statutory_returns.instruction_hours</t>
        </is>
      </c>
      <c r="J138" s="8" t="inlineStr">
        <is>
          <t>web/src/features/compliance/WorkingDays.tsx</t>
        </is>
      </c>
      <c r="K138" s="8" t="inlineStr"/>
      <c r="L138" s="8" t="n">
        <v>5</v>
      </c>
      <c r="M138" s="8" t="inlineStr">
        <is>
          <t>/statutory/working-days
/statutory/working-days/adjustments
/statutory/working-days/adjustments/{}
/statutory/working-days/norms
/statutory/working-days/returns</t>
        </is>
      </c>
      <c r="N138" s="8" t="inlineStr">
        <is>
          <t>worker/src/routes/statutory.ts</t>
        </is>
      </c>
      <c r="O138" s="8" t="n">
        <v>37</v>
      </c>
      <c r="P138" s="8" t="inlineStr">
        <is>
          <t>academic_calendar_models
academic_years
board_registrations
child_info_differences
child_info_imports
child_info_portal_connectors
child_info_resolutions
child_info_rows
child_info_sync_runs
classes
… +27 more</t>
        </is>
      </c>
      <c r="Q138" s="8" t="inlineStr"/>
      <c r="R138" s="8" t="inlineStr"/>
      <c r="S138" s="8" t="inlineStr">
        <is>
          <t>Days taught and hours delivered against the minimum the board requires, while there is still term left to make them up.</t>
        </is>
      </c>
    </row>
    <row r="139">
      <c r="A139" s="8" t="inlineStr">
        <is>
          <t>Board / Trustee</t>
        </is>
      </c>
      <c r="B139" s="8" t="inlineStr">
        <is>
          <t>Home</t>
        </is>
      </c>
      <c r="C139" s="8" t="inlineStr">
        <is>
          <t>Home</t>
        </is>
      </c>
      <c r="D139" s="8" t="inlineStr">
        <is>
          <t>Where the money goes</t>
        </is>
      </c>
      <c r="E139" s="10" t="inlineStr">
        <is>
          <t>Check</t>
        </is>
      </c>
      <c r="F139" s="8" t="inlineStr">
        <is>
          <t>core</t>
        </is>
      </c>
      <c r="G139" s="8" t="inlineStr">
        <is>
          <t>Must-Have</t>
        </is>
      </c>
      <c r="H139" s="8" t="inlineStr">
        <is>
          <t>institution</t>
        </is>
      </c>
      <c r="I139" s="8" t="inlineStr">
        <is>
          <t>board_member.home.where_the_money_goes</t>
        </is>
      </c>
      <c r="J139" s="8" t="inlineStr">
        <is>
          <t>web/src/features/board/BoardMoney.tsx</t>
        </is>
      </c>
      <c r="K139" s="8" t="inlineStr"/>
      <c r="L139" s="8" t="n">
        <v>2</v>
      </c>
      <c r="M139" s="8" t="inlineStr">
        <is>
          <t>/board/money
/date-ranges</t>
        </is>
      </c>
      <c r="N139" s="8" t="inlineStr">
        <is>
          <t>worker/src/routes/admin/loose.ts
worker/src/routes/misc/shell.ts</t>
        </is>
      </c>
      <c r="O139" s="8" t="n">
        <v>50</v>
      </c>
      <c r="P139" s="8" t="inlineStr">
        <is>
          <t>academic_years
api_keys
applications
attendance_corrections
campuses
class_subjects
classes
counselor_thread_participants
employees
enquiries
… +40 more</t>
        </is>
      </c>
      <c r="Q139" s="8" t="inlineStr"/>
      <c r="R139" s="8" t="inlineStr">
        <is>
          <t>1 step(s) in its backend files answer "not ported" (see Not ported tab).</t>
        </is>
      </c>
      <c r="S139" s="8" t="inlineStr">
        <is>
          <t>Every campus on one sheet: what came in over the period, what is still owed, what went out in salaries, and how many children and staff that was for. Read-only, the whole school, for the people who sign off rather than operate.</t>
        </is>
      </c>
    </row>
    <row r="140">
      <c r="A140" s="8" t="inlineStr">
        <is>
          <t>Board / Trustee</t>
        </is>
      </c>
      <c r="B140" s="8" t="inlineStr">
        <is>
          <t>Money</t>
        </is>
      </c>
      <c r="C140" s="8" t="inlineStr">
        <is>
          <t>Money</t>
        </is>
      </c>
      <c r="D140" s="8" t="inlineStr">
        <is>
          <t>Fee overview</t>
        </is>
      </c>
      <c r="E140" s="11" t="inlineStr">
        <is>
          <t>Good</t>
        </is>
      </c>
      <c r="F140" s="8" t="inlineStr">
        <is>
          <t>core</t>
        </is>
      </c>
      <c r="G140" s="8" t="inlineStr">
        <is>
          <t>Must-Have</t>
        </is>
      </c>
      <c r="H140" s="8" t="inlineStr">
        <is>
          <t>institution</t>
        </is>
      </c>
      <c r="I140" s="8" t="inlineStr">
        <is>
          <t>board_member.money.fee_overview</t>
        </is>
      </c>
      <c r="J140" s="8" t="inlineStr">
        <is>
          <t>web/src/features/analytics/FeeOverview.tsx</t>
        </is>
      </c>
      <c r="K140" s="8" t="inlineStr"/>
      <c r="L140" s="8" t="n">
        <v>3</v>
      </c>
      <c r="M140" s="8" t="inlineStr">
        <is>
          <t>/rollups/fees/ageing
/rollups/fees/concessions
/rollups/fees/overview</t>
        </is>
      </c>
      <c r="N140" s="8" t="inlineStr">
        <is>
          <t>worker/src/routes/growth/rollups.ts</t>
        </is>
      </c>
      <c r="O140" s="8" t="n">
        <v>42</v>
      </c>
      <c r="P140" s="8" t="inlineStr">
        <is>
          <t>academic_years
applications
appointments
attendance_corrections
background_verifications
class_subjects
classes
departments
designations
employees
… +32 more</t>
        </is>
      </c>
      <c r="Q140" s="8" t="inlineStr"/>
      <c r="R140" s="8" t="inlineStr"/>
      <c r="S140" s="8" t="inlineStr">
        <is>
          <t>Expected against collected for the period, and the gap between them, for the school as a whole.</t>
        </is>
      </c>
    </row>
    <row r="141">
      <c r="A141" s="8" t="inlineStr">
        <is>
          <t>Board / Trustee</t>
        </is>
      </c>
      <c r="B141" s="8" t="inlineStr">
        <is>
          <t>Money</t>
        </is>
      </c>
      <c r="C141" s="8" t="inlineStr">
        <is>
          <t>Money</t>
        </is>
      </c>
      <c r="D141" s="8" t="inlineStr">
        <is>
          <t>Collections &amp; dues</t>
        </is>
      </c>
      <c r="E141" s="11" t="inlineStr">
        <is>
          <t>Good</t>
        </is>
      </c>
      <c r="F141" s="8" t="inlineStr">
        <is>
          <t>core</t>
        </is>
      </c>
      <c r="G141" s="8" t="inlineStr">
        <is>
          <t>Must-Have</t>
        </is>
      </c>
      <c r="H141" s="8" t="inlineStr">
        <is>
          <t>institution</t>
        </is>
      </c>
      <c r="I141" s="8" t="inlineStr">
        <is>
          <t>board_member.money.collections_dues</t>
        </is>
      </c>
      <c r="J141" s="8" t="inlineStr">
        <is>
          <t>web/src/features/finance/Dashboard.tsx</t>
        </is>
      </c>
      <c r="K141" s="8" t="inlineStr"/>
      <c r="L141" s="8" t="n">
        <v>3</v>
      </c>
      <c r="M141" s="8" t="inlineStr">
        <is>
          <t>/date-ranges
/finance/dashboard
/finance/invoices</t>
        </is>
      </c>
      <c r="N141" s="8" t="inlineStr">
        <is>
          <t>worker/src/routes/fees/backoffice.ts
worker/src/routes/misc/shell.ts</t>
        </is>
      </c>
      <c r="O141" s="8" t="n">
        <v>20</v>
      </c>
      <c r="P141" s="8" t="inlineStr">
        <is>
          <t>academic_years
class_subjects
classes
employees
hostel_rooms
institutions
inventory_items
invoices
module_settings
payments
… +10 more</t>
        </is>
      </c>
      <c r="Q141" s="8" t="inlineStr">
        <is>
          <t>access.test.ts
fees.test.ts</t>
        </is>
      </c>
      <c r="R141" s="8" t="inlineStr"/>
      <c r="S141" s="8" t="inlineStr">
        <is>
          <t>The finance desks own dashboard, read-only: collected today and over the period, outstanding, overdue, and the count of families behind.</t>
        </is>
      </c>
    </row>
    <row r="142">
      <c r="A142" s="8" t="inlineStr">
        <is>
          <t>Board / Trustee</t>
        </is>
      </c>
      <c r="B142" s="8" t="inlineStr">
        <is>
          <t>Reports</t>
        </is>
      </c>
      <c r="C142" s="8" t="inlineStr">
        <is>
          <t>Reports</t>
        </is>
      </c>
      <c r="D142" s="8" t="inlineStr">
        <is>
          <t>Reports</t>
        </is>
      </c>
      <c r="E142" s="11" t="inlineStr">
        <is>
          <t>Good</t>
        </is>
      </c>
      <c r="F142" s="8" t="inlineStr">
        <is>
          <t>core</t>
        </is>
      </c>
      <c r="G142" s="8" t="inlineStr">
        <is>
          <t>Must-Have</t>
        </is>
      </c>
      <c r="H142" s="8" t="inlineStr">
        <is>
          <t>institution</t>
        </is>
      </c>
      <c r="I142" s="8" t="inlineStr">
        <is>
          <t>board_member.reports.reports</t>
        </is>
      </c>
      <c r="J142" s="8" t="inlineStr">
        <is>
          <t>web/src/features/shared/Exports.tsx</t>
        </is>
      </c>
      <c r="K142" s="8" t="inlineStr"/>
      <c r="L142" s="8" t="n">
        <v>1</v>
      </c>
      <c r="M142" s="8" t="inlineStr">
        <is>
          <t>/export</t>
        </is>
      </c>
      <c r="N142" s="8" t="inlineStr">
        <is>
          <t>worker/src/routes/admin/export.ts</t>
        </is>
      </c>
      <c r="O142" s="8" t="n">
        <v>33</v>
      </c>
      <c r="P142" s="8" t="inlineStr">
        <is>
          <t>academic_years
applications
class_subjects
classes
departments
designations
employee_documents
employees
enrollments
exam_subjects
… +23 more</t>
        </is>
      </c>
      <c r="Q142" s="8" t="inlineStr">
        <is>
          <t>session_activity.test.ts</t>
        </is>
      </c>
      <c r="R142" s="8" t="inlineStr"/>
      <c r="S142" s="8" t="inlineStr">
        <is>
          <t>Every export the school produces, fees, attendance, payroll, downloadable as they are, for the board pack.</t>
        </is>
      </c>
    </row>
    <row r="143">
      <c r="A143" s="8" t="inlineStr">
        <is>
          <t>Board / Trustee</t>
        </is>
      </c>
      <c r="B143" s="8" t="inlineStr">
        <is>
          <t>Audit</t>
        </is>
      </c>
      <c r="C143" s="8" t="inlineStr">
        <is>
          <t>Audit</t>
        </is>
      </c>
      <c r="D143" s="8" t="inlineStr">
        <is>
          <t>Audit trail</t>
        </is>
      </c>
      <c r="E143" s="11" t="inlineStr">
        <is>
          <t>Good</t>
        </is>
      </c>
      <c r="F143" s="8" t="inlineStr">
        <is>
          <t>core</t>
        </is>
      </c>
      <c r="G143" s="8" t="inlineStr">
        <is>
          <t>Must-Have</t>
        </is>
      </c>
      <c r="H143" s="8" t="inlineStr">
        <is>
          <t>institution</t>
        </is>
      </c>
      <c r="I143" s="8" t="inlineStr">
        <is>
          <t>board_member.audit.audit_trail</t>
        </is>
      </c>
      <c r="J143" s="8" t="inlineStr">
        <is>
          <t>web/src/features/super_admin/AuditLog.tsx</t>
        </is>
      </c>
      <c r="K143" s="8" t="inlineStr"/>
      <c r="L143" s="8" t="n">
        <v>3</v>
      </c>
      <c r="M143" s="8" t="inlineStr">
        <is>
          <t>/admin/audit
/admin/audit/events
/admin/audit/summary</t>
        </is>
      </c>
      <c r="N143" s="8" t="inlineStr">
        <is>
          <t>worker/src/routes/admin/security.ts</t>
        </is>
      </c>
      <c r="O143" s="8" t="n">
        <v>33</v>
      </c>
      <c r="P143" s="8" t="inlineStr">
        <is>
          <t>academic_years
app_events
audit_log
class_subjects
counselor_messages
counselor_threads
employees
enrollments
fee_structure_items
fee_structure_version_items
… +23 more</t>
        </is>
      </c>
      <c r="Q143" s="8" t="inlineStr"/>
      <c r="R143" s="8" t="inlineStr"/>
      <c r="S143" s="8" t="inlineStr">
        <is>
          <t>Who changed what, when. A board reads this to trust the numbers above it, not to chase anybody.</t>
        </is>
      </c>
    </row>
    <row r="144">
      <c r="A144" s="8" t="inlineStr">
        <is>
          <t>HOD / Department Head</t>
        </is>
      </c>
      <c r="B144" s="8" t="inlineStr">
        <is>
          <t>Home</t>
        </is>
      </c>
      <c r="C144" s="8" t="inlineStr">
        <is>
          <t>Home</t>
        </is>
      </c>
      <c r="D144" s="8" t="inlineStr">
        <is>
          <t>Dashboard</t>
        </is>
      </c>
      <c r="E144" s="11" t="inlineStr">
        <is>
          <t>Good</t>
        </is>
      </c>
      <c r="F144" s="8" t="inlineStr">
        <is>
          <t>core</t>
        </is>
      </c>
      <c r="G144" s="8" t="inlineStr">
        <is>
          <t>Must-Have</t>
        </is>
      </c>
      <c r="H144" s="8" t="inlineStr">
        <is>
          <t>department</t>
        </is>
      </c>
      <c r="I144" s="8" t="inlineStr">
        <is>
          <t>hod.home.dashboard</t>
        </is>
      </c>
      <c r="J144" s="8" t="inlineStr">
        <is>
          <t>web/src/features/hod/HodDashboard.tsx</t>
        </is>
      </c>
      <c r="K144" s="8" t="inlineStr">
        <is>
          <t>web/src/features/bento/HodDepartment.tsx</t>
        </is>
      </c>
      <c r="L144" s="8" t="n">
        <v>4</v>
      </c>
      <c r="M144" s="8" t="inlineStr">
        <is>
          <t>/metrics
/metrics/{}
/portal/preferences/display
/teaching/hod-dashboard</t>
        </is>
      </c>
      <c r="N144" s="8" t="inlineStr">
        <is>
          <t>worker/src/routes/admin/metrics.ts
worker/src/routes/portal/life.ts
worker/src/routes/teaching/dashboards.ts</t>
        </is>
      </c>
      <c r="O144" s="8" t="n">
        <v>63</v>
      </c>
      <c r="P144" s="8" t="inlineStr">
        <is>
          <t>academic_years
announcement_acks
announcements
applications
class_subjects
classes
club_events
departments
designations
discipline_records
… +53 more</t>
        </is>
      </c>
      <c r="Q144" s="8" t="inlineStr">
        <is>
          <t>edge.test.ts</t>
        </is>
      </c>
      <c r="R144" s="8" t="inlineStr"/>
      <c r="S144" s="8" t="inlineStr">
        <is>
          <t>Your department before nine o'clock: who is out and how many of their periods nobody is covering, what is waiting on your decision, and which of your registers have not been taken.</t>
        </is>
      </c>
    </row>
    <row r="145">
      <c r="A145" s="8" t="inlineStr">
        <is>
          <t>HOD / Department Head</t>
        </is>
      </c>
      <c r="B145" s="8" t="inlineStr">
        <is>
          <t>Timetable</t>
        </is>
      </c>
      <c r="C145" s="8" t="inlineStr">
        <is>
          <t>Timetable</t>
        </is>
      </c>
      <c r="D145" s="8" t="inlineStr">
        <is>
          <t>Class timetable</t>
        </is>
      </c>
      <c r="E145" s="10" t="inlineStr">
        <is>
          <t>Check</t>
        </is>
      </c>
      <c r="F145" s="8" t="inlineStr">
        <is>
          <t>core</t>
        </is>
      </c>
      <c r="G145" s="8" t="inlineStr">
        <is>
          <t>Must-Have</t>
        </is>
      </c>
      <c r="H145" s="8" t="inlineStr">
        <is>
          <t>department</t>
        </is>
      </c>
      <c r="I145" s="8" t="inlineStr">
        <is>
          <t>hod.timetable.class_timetable</t>
        </is>
      </c>
      <c r="J145" s="8" t="inlineStr">
        <is>
          <t>web/src/features/academics/MasterTimetable.tsx</t>
        </is>
      </c>
      <c r="K145" s="8" t="inlineStr"/>
      <c r="L145" s="8" t="n">
        <v>31</v>
      </c>
      <c r="M145" s="8" t="inlineStr">
        <is>
          <t>/academics/sections
/ai/import/analyze
/ai/import/commit
/ai/import/preview
/ai/import/propose
/ai/warnings
/ai/warnings/digest
/ai/warnings/dismiss-all
… +23 more</t>
        </is>
      </c>
      <c r="N145" s="8" t="inlineStr">
        <is>
          <t>worker/src/routes/academics.ts
worker/src/routes/ai/import.ts
worker/src/routes/ai/warnings.ts
worker/src/routes/daily.ts
worker/src/routes/scheduling/master.ts
worker/src/routes/scheduling/optimizer.ts
… +3 more</t>
        </is>
      </c>
      <c r="O145" s="8" t="n">
        <v>86</v>
      </c>
      <c r="P145" s="8" t="inlineStr">
        <is>
          <t>absence_followup_section_done
academic_years
activities
ai_warning_dismissals
ai_warnings
applications
attendance_corrections
bell_schedules
biometric_devices
biometric_punches
… +76 more</t>
        </is>
      </c>
      <c r="Q145" s="8" t="inlineStr">
        <is>
          <t>ai.test.ts
ai_warnings_import.test.ts
lms_modules.test.ts
lms_nesting.test.ts
lms_progression.test.ts
lms_videos.test.ts
… +3 more</t>
        </is>
      </c>
      <c r="R145" s="8" t="inlineStr">
        <is>
          <t>1 step(s) in its backend files answer "not ported" (see Not ported tab).</t>
        </is>
      </c>
      <c r="S145" s="8" t="inlineStr">
        <is>
          <t>Build and change the timetable for any class or section in the department: pick the class, drop a subject and a teacher into a period, and publish. This is the head of department's own copy of the whole-school grid, narrowed to the classes they are responsible for.</t>
        </is>
      </c>
    </row>
    <row r="146">
      <c r="A146" s="8" t="inlineStr">
        <is>
          <t>HOD / Department Head</t>
        </is>
      </c>
      <c r="B146" s="8" t="inlineStr">
        <is>
          <t>Timetable</t>
        </is>
      </c>
      <c r="C146" s="8" t="inlineStr">
        <is>
          <t>Timetable</t>
        </is>
      </c>
      <c r="D146" s="8" t="inlineStr">
        <is>
          <t>Staff timetable</t>
        </is>
      </c>
      <c r="E146" s="11" t="inlineStr">
        <is>
          <t>Good</t>
        </is>
      </c>
      <c r="F146" s="8" t="inlineStr">
        <is>
          <t>core</t>
        </is>
      </c>
      <c r="G146" s="8" t="inlineStr">
        <is>
          <t>Must-Have</t>
        </is>
      </c>
      <c r="H146" s="8" t="inlineStr">
        <is>
          <t>department</t>
        </is>
      </c>
      <c r="I146" s="8" t="inlineStr">
        <is>
          <t>hod.timetable.staff_timetable</t>
        </is>
      </c>
      <c r="J146" s="8" t="inlineStr">
        <is>
          <t>web/src/features/hod/DepartmentTimetable.tsx</t>
        </is>
      </c>
      <c r="K146" s="8" t="inlineStr"/>
      <c r="L146" s="8" t="n">
        <v>1</v>
      </c>
      <c r="M146" s="8" t="inlineStr">
        <is>
          <t>/department-timetable/{}</t>
        </is>
      </c>
      <c r="N146" s="8" t="inlineStr">
        <is>
          <t>worker/src/routes/scheduling/optimizer.ts</t>
        </is>
      </c>
      <c r="O146" s="8" t="n">
        <v>19</v>
      </c>
      <c r="P146" s="8" t="inlineStr">
        <is>
          <t>class_subjects
classes
departments
employees
enrollments
guardians
periods
section_subject_teachers
sections
student_guardians
… +9 more</t>
        </is>
      </c>
      <c r="Q146" s="8" t="inlineStr"/>
      <c r="R146" s="8" t="inlineStr"/>
      <c r="S146" s="8" t="inlineStr">
        <is>
          <t>Every teacher in the department, period by period, with their free periods visible. Assign a teacher to a period, move them off one, and see the clash before it is saved rather than after.</t>
        </is>
      </c>
    </row>
    <row r="147">
      <c r="A147" s="8" t="inlineStr">
        <is>
          <t>HOD / Department Head</t>
        </is>
      </c>
      <c r="B147" s="8" t="inlineStr">
        <is>
          <t>Timetable</t>
        </is>
      </c>
      <c r="C147" s="8" t="inlineStr">
        <is>
          <t>Timetable</t>
        </is>
      </c>
      <c r="D147" s="8" t="inlineStr">
        <is>
          <t>Department timetable</t>
        </is>
      </c>
      <c r="E147" s="11" t="inlineStr">
        <is>
          <t>Good</t>
        </is>
      </c>
      <c r="F147" s="8" t="inlineStr">
        <is>
          <t>core</t>
        </is>
      </c>
      <c r="G147" s="8" t="inlineStr">
        <is>
          <t>Must-Have</t>
        </is>
      </c>
      <c r="H147" s="8" t="inlineStr">
        <is>
          <t>department</t>
        </is>
      </c>
      <c r="I147" s="8" t="inlineStr">
        <is>
          <t>hod.timetable.department_timetable</t>
        </is>
      </c>
      <c r="J147" s="8" t="inlineStr">
        <is>
          <t>web/src/features/hod/DepartmentTimetable.tsx</t>
        </is>
      </c>
      <c r="K147" s="8" t="inlineStr"/>
      <c r="L147" s="8" t="n">
        <v>1</v>
      </c>
      <c r="M147" s="8" t="inlineStr">
        <is>
          <t>/department-timetable/{}</t>
        </is>
      </c>
      <c r="N147" s="8" t="inlineStr">
        <is>
          <t>worker/src/routes/scheduling/optimizer.ts</t>
        </is>
      </c>
      <c r="O147" s="8" t="n">
        <v>19</v>
      </c>
      <c r="P147" s="8" t="inlineStr">
        <is>
          <t>class_subjects
classes
departments
employees
enrollments
guardians
periods
section_subject_teachers
sections
student_guardians
… +9 more</t>
        </is>
      </c>
      <c r="Q147" s="8" t="inlineStr"/>
      <c r="R147" s="8" t="inlineStr"/>
      <c r="S147" s="8" t="inlineStr">
        <is>
          <t>The department's grid by class, by faculty and by room, read together so a gap in one is explained by the other two.</t>
        </is>
      </c>
    </row>
    <row r="148">
      <c r="A148" s="8" t="inlineStr">
        <is>
          <t>HOD / Department Head</t>
        </is>
      </c>
      <c r="B148" s="8" t="inlineStr">
        <is>
          <t>Timetable</t>
        </is>
      </c>
      <c r="C148" s="8" t="inlineStr">
        <is>
          <t>Timetable</t>
        </is>
      </c>
      <c r="D148" s="8" t="inlineStr">
        <is>
          <t>Substitution requests</t>
        </is>
      </c>
      <c r="E148" s="10" t="inlineStr">
        <is>
          <t>Check</t>
        </is>
      </c>
      <c r="F148" s="8" t="inlineStr">
        <is>
          <t>core</t>
        </is>
      </c>
      <c r="G148" s="8" t="inlineStr">
        <is>
          <t>Must-Have</t>
        </is>
      </c>
      <c r="H148" s="8" t="inlineStr">
        <is>
          <t>department</t>
        </is>
      </c>
      <c r="I148" s="8" t="inlineStr">
        <is>
          <t>hod.timetable.substitution_requests</t>
        </is>
      </c>
      <c r="J148" s="8" t="inlineStr">
        <is>
          <t>web/src/features/academics/SubstitutionBoard.tsx</t>
        </is>
      </c>
      <c r="K148" s="8" t="inlineStr"/>
      <c r="L148" s="8" t="n">
        <v>3</v>
      </c>
      <c r="M148" s="8" t="inlineStr">
        <is>
          <t>/academics/admin/substitution-board
/timetable-admin/substitutions
/timetable/teachers</t>
        </is>
      </c>
      <c r="N148" s="8" t="inlineStr">
        <is>
          <t>worker/src/routes/academics/admin.ts
worker/src/routes/daily.ts
worker/src/routes/payroll.ts</t>
        </is>
      </c>
      <c r="O148" s="8" t="n">
        <v>87</v>
      </c>
      <c r="P148" s="8" t="inlineStr">
        <is>
          <t>absence_followup_section_done
academic_years
alumni_contributions
alumni_event_rsvps
alumni_events
alumni_profiles
announcement_acks
announcement_sections
announcement_students
announcements
… +77 more</t>
        </is>
      </c>
      <c r="Q148" s="8" t="inlineStr"/>
      <c r="R148" s="8" t="inlineStr">
        <is>
          <t>1 step(s) in its backend files answer "not ported" (see Not ported tab).</t>
        </is>
      </c>
      <c r="S148" s="8" t="inlineStr">
        <is>
          <t>Cover requests from the department's teachers: who is away, which period, which class, and why. Assign it to a teacher who is free at that hour and they are told immediately.</t>
        </is>
      </c>
    </row>
    <row r="149">
      <c r="A149" s="8" t="inlineStr">
        <is>
          <t>HOD / Department Head</t>
        </is>
      </c>
      <c r="B149" s="8" t="inlineStr">
        <is>
          <t>Timetable</t>
        </is>
      </c>
      <c r="C149" s="8" t="inlineStr">
        <is>
          <t>Timetable</t>
        </is>
      </c>
      <c r="D149" s="8" t="inlineStr">
        <is>
          <t>My timetable</t>
        </is>
      </c>
      <c r="E149" s="10" t="inlineStr">
        <is>
          <t>Check</t>
        </is>
      </c>
      <c r="F149" s="8" t="inlineStr">
        <is>
          <t>core</t>
        </is>
      </c>
      <c r="G149" s="8" t="inlineStr">
        <is>
          <t>Must-Have</t>
        </is>
      </c>
      <c r="H149" s="8" t="inlineStr">
        <is>
          <t>assigned_classes</t>
        </is>
      </c>
      <c r="I149" s="8" t="inlineStr">
        <is>
          <t>hod.timetable.my_timetable</t>
        </is>
      </c>
      <c r="J149" s="8" t="inlineStr">
        <is>
          <t>web/src/features/shared/Timetable.tsx</t>
        </is>
      </c>
      <c r="K149" s="8" t="inlineStr"/>
      <c r="L149" s="8" t="n">
        <v>5</v>
      </c>
      <c r="M149" s="8" t="inlineStr">
        <is>
          <t>/academics/sections
/session
/timetable/entries
/timetable/periods
/timetable/teachers</t>
        </is>
      </c>
      <c r="N149" s="8" t="inlineStr">
        <is>
          <t>worker/src/routes/academics.ts
worker/src/routes/daily.ts
worker/src/routes/misc/profile.ts</t>
        </is>
      </c>
      <c r="O149" s="8" t="n">
        <v>65</v>
      </c>
      <c r="P149" s="8" t="inlineStr">
        <is>
          <t>absence_followup_section_done
academic_years
activities
applications
attendance_corrections
bell_schedules
board_memberships
campuses
class_subjects
classes
… +55 more</t>
        </is>
      </c>
      <c r="Q149" s="8" t="inlineStr">
        <is>
          <t>access.test.ts
admissions_rte.test.ts
auth.test.ts
edge.test.ts
session_activity.test.ts</t>
        </is>
      </c>
      <c r="R149" s="8" t="inlineStr">
        <is>
          <t>1 step(s) in its backend files answer "not ported" (see Not ported tab).</t>
        </is>
      </c>
      <c r="S149" s="8" t="inlineStr">
        <is>
          <t>Their own teaching week: the periods they stand in front of a class for, apart from the master timetable they build for everybody else.</t>
        </is>
      </c>
    </row>
    <row r="150">
      <c r="A150" s="8" t="inlineStr">
        <is>
          <t>HOD / Department Head</t>
        </is>
      </c>
      <c r="B150" s="8" t="inlineStr">
        <is>
          <t>Academics</t>
        </is>
      </c>
      <c r="C150" s="8" t="inlineStr">
        <is>
          <t>Academics</t>
        </is>
      </c>
      <c r="D150" s="8" t="inlineStr">
        <is>
          <t>Language subject allocation</t>
        </is>
      </c>
      <c r="E150" s="11" t="inlineStr">
        <is>
          <t>Good</t>
        </is>
      </c>
      <c r="F150" s="8" t="inlineStr">
        <is>
          <t>core</t>
        </is>
      </c>
      <c r="G150" s="8" t="inlineStr">
        <is>
          <t>Must-Have</t>
        </is>
      </c>
      <c r="H150" s="8" t="inlineStr">
        <is>
          <t>department</t>
        </is>
      </c>
      <c r="I150" s="8" t="inlineStr">
        <is>
          <t>hod.academics.language_subject_allocation</t>
        </is>
      </c>
      <c r="J150" s="8" t="inlineStr">
        <is>
          <t>web/src/features/faculty/LanguageAllocation.tsx</t>
        </is>
      </c>
      <c r="K150" s="8" t="inlineStr"/>
      <c r="L150" s="8" t="n">
        <v>6</v>
      </c>
      <c r="M150" s="8" t="inlineStr">
        <is>
          <t>/classroom/languages/allocation
/classroom/languages/elections
/classroom/languages/options
/classroom/languages/options/{}
/teaching/classes
/teaching/subjects</t>
        </is>
      </c>
      <c r="N150" s="8" t="inlineStr">
        <is>
          <t>worker/src/routes/comms/classroom.ts
worker/src/routes/teaching/classwork.ts
worker/src/routes/teaching/dashboards.ts</t>
        </is>
      </c>
      <c r="O150" s="8" t="n">
        <v>53</v>
      </c>
      <c r="P150" s="8" t="inlineStr">
        <is>
          <t>academic_years
announcement_acks
announcements
applications
class_language_options
class_subjects
classes
departments
designations
discipline_records
… +43 more</t>
        </is>
      </c>
      <c r="Q150" s="8" t="inlineStr"/>
      <c r="R150" s="8" t="inlineStr"/>
      <c r="S150" s="8" t="inlineStr">
        <is>
          <t>Which language each student takes as L1 and as L2, set for one student or for a whole list at once. Sits here and with the principal because it decides section grouping, not lesson content.</t>
        </is>
      </c>
    </row>
    <row r="151">
      <c r="A151" s="8" t="inlineStr">
        <is>
          <t>HOD / Department Head</t>
        </is>
      </c>
      <c r="B151" s="8" t="inlineStr">
        <is>
          <t>Academics</t>
        </is>
      </c>
      <c r="C151" s="8" t="inlineStr">
        <is>
          <t>Academics</t>
        </is>
      </c>
      <c r="D151" s="8" t="inlineStr">
        <is>
          <t>Faculty allocation</t>
        </is>
      </c>
      <c r="E151" s="10" t="inlineStr">
        <is>
          <t>Check</t>
        </is>
      </c>
      <c r="F151" s="8" t="inlineStr">
        <is>
          <t>core</t>
        </is>
      </c>
      <c r="G151" s="8" t="inlineStr">
        <is>
          <t>Must-Have</t>
        </is>
      </c>
      <c r="H151" s="8" t="inlineStr">
        <is>
          <t>department</t>
        </is>
      </c>
      <c r="I151" s="8" t="inlineStr">
        <is>
          <t>hod.academics.faculty_allocation</t>
        </is>
      </c>
      <c r="J151" s="8" t="inlineStr">
        <is>
          <t>web/src/features/academics/FacultyAllocation.tsx</t>
        </is>
      </c>
      <c r="K151" s="8" t="inlineStr"/>
      <c r="L151" s="8" t="n">
        <v>6</v>
      </c>
      <c r="M151" s="8" t="inlineStr">
        <is>
          <t>/academics/admin/faculty-allocation
/academics/admin/faculty-allocation/apply
/academics/classes
/academics/sections
/setup/class-teacher
/timetable/teachers</t>
        </is>
      </c>
      <c r="N151" s="8" t="inlineStr">
        <is>
          <t>worker/src/routes/academics.ts
worker/src/routes/academics/admin.ts
worker/src/routes/daily.ts
worker/src/routes/setup/academics.ts</t>
        </is>
      </c>
      <c r="O151" s="8" t="n">
        <v>84</v>
      </c>
      <c r="P151" s="8" t="inlineStr">
        <is>
          <t>absence_followup_section_done
academic_years
activities
alumni_contributions
alumni_event_rsvps
alumni_events
alumni_profiles
applications
attendance_corrections
bell_schedules
… +74 more</t>
        </is>
      </c>
      <c r="Q151" s="8" t="inlineStr"/>
      <c r="R151" s="8" t="inlineStr">
        <is>
          <t>1 step(s) in its backend files answer "not ported" (see Not ported tab).</t>
        </is>
      </c>
      <c r="S151" s="8" t="inlineStr">
        <is>
          <t>Which teacher teaches which subject to which section, across the department, with each teacher's total periods shown so the load can be seen while it is being set.</t>
        </is>
      </c>
    </row>
    <row r="152">
      <c r="A152" s="8" t="inlineStr">
        <is>
          <t>HOD / Department Head</t>
        </is>
      </c>
      <c r="B152" s="8" t="inlineStr">
        <is>
          <t>Staff</t>
        </is>
      </c>
      <c r="C152" s="8" t="inlineStr">
        <is>
          <t>Staff</t>
        </is>
      </c>
      <c r="D152" s="8" t="inlineStr">
        <is>
          <t>Teacher remarks</t>
        </is>
      </c>
      <c r="E152" s="11" t="inlineStr">
        <is>
          <t>Good</t>
        </is>
      </c>
      <c r="F152" s="8" t="inlineStr">
        <is>
          <t>core</t>
        </is>
      </c>
      <c r="G152" s="8" t="inlineStr">
        <is>
          <t>Should-Have</t>
        </is>
      </c>
      <c r="H152" s="8" t="inlineStr">
        <is>
          <t>department</t>
        </is>
      </c>
      <c r="I152" s="8" t="inlineStr">
        <is>
          <t>hod.staff.teacher_remarks</t>
        </is>
      </c>
      <c r="J152" s="8" t="inlineStr">
        <is>
          <t>web/src/features/shared/StaffRemarks.tsx</t>
        </is>
      </c>
      <c r="K152" s="8" t="inlineStr"/>
      <c r="L152" s="8" t="n">
        <v>2</v>
      </c>
      <c r="M152" s="8" t="inlineStr">
        <is>
          <t>/staff-remarks
/staff-remarks/teachers</t>
        </is>
      </c>
      <c r="N152" s="8" t="inlineStr">
        <is>
          <t>worker/src/routes/misc/chat.ts</t>
        </is>
      </c>
      <c r="O152" s="8" t="n">
        <v>17</v>
      </c>
      <c r="P152" s="8" t="inlineStr">
        <is>
          <t>class_subjects
designations
employees
enrollments
files
notifications
parent_teacher_messages
roles
section_subject_teachers
sections
… +7 more</t>
        </is>
      </c>
      <c r="Q152" s="8" t="inlineStr"/>
      <c r="R152" s="8" t="inlineStr"/>
      <c r="S152" s="8" t="inlineStr">
        <is>
          <t>Write a remark about a teacher in the department, and read the remarks others have written about them. The teacher sees it on their own screen.</t>
        </is>
      </c>
    </row>
    <row r="153">
      <c r="A153" s="8" t="inlineStr">
        <is>
          <t>HOD / Department Head</t>
        </is>
      </c>
      <c r="B153" s="8" t="inlineStr">
        <is>
          <t>Staff</t>
        </is>
      </c>
      <c r="C153" s="8" t="inlineStr">
        <is>
          <t>Staff</t>
        </is>
      </c>
      <c r="D153" s="8" t="inlineStr">
        <is>
          <t>Leaves &amp; Subs</t>
        </is>
      </c>
      <c r="E153" s="10" t="inlineStr">
        <is>
          <t>Check</t>
        </is>
      </c>
      <c r="F153" s="8" t="inlineStr">
        <is>
          <t>core</t>
        </is>
      </c>
      <c r="G153" s="8" t="inlineStr">
        <is>
          <t>Must-Have</t>
        </is>
      </c>
      <c r="H153" s="8" t="inlineStr">
        <is>
          <t>department</t>
        </is>
      </c>
      <c r="I153" s="8" t="inlineStr">
        <is>
          <t>hod.staff.leaves_subs</t>
        </is>
      </c>
      <c r="J153" s="8" t="inlineStr">
        <is>
          <t>web/src/features/hr/Leave.tsx</t>
        </is>
      </c>
      <c r="K153" s="8" t="inlineStr"/>
      <c r="L153" s="8" t="n">
        <v>13</v>
      </c>
      <c r="M153" s="8" t="inlineStr">
        <is>
          <t>/ai/briefs/principal
/ai/briefs/student/{}
/ai/draft
/ai/status
/ai/translate
/attendance/nudge
/attention
/hr/leave
… +5 more</t>
        </is>
      </c>
      <c r="N153" s="8" t="inlineStr">
        <is>
          <t>worker/src/routes/admin/loose.ts
worker/src/routes/ai/briefs.ts
worker/src/routes/ai/drafting.ts
worker/src/routes/daily.ts
worker/src/routes/hr/staff.ts
worker/src/routes/setup/staff.ts</t>
        </is>
      </c>
      <c r="O153" s="8" t="n">
        <v>76</v>
      </c>
      <c r="P153" s="8" t="inlineStr">
        <is>
          <t>absence_followup_section_done
academic_years
api_keys
applications
attendance_corrections
audit_log
bell_schedules
biometric_devices
biometric_punches
board_memberships
… +66 more</t>
        </is>
      </c>
      <c r="Q153" s="8" t="inlineStr">
        <is>
          <t>admissions_crm.test.ts
ai_briefs.test.ts
edge.test.ts</t>
        </is>
      </c>
      <c r="R153" s="8" t="inlineStr">
        <is>
          <t>2 step(s) in its backend files answer "not ported" (see Not ported tab).</t>
        </is>
      </c>
      <c r="S153" s="8" t="inlineStr">
        <is>
          <t>Leave requested by your own department's staff, with the periods it would leave uncovered shown beside it. Either you or the principal may approve; whoever gets there first decides it.</t>
        </is>
      </c>
    </row>
    <row r="154">
      <c r="A154" s="8" t="inlineStr">
        <is>
          <t>HOD / Department Head</t>
        </is>
      </c>
      <c r="B154" s="8" t="inlineStr">
        <is>
          <t>My Work</t>
        </is>
      </c>
      <c r="C154" s="8" t="inlineStr">
        <is>
          <t>My Profile</t>
        </is>
      </c>
      <c r="D154" s="8" t="inlineStr">
        <is>
          <t>Profile</t>
        </is>
      </c>
      <c r="E154" s="10" t="inlineStr">
        <is>
          <t>Check</t>
        </is>
      </c>
      <c r="F154" s="8" t="inlineStr">
        <is>
          <t>core</t>
        </is>
      </c>
      <c r="G154" s="8" t="inlineStr">
        <is>
          <t>Must-Have</t>
        </is>
      </c>
      <c r="H154" s="8" t="inlineStr">
        <is>
          <t>self</t>
        </is>
      </c>
      <c r="I154" s="8" t="inlineStr">
        <is>
          <t>hod.my_profile.profile</t>
        </is>
      </c>
      <c r="J154" s="8" t="inlineStr">
        <is>
          <t>web/src/features/shared/Profile.tsx</t>
        </is>
      </c>
      <c r="K154" s="8" t="inlineStr"/>
      <c r="L154" s="8" t="n">
        <v>19</v>
      </c>
      <c r="M154" s="8" t="inlineStr">
        <is>
          <t>/files
/files/{}
/hr-growth/me/appraisals
/hr-growth/me/appraisals/{}
/hr-growth/me/appraisals/{}/acknowledge
/hr-growth/me/appraisals/{}/self-assessment
/hr-growth/me/duties
/hr-growth/me/training
… +11 more</t>
        </is>
      </c>
      <c r="N154" s="8" t="inlineStr">
        <is>
          <t>worker/src/routes/daily.ts
worker/src/routes/growth/hr_appraisal.ts
worker/src/routes/growth/hr_training.ts
worker/src/routes/hr/concerns.ts
worker/src/routes/misc/files.ts
worker/src/routes/misc/profile.ts</t>
        </is>
      </c>
      <c r="O154" s="8" t="n">
        <v>75</v>
      </c>
      <c r="P154" s="8" t="inlineStr">
        <is>
          <t>absence_followup_section_done
academic_years
application_documents
applications
appraisal_cycles
appraisal_kpis
appraisal_ratings
appraisals
attendance_corrections
bell_schedules
… +65 more</t>
        </is>
      </c>
      <c r="Q154" s="8" t="inlineStr">
        <is>
          <t>access.test.ts
concerns.test.ts
lms_modules.test.ts
lms_nesting.test.ts
lms_progression.test.ts
lms_videos.test.ts
… +4 more</t>
        </is>
      </c>
      <c r="R154" s="8" t="inlineStr">
        <is>
          <t>1 step(s) in its backend files answer "not ported" (see Not ported tab).</t>
        </is>
      </c>
      <c r="S154" s="8" t="inlineStr">
        <is>
          <t>Own details and password.</t>
        </is>
      </c>
    </row>
    <row r="155">
      <c r="A155" s="8" t="inlineStr">
        <is>
          <t>HOD / Department Head</t>
        </is>
      </c>
      <c r="B155" s="8" t="inlineStr">
        <is>
          <t>My Work</t>
        </is>
      </c>
      <c r="C155" s="8" t="inlineStr">
        <is>
          <t>My Profile</t>
        </is>
      </c>
      <c r="D155" s="8" t="inlineStr">
        <is>
          <t>Leave &amp; self service</t>
        </is>
      </c>
      <c r="E155" s="10" t="inlineStr">
        <is>
          <t>Check</t>
        </is>
      </c>
      <c r="F155" s="8" t="inlineStr">
        <is>
          <t>core</t>
        </is>
      </c>
      <c r="G155" s="8" t="inlineStr">
        <is>
          <t>Must-Have</t>
        </is>
      </c>
      <c r="H155" s="8" t="inlineStr">
        <is>
          <t>self</t>
        </is>
      </c>
      <c r="I155" s="8" t="inlineStr">
        <is>
          <t>hod.my_profile.leave_self_service</t>
        </is>
      </c>
      <c r="J155" s="8" t="inlineStr">
        <is>
          <t>web/src/features/hr/Leave.tsx</t>
        </is>
      </c>
      <c r="K155" s="8" t="inlineStr"/>
      <c r="L155" s="8" t="n">
        <v>13</v>
      </c>
      <c r="M155" s="8" t="inlineStr">
        <is>
          <t>/ai/briefs/principal
/ai/briefs/student/{}
/ai/draft
/ai/status
/ai/translate
/attendance/nudge
/attention
/hr/leave
… +5 more</t>
        </is>
      </c>
      <c r="N155" s="8" t="inlineStr">
        <is>
          <t>worker/src/routes/admin/loose.ts
worker/src/routes/ai/briefs.ts
worker/src/routes/ai/drafting.ts
worker/src/routes/daily.ts
worker/src/routes/hr/staff.ts
worker/src/routes/setup/staff.ts</t>
        </is>
      </c>
      <c r="O155" s="8" t="n">
        <v>76</v>
      </c>
      <c r="P155" s="8" t="inlineStr">
        <is>
          <t>absence_followup_section_done
academic_years
api_keys
applications
attendance_corrections
audit_log
bell_schedules
biometric_devices
biometric_punches
board_memberships
… +66 more</t>
        </is>
      </c>
      <c r="Q155" s="8" t="inlineStr">
        <is>
          <t>admissions_crm.test.ts
ai_briefs.test.ts
edge.test.ts</t>
        </is>
      </c>
      <c r="R155" s="8" t="inlineStr">
        <is>
          <t>2 step(s) in its backend files answer "not ported" (see Not ported tab).</t>
        </is>
      </c>
      <c r="S155" s="8" t="inlineStr">
        <is>
          <t>Apply for your own leave, and see where it has got to. Approving the department's leave is a different screen.</t>
        </is>
      </c>
    </row>
    <row r="156">
      <c r="A156" s="8" t="inlineStr">
        <is>
          <t>HOD / Department Head</t>
        </is>
      </c>
      <c r="B156" s="8" t="inlineStr">
        <is>
          <t>My Work</t>
        </is>
      </c>
      <c r="C156" s="8" t="inlineStr">
        <is>
          <t>My Profile</t>
        </is>
      </c>
      <c r="D156" s="8" t="inlineStr">
        <is>
          <t>My pay</t>
        </is>
      </c>
      <c r="E156" s="10" t="inlineStr">
        <is>
          <t>Check</t>
        </is>
      </c>
      <c r="F156" s="8" t="inlineStr">
        <is>
          <t>core</t>
        </is>
      </c>
      <c r="G156" s="8" t="inlineStr">
        <is>
          <t>Must-Have</t>
        </is>
      </c>
      <c r="H156" s="8" t="inlineStr">
        <is>
          <t>self</t>
        </is>
      </c>
      <c r="I156" s="8" t="inlineStr">
        <is>
          <t>hod.my_profile.my_pay</t>
        </is>
      </c>
      <c r="J156" s="8" t="inlineStr">
        <is>
          <t>web/src/features/me/MyPay.tsx</t>
        </is>
      </c>
      <c r="K156" s="8" t="inlineStr"/>
      <c r="L156" s="8" t="n">
        <v>1</v>
      </c>
      <c r="M156" s="8" t="inlineStr">
        <is>
          <t>/me/pay</t>
        </is>
      </c>
      <c r="N156" s="8" t="inlineStr">
        <is>
          <t>worker/src/routes/daily.ts</t>
        </is>
      </c>
      <c r="O156" s="8" t="n">
        <v>51</v>
      </c>
      <c r="P156" s="8" t="inlineStr">
        <is>
          <t>absence_followup_section_done
academic_years
applications
attendance_corrections
bell_schedules
board_memberships
campuses
class_subjects
classes
departments
… +41 more</t>
        </is>
      </c>
      <c r="Q156" s="8" t="inlineStr"/>
      <c r="R156" s="8" t="inlineStr">
        <is>
          <t>1 step(s) in its backend files answer "not ported" (see Not ported tab).</t>
        </is>
      </c>
      <c r="S156" s="8" t="inlineStr">
        <is>
          <t>Your own payslips month by month, what was taken off and how much of it was tax, the days you were marked present, and the leave you have left. Only ever your own.</t>
        </is>
      </c>
    </row>
    <row r="157">
      <c r="A157" s="8" t="inlineStr">
        <is>
          <t>HOD / Department Head</t>
        </is>
      </c>
      <c r="B157" s="8" t="inlineStr">
        <is>
          <t>Department Workspace</t>
        </is>
      </c>
      <c r="C157" s="8" t="inlineStr">
        <is>
          <t>Attendance</t>
        </is>
      </c>
      <c r="D157" s="8" t="inlineStr">
        <is>
          <t>Take attendance</t>
        </is>
      </c>
      <c r="E157" s="10" t="inlineStr">
        <is>
          <t>Check</t>
        </is>
      </c>
      <c r="F157" s="8" t="inlineStr">
        <is>
          <t>core</t>
        </is>
      </c>
      <c r="G157" s="8" t="inlineStr">
        <is>
          <t>Must-Have</t>
        </is>
      </c>
      <c r="H157" s="8" t="inlineStr">
        <is>
          <t>assigned_classes</t>
        </is>
      </c>
      <c r="I157" s="8" t="inlineStr">
        <is>
          <t>hod.attendance.take_attendance</t>
        </is>
      </c>
      <c r="J157" s="8" t="inlineStr">
        <is>
          <t>web/src/features/shared/Attendance.tsx</t>
        </is>
      </c>
      <c r="K157" s="8" t="inlineStr"/>
      <c r="L157" s="8" t="n">
        <v>12</v>
      </c>
      <c r="M157" s="8" t="inlineStr">
        <is>
          <t>/academics/sections
/attendance
/attendance/day.csv
/attendance/informed
/setup/import/history
/setup/import/history/{}/content
/setup/import/history/{}/undo
/setup/import/{}
… +4 more</t>
        </is>
      </c>
      <c r="N157" s="8" t="inlineStr">
        <is>
          <t>worker/src/router.ts
worker/src/routes/academics.ts
worker/src/routes/daily.ts
worker/src/routes/setup/imports.ts
worker/src/routes/setup/staff.ts
worker/src/routes/students.ts</t>
        </is>
      </c>
      <c r="O157" s="8" t="n">
        <v>87</v>
      </c>
      <c r="P157" s="8" t="inlineStr">
        <is>
          <t>absence_followup_section_done
academic_years
activities
applications
attendance_corrections
audit_log
bell_schedules
biometric_devices
biometric_punches
board_memberships
… +77 more</t>
        </is>
      </c>
      <c r="Q157" s="8" t="inlineStr">
        <is>
          <t>access.test.ts
attendance.test.ts
auth.test.ts
fees.test.ts
lms_modules.test.ts
lms_nesting.test.ts
… +8 more</t>
        </is>
      </c>
      <c r="R157" s="8" t="inlineStr">
        <is>
          <t>1 step(s) in its backend files answer "not ported" (see Not ported tab).</t>
        </is>
      </c>
      <c r="S157" s="8" t="inlineStr">
        <is>
          <t>Mark the register for the classes they teach.</t>
        </is>
      </c>
    </row>
    <row r="158">
      <c r="A158" s="8" t="inlineStr">
        <is>
          <t>HOD / Department Head</t>
        </is>
      </c>
      <c r="B158" s="8" t="inlineStr">
        <is>
          <t>Department Workspace</t>
        </is>
      </c>
      <c r="C158" s="8" t="inlineStr">
        <is>
          <t>Teaching</t>
        </is>
      </c>
      <c r="D158" s="8" t="inlineStr">
        <is>
          <t>Homework / classwork</t>
        </is>
      </c>
      <c r="E158" s="10" t="inlineStr">
        <is>
          <t>Check</t>
        </is>
      </c>
      <c r="F158" s="8" t="inlineStr">
        <is>
          <t>core</t>
        </is>
      </c>
      <c r="G158" s="8" t="inlineStr">
        <is>
          <t>Must-Have</t>
        </is>
      </c>
      <c r="H158" s="8" t="inlineStr">
        <is>
          <t>assigned_classes</t>
        </is>
      </c>
      <c r="I158" s="8" t="inlineStr">
        <is>
          <t>hod.teaching.homework_classwork</t>
        </is>
      </c>
      <c r="J158" s="8" t="inlineStr">
        <is>
          <t>web/src/features/workflow/Homework.tsx</t>
        </is>
      </c>
      <c r="K158" s="8" t="inlineStr"/>
      <c r="L158" s="8" t="n">
        <v>8</v>
      </c>
      <c r="M158" s="8" t="inlineStr">
        <is>
          <t>/academics/sections
/academics/subjects
/files
/files/{}
/homework
/homework/{}/submissions
/homework/{}/submit
/session</t>
        </is>
      </c>
      <c r="N158" s="8" t="inlineStr">
        <is>
          <t>worker/src/routes/academics.ts
worker/src/routes/daily.ts
worker/src/routes/misc/files.ts
worker/src/routes/misc/profile.ts</t>
        </is>
      </c>
      <c r="O158" s="8" t="n">
        <v>68</v>
      </c>
      <c r="P158" s="8" t="inlineStr">
        <is>
          <t>absence_followup_section_done
academic_years
activities
application_documents
applications
attendance_corrections
bell_schedules
board_memberships
campuses
class_subjects
… +58 more</t>
        </is>
      </c>
      <c r="Q158" s="8" t="inlineStr">
        <is>
          <t>access.test.ts
admissions_rte.test.ts
auth.test.ts
edge.test.ts
session_activity.test.ts
student_lms.test.ts</t>
        </is>
      </c>
      <c r="R158" s="8" t="inlineStr">
        <is>
          <t>1 step(s) in its backend files answer "not ported" (see Not ported tab).</t>
        </is>
      </c>
      <c r="S158" s="8" t="inlineStr">
        <is>
          <t>Set and grade homework for their own classes, and see who has turned it in.</t>
        </is>
      </c>
    </row>
    <row r="159">
      <c r="A159" s="8" t="inlineStr">
        <is>
          <t>HOD / Department Head</t>
        </is>
      </c>
      <c r="B159" s="8" t="inlineStr">
        <is>
          <t>Department Workspace</t>
        </is>
      </c>
      <c r="C159" s="8" t="inlineStr">
        <is>
          <t>Teaching</t>
        </is>
      </c>
      <c r="D159" s="8" t="inlineStr">
        <is>
          <t>Lesson plans / content</t>
        </is>
      </c>
      <c r="E159" s="11" t="inlineStr">
        <is>
          <t>Good</t>
        </is>
      </c>
      <c r="F159" s="8" t="inlineStr">
        <is>
          <t>core</t>
        </is>
      </c>
      <c r="G159" s="8" t="inlineStr">
        <is>
          <t>Must-Have</t>
        </is>
      </c>
      <c r="H159" s="8" t="inlineStr">
        <is>
          <t>assigned_classes</t>
        </is>
      </c>
      <c r="I159" s="8" t="inlineStr">
        <is>
          <t>hod.teaching.lesson_plans_content</t>
        </is>
      </c>
      <c r="J159" s="8" t="inlineStr">
        <is>
          <t>web/src/features/academics/Syllabus.tsx</t>
        </is>
      </c>
      <c r="K159" s="8" t="inlineStr"/>
      <c r="L159" s="8" t="n">
        <v>8</v>
      </c>
      <c r="M159" s="8" t="inlineStr">
        <is>
          <t>/academics/sections
/files
/session
/setup/class-subjects
/syllabus/coverage
/syllabus/lesson-plans
/syllabus/lesson-plans/{}/decide
/syllabus/units</t>
        </is>
      </c>
      <c r="N159" s="8" t="inlineStr">
        <is>
          <t>worker/src/routes/academics.ts
worker/src/routes/misc/files.ts
worker/src/routes/misc/profile.ts
worker/src/routes/setup/academics.ts</t>
        </is>
      </c>
      <c r="O159" s="8" t="n">
        <v>51</v>
      </c>
      <c r="P159" s="8" t="inlineStr">
        <is>
          <t>academic_years
activities
application_documents
bell_schedules
campuses
class_subjects
classes
co_scholastic_areas
employee_documents
employee_year_history
… +41 more</t>
        </is>
      </c>
      <c r="Q159" s="8" t="inlineStr">
        <is>
          <t>access.test.ts
admissions_rte.test.ts
auth.test.ts
edge.test.ts
session_activity.test.ts</t>
        </is>
      </c>
      <c r="R159" s="8" t="inlineStr"/>
      <c r="S159" s="8" t="inlineStr">
        <is>
          <t>Write and submit their own lesson plans. Approving other teachers' plans is a different screen.</t>
        </is>
      </c>
    </row>
    <row r="160">
      <c r="A160" s="8" t="inlineStr">
        <is>
          <t>HOD / Department Head</t>
        </is>
      </c>
      <c r="B160" s="8" t="inlineStr">
        <is>
          <t>Department Workspace</t>
        </is>
      </c>
      <c r="C160" s="8" t="inlineStr">
        <is>
          <t>Marks &amp; Report Cards</t>
        </is>
      </c>
      <c r="D160" s="8" t="inlineStr">
        <is>
          <t>Marks entry</t>
        </is>
      </c>
      <c r="E160" s="11" t="inlineStr">
        <is>
          <t>Good</t>
        </is>
      </c>
      <c r="F160" s="8" t="inlineStr">
        <is>
          <t>core</t>
        </is>
      </c>
      <c r="G160" s="8" t="inlineStr">
        <is>
          <t>Must-Have</t>
        </is>
      </c>
      <c r="H160" s="8" t="inlineStr">
        <is>
          <t>assigned_classes</t>
        </is>
      </c>
      <c r="I160" s="8" t="inlineStr">
        <is>
          <t>hod.marks_report_cards.marks_entry</t>
        </is>
      </c>
      <c r="J160" s="8" t="inlineStr">
        <is>
          <t>web/src/features/exams/Gradebook.tsx</t>
        </is>
      </c>
      <c r="K160" s="8" t="inlineStr"/>
      <c r="L160" s="8" t="n">
        <v>6</v>
      </c>
      <c r="M160" s="8" t="inlineStr">
        <is>
          <t>/academics/sections
/exams/gradebook
/exams/marks
/exams/subjects
/exams/subjects/{}/setup
/setup/grading-scales</t>
        </is>
      </c>
      <c r="N160" s="8" t="inlineStr">
        <is>
          <t>worker/src/routes/academics.ts
worker/src/routes/exams.ts
worker/src/routes/setup/academics.ts</t>
        </is>
      </c>
      <c r="O160" s="8" t="n">
        <v>56</v>
      </c>
      <c r="P160" s="8" t="inlineStr">
        <is>
          <t>academic_years
activities
bell_schedules
branding_profiles
campuses
certificate_types
class_subjects
classes
co_scholastic_areas
employee_year_history
… +46 more</t>
        </is>
      </c>
      <c r="Q160" s="8" t="inlineStr">
        <is>
          <t>exams.test.ts</t>
        </is>
      </c>
      <c r="R160" s="8" t="inlineStr"/>
      <c r="S160" s="8" t="inlineStr">
        <is>
          <t>Enter exam marks for the papers they teach.</t>
        </is>
      </c>
    </row>
    <row r="161">
      <c r="A161" s="8" t="inlineStr">
        <is>
          <t>HOD / Department Head</t>
        </is>
      </c>
      <c r="B161" s="8" t="inlineStr">
        <is>
          <t>Department Workspace</t>
        </is>
      </c>
      <c r="C161" s="8" t="inlineStr">
        <is>
          <t>Marks &amp; Report Cards</t>
        </is>
      </c>
      <c r="D161" s="8" t="inlineStr">
        <is>
          <t>Report cards</t>
        </is>
      </c>
      <c r="E161" s="11" t="inlineStr">
        <is>
          <t>Good</t>
        </is>
      </c>
      <c r="F161" s="8" t="inlineStr">
        <is>
          <t>core</t>
        </is>
      </c>
      <c r="G161" s="8" t="inlineStr">
        <is>
          <t>Must-Have</t>
        </is>
      </c>
      <c r="H161" s="8" t="inlineStr">
        <is>
          <t>assigned_classes</t>
        </is>
      </c>
      <c r="I161" s="8" t="inlineStr">
        <is>
          <t>hod.marks_report_cards.report_cards</t>
        </is>
      </c>
      <c r="J161" s="8" t="inlineStr">
        <is>
          <t>web/src/features/exams/ReportCards.tsx</t>
        </is>
      </c>
      <c r="K161" s="8" t="inlineStr"/>
      <c r="L161" s="8" t="n">
        <v>21</v>
      </c>
      <c r="M161" s="8" t="inlineStr">
        <is>
          <t>/academics/sections
/exams/list
/exams/my-signature
/exams/report-cards
/exams/report-cards/generate
/exams/report-cards/pending
/exams/report-cards/readiness
/exams/report-cards/render
… +13 more</t>
        </is>
      </c>
      <c r="N161" s="8" t="inlineStr">
        <is>
          <t>worker/src/router.ts
worker/src/routes/academics.ts
worker/src/routes/exams.ts
worker/src/routes/misc/files.ts
worker/src/routes/setup/imports.ts
worker/src/routes/setup/staff.ts
… +1 more</t>
        </is>
      </c>
      <c r="O161" s="8" t="n">
        <v>88</v>
      </c>
      <c r="P161" s="8" t="inlineStr">
        <is>
          <t>academic_years
activities
application_documents
audit_log
bell_schedules
biometric_devices
biometric_punches
branding_profiles
campuses
certificate_types
… +78 more</t>
        </is>
      </c>
      <c r="Q161" s="8" t="inlineStr">
        <is>
          <t>access.test.ts
auth.test.ts
exams.test.ts
fees.test.ts
lms_modules.test.ts
lms_nesting.test.ts
… +7 more</t>
        </is>
      </c>
      <c r="R161" s="8" t="inlineStr"/>
      <c r="S161" s="8" t="inlineStr">
        <is>
          <t>Generate and publish report cards for a section they are class teacher of.</t>
        </is>
      </c>
    </row>
    <row r="162">
      <c r="A162" s="8" t="inlineStr">
        <is>
          <t>HOD / Department Head</t>
        </is>
      </c>
      <c r="B162" s="8" t="inlineStr">
        <is>
          <t>Department Workspace</t>
        </is>
      </c>
      <c r="C162" s="8" t="inlineStr">
        <is>
          <t>Communication</t>
        </is>
      </c>
      <c r="D162" s="8" t="inlineStr">
        <is>
          <t>Communication</t>
        </is>
      </c>
      <c r="E162" s="11" t="inlineStr">
        <is>
          <t>Good</t>
        </is>
      </c>
      <c r="F162" s="8" t="inlineStr">
        <is>
          <t>core</t>
        </is>
      </c>
      <c r="G162" s="8" t="inlineStr">
        <is>
          <t>Must-Have</t>
        </is>
      </c>
      <c r="H162" s="8" t="inlineStr">
        <is>
          <t>assigned_classes</t>
        </is>
      </c>
      <c r="I162" s="8" t="inlineStr">
        <is>
          <t>hod.communication.communication</t>
        </is>
      </c>
      <c r="J162" s="8" t="inlineStr">
        <is>
          <t>web/src/features/faculty/Communication.tsx</t>
        </is>
      </c>
      <c r="K162" s="8" t="inlineStr"/>
      <c r="L162" s="8" t="n">
        <v>6</v>
      </c>
      <c r="M162" s="8" t="inlineStr">
        <is>
          <t>/students
/teaching/classes
/teaching/communication
/teaching/ptm-notes
/teaching/remarks
/teaching/terms</t>
        </is>
      </c>
      <c r="N162" s="8" t="inlineStr">
        <is>
          <t>worker/src/router.ts
worker/src/routes/students.ts
worker/src/routes/teaching/comms.ts
worker/src/routes/teaching/dashboards.ts</t>
        </is>
      </c>
      <c r="O162" s="8" t="n">
        <v>71</v>
      </c>
      <c r="P162" s="8" t="inlineStr">
        <is>
          <t>academic_years
activities
announcement_acks
announcement_sections
announcement_students
announcements
applications
audit_log
certificate_types
class_subjects
… +61 more</t>
        </is>
      </c>
      <c r="Q162" s="8" t="inlineStr">
        <is>
          <t>access.test.ts
auth.test.ts
fees.test.ts
perf.test.ts
student_lms.test.ts
student_login_default.test.ts
… +1 more</t>
        </is>
      </c>
      <c r="R162" s="8" t="inlineStr"/>
      <c r="S162" s="8" t="inlineStr">
        <is>
          <t>Notices home to the classes they teach, and the thread with a parent about one child.</t>
        </is>
      </c>
    </row>
    <row r="163">
      <c r="A163" s="8" t="inlineStr">
        <is>
          <t>HOD / Department Head</t>
        </is>
      </c>
      <c r="B163" s="8" t="inlineStr">
        <is>
          <t>Department Workspace</t>
        </is>
      </c>
      <c r="C163" s="8" t="inlineStr">
        <is>
          <t>Communication</t>
        </is>
      </c>
      <c r="D163" s="8" t="inlineStr">
        <is>
          <t>Messages</t>
        </is>
      </c>
      <c r="E163" s="11" t="inlineStr">
        <is>
          <t>Good</t>
        </is>
      </c>
      <c r="F163" s="8" t="inlineStr">
        <is>
          <t>core</t>
        </is>
      </c>
      <c r="G163" s="8" t="inlineStr">
        <is>
          <t>Must-Have</t>
        </is>
      </c>
      <c r="H163" s="8" t="inlineStr">
        <is>
          <t>assigned_classes</t>
        </is>
      </c>
      <c r="I163" s="8" t="inlineStr">
        <is>
          <t>hod.communication.messages</t>
        </is>
      </c>
      <c r="J163" s="8" t="inlineStr">
        <is>
          <t>web/src/features/comms/StaffMessages.tsx</t>
        </is>
      </c>
      <c r="K163" s="8" t="inlineStr"/>
      <c r="L163" s="8" t="n">
        <v>12</v>
      </c>
      <c r="M163" s="8" t="inlineStr">
        <is>
          <t>/chat/messages/{}
/chat/parent-thread/read
/chat/staff-thread/read
/files
/files/{}
/portal/messages
/staff-messages
/staff-messages/threads
… +4 more</t>
        </is>
      </c>
      <c r="N163" s="8" t="inlineStr">
        <is>
          <t>worker/src/routes/misc/chat.ts
worker/src/routes/misc/files.ts
worker/src/routes/portal/requests.ts
worker/src/routes/teaching/dashboards.ts</t>
        </is>
      </c>
      <c r="O163" s="8" t="n">
        <v>60</v>
      </c>
      <c r="P163" s="8" t="inlineStr">
        <is>
          <t>academic_years
announcement_acks
announcements
application_documents
applications
certificate_types
class_subjects
classes
departments
designations
… +50 more</t>
        </is>
      </c>
      <c r="Q163" s="8" t="inlineStr">
        <is>
          <t>live.test.ts</t>
        </is>
      </c>
      <c r="R163" s="8" t="inlineStr"/>
      <c r="S163" s="8" t="inlineStr">
        <is>
          <t>One colleague at a time. The staff address book and the thread with each of them.</t>
        </is>
      </c>
    </row>
    <row r="164">
      <c r="A164" s="8" t="inlineStr">
        <is>
          <t>HOD / Department Head</t>
        </is>
      </c>
      <c r="B164" s="8" t="inlineStr">
        <is>
          <t>Department Workspace</t>
        </is>
      </c>
      <c r="C164" s="8" t="inlineStr">
        <is>
          <t>Exams</t>
        </is>
      </c>
      <c r="D164" s="8" t="inlineStr">
        <is>
          <t>Question paper approval</t>
        </is>
      </c>
      <c r="E164" s="11" t="inlineStr">
        <is>
          <t>Good</t>
        </is>
      </c>
      <c r="F164" s="8" t="inlineStr">
        <is>
          <t>core</t>
        </is>
      </c>
      <c r="G164" s="8" t="inlineStr">
        <is>
          <t>Must-Have</t>
        </is>
      </c>
      <c r="H164" s="8" t="inlineStr">
        <is>
          <t>department</t>
        </is>
      </c>
      <c r="I164" s="8" t="inlineStr">
        <is>
          <t>hod.exams.question_paper_approval</t>
        </is>
      </c>
      <c r="J164" s="8" t="inlineStr">
        <is>
          <t>web/src/features/exams/QuestionPapers.tsx</t>
        </is>
      </c>
      <c r="K164" s="8" t="inlineStr"/>
      <c r="L164" s="8" t="n">
        <v>5</v>
      </c>
      <c r="M164" s="8" t="inlineStr">
        <is>
          <t>/exams/question-papers
/exams/question-papers/slots
/exams/question-papers/{}/decide
/files
/files/{}</t>
        </is>
      </c>
      <c r="N164" s="8" t="inlineStr">
        <is>
          <t>worker/src/routes/exams.ts
worker/src/routes/misc/files.ts</t>
        </is>
      </c>
      <c r="O164" s="8" t="n">
        <v>44</v>
      </c>
      <c r="P164" s="8" t="inlineStr">
        <is>
          <t>academic_years
application_documents
branding_profiles
campuses
certificate_types
class_subjects
classes
employee_documents
employees
enrollments
… +34 more</t>
        </is>
      </c>
      <c r="Q164" s="8" t="inlineStr"/>
      <c r="R164" s="8" t="inlineStr"/>
      <c r="S164" s="8" t="inlineStr">
        <is>
          <t>Papers your teachers have sent for approval before an exam: open the paper, approve it for printing, or send it back with the reason. The teacher is told either way, and who approved it is kept.</t>
        </is>
      </c>
    </row>
    <row r="165">
      <c r="A165" s="8" t="inlineStr">
        <is>
          <t>HOD / Department Head</t>
        </is>
      </c>
      <c r="B165" s="8" t="inlineStr">
        <is>
          <t>Department Workspace</t>
        </is>
      </c>
      <c r="C165" s="8" t="inlineStr">
        <is>
          <t>Exams</t>
        </is>
      </c>
      <c r="D165" s="8" t="inlineStr">
        <is>
          <t>Mark moderation</t>
        </is>
      </c>
      <c r="E165" s="11" t="inlineStr">
        <is>
          <t>Good</t>
        </is>
      </c>
      <c r="F165" s="8" t="inlineStr">
        <is>
          <t>core</t>
        </is>
      </c>
      <c r="G165" s="8" t="inlineStr">
        <is>
          <t>Must-Have</t>
        </is>
      </c>
      <c r="H165" s="8" t="inlineStr">
        <is>
          <t>department</t>
        </is>
      </c>
      <c r="I165" s="8" t="inlineStr">
        <is>
          <t>hod.exams.mark_moderation</t>
        </is>
      </c>
      <c r="J165" s="8" t="inlineStr">
        <is>
          <t>web/src/features/exams/MarkModeration.tsx</t>
        </is>
      </c>
      <c r="K165" s="8" t="inlineStr"/>
      <c r="L165" s="8" t="n">
        <v>1</v>
      </c>
      <c r="M165" s="8" t="inlineStr">
        <is>
          <t>/exams/moderation</t>
        </is>
      </c>
      <c r="N165" s="8" t="inlineStr">
        <is>
          <t>worker/src/routes/exams.ts</t>
        </is>
      </c>
      <c r="O165" s="8" t="n">
        <v>36</v>
      </c>
      <c r="P165" s="8" t="inlineStr">
        <is>
          <t>academic_years
branding_profiles
campuses
certificate_types
class_subjects
classes
enrollments
exam_halls
exam_seats
exam_subjects
… +26 more</t>
        </is>
      </c>
      <c r="Q165" s="8" t="inlineStr"/>
      <c r="R165" s="8" t="inlineStr"/>
      <c r="S165" s="8" t="inlineStr">
        <is>
          <t>Each paper in your department with its average, its highest and lowest, and how many fell below the pass mark, so a paper that came out harsh is visible. Add or take off marks across the whole paper with a reason, kept as grace marks so what the teacher marked stays.</t>
        </is>
      </c>
    </row>
    <row r="166">
      <c r="A166" s="8" t="inlineStr">
        <is>
          <t>Examination Controller</t>
        </is>
      </c>
      <c r="B166" s="8" t="inlineStr">
        <is>
          <t>Home</t>
        </is>
      </c>
      <c r="C166" s="8" t="inlineStr">
        <is>
          <t>Home</t>
        </is>
      </c>
      <c r="D166" s="8" t="inlineStr">
        <is>
          <t>Exam desk</t>
        </is>
      </c>
      <c r="E166" s="11" t="inlineStr">
        <is>
          <t>Good</t>
        </is>
      </c>
      <c r="F166" s="8" t="inlineStr">
        <is>
          <t>core</t>
        </is>
      </c>
      <c r="G166" s="8" t="inlineStr">
        <is>
          <t>Must-Have</t>
        </is>
      </c>
      <c r="H166" s="8" t="inlineStr">
        <is>
          <t>institution</t>
        </is>
      </c>
      <c r="I166" s="8" t="inlineStr">
        <is>
          <t>exam_controller.home.exam_desk</t>
        </is>
      </c>
      <c r="J166" s="8" t="inlineStr">
        <is>
          <t>web/src/features/bento/ExamDesk.tsx</t>
        </is>
      </c>
      <c r="K166" s="8" t="inlineStr">
        <is>
          <t>web/src/features/bento/ExamDesk.tsx</t>
        </is>
      </c>
      <c r="L166" s="8" t="n">
        <v>7</v>
      </c>
      <c r="M166" s="8" t="inlineStr">
        <is>
          <t>/exams/list
/exams/subjects
/files/{}
/metrics
/metrics/{}
/portal/attendance
/portal/preferences/display</t>
        </is>
      </c>
      <c r="N166" s="8" t="inlineStr">
        <is>
          <t>worker/src/routes/admin/metrics.ts
worker/src/routes/exams.ts
worker/src/routes/misc/files.ts
worker/src/routes/portal/family.ts
worker/src/routes/portal/life.ts</t>
        </is>
      </c>
      <c r="O166" s="8" t="n">
        <v>82</v>
      </c>
      <c r="P166" s="8" t="inlineStr">
        <is>
          <t>academic_years
admission_form_versions
admission_forms
application_documents
applications
branding_profiles
campuses
certificate_types
class_subjects
classes
… +72 more</t>
        </is>
      </c>
      <c r="Q166" s="8" t="inlineStr">
        <is>
          <t>access.test.ts
attendance.test.ts
edge.test.ts
student_lms.test.ts</t>
        </is>
      </c>
      <c r="R166" s="8" t="inlineStr"/>
      <c r="S166" s="8" t="inlineStr">
        <is>
          <t>The exams on the calendar, how far marks entry has got, and which papers are still short. The first screen of the exam office's day.</t>
        </is>
      </c>
    </row>
    <row r="167">
      <c r="A167" s="8" t="inlineStr">
        <is>
          <t>Examination Controller</t>
        </is>
      </c>
      <c r="B167" s="8" t="inlineStr">
        <is>
          <t>Examinations</t>
        </is>
      </c>
      <c r="C167" s="8" t="inlineStr">
        <is>
          <t>Examinations</t>
        </is>
      </c>
      <c r="D167" s="8" t="inlineStr">
        <is>
          <t>Exams &amp; papers</t>
        </is>
      </c>
      <c r="E167" s="11" t="inlineStr">
        <is>
          <t>Good</t>
        </is>
      </c>
      <c r="F167" s="8" t="inlineStr">
        <is>
          <t>core</t>
        </is>
      </c>
      <c r="G167" s="8" t="inlineStr">
        <is>
          <t>Must-Have</t>
        </is>
      </c>
      <c r="H167" s="8" t="inlineStr">
        <is>
          <t>institution</t>
        </is>
      </c>
      <c r="I167" s="8" t="inlineStr">
        <is>
          <t>exam_controller.examinations.exams_papers</t>
        </is>
      </c>
      <c r="J167" s="8" t="inlineStr">
        <is>
          <t>web/src/features/exams/Exams.tsx</t>
        </is>
      </c>
      <c r="K167" s="8" t="inlineStr"/>
      <c r="L167" s="8" t="n">
        <v>5</v>
      </c>
      <c r="M167" s="8" t="inlineStr">
        <is>
          <t>/academics/classes
/exams/list
/exams/{}/papers
/setup/exams
/setup/exams/{}</t>
        </is>
      </c>
      <c r="N167" s="8" t="inlineStr">
        <is>
          <t>worker/src/routes/academics.ts
worker/src/routes/exams.ts
worker/src/routes/setup/academics.ts</t>
        </is>
      </c>
      <c r="O167" s="8" t="n">
        <v>56</v>
      </c>
      <c r="P167" s="8" t="inlineStr">
        <is>
          <t>academic_years
activities
bell_schedules
branding_profiles
campuses
certificate_types
class_subjects
classes
co_scholastic_areas
employee_year_history
… +46 more</t>
        </is>
      </c>
      <c r="Q167" s="8" t="inlineStr">
        <is>
          <t>documents.test.ts
exams.test.ts</t>
        </is>
      </c>
      <c r="R167" s="8" t="inlineStr"/>
      <c r="S167" s="8" t="inlineStr">
        <is>
          <t>Schedule an exam, add the papers on it, and see what has been published.</t>
        </is>
      </c>
    </row>
    <row r="168">
      <c r="A168" s="8" t="inlineStr">
        <is>
          <t>Examination Controller</t>
        </is>
      </c>
      <c r="B168" s="8" t="inlineStr">
        <is>
          <t>Examinations</t>
        </is>
      </c>
      <c r="C168" s="8" t="inlineStr">
        <is>
          <t>Examinations</t>
        </is>
      </c>
      <c r="D168" s="8" t="inlineStr">
        <is>
          <t>Hall tickets &amp; seating</t>
        </is>
      </c>
      <c r="E168" s="11" t="inlineStr">
        <is>
          <t>Good</t>
        </is>
      </c>
      <c r="F168" s="8" t="inlineStr">
        <is>
          <t>core</t>
        </is>
      </c>
      <c r="G168" s="8" t="inlineStr">
        <is>
          <t>Must-Have</t>
        </is>
      </c>
      <c r="H168" s="8" t="inlineStr">
        <is>
          <t>institution</t>
        </is>
      </c>
      <c r="I168" s="8" t="inlineStr">
        <is>
          <t>exam_controller.examinations.hall_tickets_seating</t>
        </is>
      </c>
      <c r="J168" s="8" t="inlineStr">
        <is>
          <t>web/src/features/exams/HallTicket.tsx</t>
        </is>
      </c>
      <c r="K168" s="8" t="inlineStr"/>
      <c r="L168" s="8" t="n">
        <v>7</v>
      </c>
      <c r="M168" s="8" t="inlineStr">
        <is>
          <t>/exams/hall-plan
/exams/halls
/exams/list
/exams/seats/allocate
/hpc/hall-ticket
/portal/students
/session</t>
        </is>
      </c>
      <c r="N168" s="8" t="inlineStr">
        <is>
          <t>worker/src/routes/exams.ts
worker/src/routes/misc/profile.ts
worker/src/routes/portal/family.ts</t>
        </is>
      </c>
      <c r="O168" s="8" t="n">
        <v>60</v>
      </c>
      <c r="P168" s="8" t="inlineStr">
        <is>
          <t>academic_years
admission_form_versions
admission_forms
application_documents
applications
branding_profiles
campuses
certificate_types
class_subjects
classes
… +50 more</t>
        </is>
      </c>
      <c r="Q168" s="8" t="inlineStr">
        <is>
          <t>access.test.ts
admissions_rte.test.ts
auth.test.ts
edge.test.ts
session_activity.test.ts</t>
        </is>
      </c>
      <c r="R168" s="8" t="inlineStr"/>
      <c r="S168" s="8" t="inlineStr">
        <is>
          <t>Halls, seat allocation and the hall ticket each candidate carries in.</t>
        </is>
      </c>
    </row>
    <row r="169">
      <c r="A169" s="8" t="inlineStr">
        <is>
          <t>Examination Controller</t>
        </is>
      </c>
      <c r="B169" s="8" t="inlineStr">
        <is>
          <t>Examinations</t>
        </is>
      </c>
      <c r="C169" s="8" t="inlineStr">
        <is>
          <t>Examinations</t>
        </is>
      </c>
      <c r="D169" s="8" t="inlineStr">
        <is>
          <t>Report cards</t>
        </is>
      </c>
      <c r="E169" s="11" t="inlineStr">
        <is>
          <t>Good</t>
        </is>
      </c>
      <c r="F169" s="8" t="inlineStr">
        <is>
          <t>core</t>
        </is>
      </c>
      <c r="G169" s="8" t="inlineStr">
        <is>
          <t>Must-Have</t>
        </is>
      </c>
      <c r="H169" s="8" t="inlineStr">
        <is>
          <t>institution</t>
        </is>
      </c>
      <c r="I169" s="8" t="inlineStr">
        <is>
          <t>exam_controller.examinations.report_cards</t>
        </is>
      </c>
      <c r="J169" s="8" t="inlineStr">
        <is>
          <t>web/src/features/exams/ReportCards.tsx</t>
        </is>
      </c>
      <c r="K169" s="8" t="inlineStr"/>
      <c r="L169" s="8" t="n">
        <v>21</v>
      </c>
      <c r="M169" s="8" t="inlineStr">
        <is>
          <t>/academics/sections
/exams/list
/exams/my-signature
/exams/report-cards
/exams/report-cards/generate
/exams/report-cards/pending
/exams/report-cards/readiness
/exams/report-cards/render
… +13 more</t>
        </is>
      </c>
      <c r="N169" s="8" t="inlineStr">
        <is>
          <t>worker/src/router.ts
worker/src/routes/academics.ts
worker/src/routes/exams.ts
worker/src/routes/misc/files.ts
worker/src/routes/setup/imports.ts
worker/src/routes/setup/staff.ts
… +1 more</t>
        </is>
      </c>
      <c r="O169" s="8" t="n">
        <v>88</v>
      </c>
      <c r="P169" s="8" t="inlineStr">
        <is>
          <t>academic_years
activities
application_documents
audit_log
bell_schedules
biometric_devices
biometric_punches
branding_profiles
campuses
certificate_types
… +78 more</t>
        </is>
      </c>
      <c r="Q169" s="8" t="inlineStr">
        <is>
          <t>access.test.ts
auth.test.ts
exams.test.ts
fees.test.ts
lms_modules.test.ts
lms_nesting.test.ts
… +7 more</t>
        </is>
      </c>
      <c r="R169" s="8" t="inlineStr"/>
      <c r="S169" s="8" t="inlineStr">
        <is>
          <t>Generate a section's report cards once every paper is in, preview the school's design, and send the set up for release.</t>
        </is>
      </c>
    </row>
    <row r="170">
      <c r="A170" s="8" t="inlineStr">
        <is>
          <t>Examination Controller</t>
        </is>
      </c>
      <c r="B170" s="8" t="inlineStr">
        <is>
          <t>Examinations</t>
        </is>
      </c>
      <c r="C170" s="8" t="inlineStr">
        <is>
          <t>Examinations</t>
        </is>
      </c>
      <c r="D170" s="8" t="inlineStr">
        <is>
          <t>Performance overview</t>
        </is>
      </c>
      <c r="E170" s="11" t="inlineStr">
        <is>
          <t>Good</t>
        </is>
      </c>
      <c r="F170" s="8" t="inlineStr">
        <is>
          <t>core</t>
        </is>
      </c>
      <c r="G170" s="8" t="inlineStr">
        <is>
          <t>Should-Have</t>
        </is>
      </c>
      <c r="H170" s="8" t="inlineStr">
        <is>
          <t>institution</t>
        </is>
      </c>
      <c r="I170" s="8" t="inlineStr">
        <is>
          <t>exam_controller.examinations.performance_overview</t>
        </is>
      </c>
      <c r="J170" s="8" t="inlineStr">
        <is>
          <t>web/src/features/exams/PerformanceOverview.tsx</t>
        </is>
      </c>
      <c r="K170" s="8" t="inlineStr"/>
      <c r="L170" s="8" t="n">
        <v>3</v>
      </c>
      <c r="M170" s="8" t="inlineStr">
        <is>
          <t>/academics/classes
/exams/board/performance
/exams/list</t>
        </is>
      </c>
      <c r="N170" s="8" t="inlineStr">
        <is>
          <t>worker/src/routes/academics.ts
worker/src/routes/board_exams.ts
worker/src/routes/exams.ts</t>
        </is>
      </c>
      <c r="O170" s="8" t="n">
        <v>55</v>
      </c>
      <c r="P170" s="8" t="inlineStr">
        <is>
          <t>academic_years
activities
board_registration_amendments
board_registrations
board_result_imports
board_result_rows
branding_profiles
campuses
certificate_types
class_subjects
… +45 more</t>
        </is>
      </c>
      <c r="Q170" s="8" t="inlineStr"/>
      <c r="R170" s="8" t="inlineStr"/>
      <c r="S170" s="8" t="inlineStr">
        <is>
          <t>Results by class and subject across the exams held this year.</t>
        </is>
      </c>
    </row>
    <row r="171">
      <c r="A171" s="8" t="inlineStr">
        <is>
          <t>Examination Controller</t>
        </is>
      </c>
      <c r="B171" s="8" t="inlineStr">
        <is>
          <t>Communication</t>
        </is>
      </c>
      <c r="C171" s="8" t="inlineStr">
        <is>
          <t>Communication</t>
        </is>
      </c>
      <c r="D171" s="8" t="inlineStr">
        <is>
          <t>Messages</t>
        </is>
      </c>
      <c r="E171" s="11" t="inlineStr">
        <is>
          <t>Good</t>
        </is>
      </c>
      <c r="F171" s="8" t="inlineStr">
        <is>
          <t>core</t>
        </is>
      </c>
      <c r="G171" s="8" t="inlineStr">
        <is>
          <t>Must-Have</t>
        </is>
      </c>
      <c r="H171" s="8" t="inlineStr">
        <is>
          <t>institution</t>
        </is>
      </c>
      <c r="I171" s="8" t="inlineStr">
        <is>
          <t>exam_controller.communication.messages</t>
        </is>
      </c>
      <c r="J171" s="8" t="inlineStr">
        <is>
          <t>web/src/features/comms/StaffMessages.tsx</t>
        </is>
      </c>
      <c r="K171" s="8" t="inlineStr"/>
      <c r="L171" s="8" t="n">
        <v>12</v>
      </c>
      <c r="M171" s="8" t="inlineStr">
        <is>
          <t>/chat/messages/{}
/chat/parent-thread/read
/chat/staff-thread/read
/files
/files/{}
/portal/messages
/staff-messages
/staff-messages/threads
… +4 more</t>
        </is>
      </c>
      <c r="N171" s="8" t="inlineStr">
        <is>
          <t>worker/src/routes/misc/chat.ts
worker/src/routes/misc/files.ts
worker/src/routes/portal/requests.ts
worker/src/routes/teaching/dashboards.ts</t>
        </is>
      </c>
      <c r="O171" s="8" t="n">
        <v>60</v>
      </c>
      <c r="P171" s="8" t="inlineStr">
        <is>
          <t>academic_years
announcement_acks
announcements
application_documents
applications
certificate_types
class_subjects
classes
departments
designations
… +50 more</t>
        </is>
      </c>
      <c r="Q171" s="8" t="inlineStr">
        <is>
          <t>live.test.ts</t>
        </is>
      </c>
      <c r="R171" s="8" t="inlineStr"/>
      <c r="S171" s="8" t="inlineStr">
        <is>
          <t>One colleague at a time. The staff address book, every teacher and every member of staff, and the thread you have with each of them, for asking a class teacher or the office something rather than sending a notice to the school.</t>
        </is>
      </c>
    </row>
    <row r="172">
      <c r="A172" s="8" t="inlineStr">
        <is>
          <t>Examination Controller</t>
        </is>
      </c>
      <c r="B172" s="8" t="inlineStr">
        <is>
          <t>My Profile</t>
        </is>
      </c>
      <c r="C172" s="8" t="inlineStr">
        <is>
          <t>My Profile</t>
        </is>
      </c>
      <c r="D172" s="8" t="inlineStr">
        <is>
          <t>Profile</t>
        </is>
      </c>
      <c r="E172" s="10" t="inlineStr">
        <is>
          <t>Check</t>
        </is>
      </c>
      <c r="F172" s="8" t="inlineStr">
        <is>
          <t>core</t>
        </is>
      </c>
      <c r="G172" s="8" t="inlineStr">
        <is>
          <t>Must-Have</t>
        </is>
      </c>
      <c r="H172" s="8" t="inlineStr">
        <is>
          <t>self</t>
        </is>
      </c>
      <c r="I172" s="8" t="inlineStr">
        <is>
          <t>exam_controller.my_profile.profile</t>
        </is>
      </c>
      <c r="J172" s="8" t="inlineStr">
        <is>
          <t>web/src/features/shared/Profile.tsx</t>
        </is>
      </c>
      <c r="K172" s="8" t="inlineStr"/>
      <c r="L172" s="8" t="n">
        <v>19</v>
      </c>
      <c r="M172" s="8" t="inlineStr">
        <is>
          <t>/files
/files/{}
/hr-growth/me/appraisals
/hr-growth/me/appraisals/{}
/hr-growth/me/appraisals/{}/acknowledge
/hr-growth/me/appraisals/{}/self-assessment
/hr-growth/me/duties
/hr-growth/me/training
… +11 more</t>
        </is>
      </c>
      <c r="N172" s="8" t="inlineStr">
        <is>
          <t>worker/src/routes/daily.ts
worker/src/routes/growth/hr_appraisal.ts
worker/src/routes/growth/hr_training.ts
worker/src/routes/hr/concerns.ts
worker/src/routes/misc/files.ts
worker/src/routes/misc/profile.ts</t>
        </is>
      </c>
      <c r="O172" s="8" t="n">
        <v>75</v>
      </c>
      <c r="P172" s="8" t="inlineStr">
        <is>
          <t>absence_followup_section_done
academic_years
application_documents
applications
appraisal_cycles
appraisal_kpis
appraisal_ratings
appraisals
attendance_corrections
bell_schedules
… +65 more</t>
        </is>
      </c>
      <c r="Q172" s="8" t="inlineStr">
        <is>
          <t>access.test.ts
concerns.test.ts
lms_modules.test.ts
lms_nesting.test.ts
lms_progression.test.ts
lms_videos.test.ts
… +4 more</t>
        </is>
      </c>
      <c r="R172" s="8" t="inlineStr">
        <is>
          <t>1 step(s) in its backend files answer "not ported" (see Not ported tab).</t>
        </is>
      </c>
      <c r="S172" s="8" t="inlineStr">
        <is>
          <t>Your own name, phone, email and password.</t>
        </is>
      </c>
    </row>
    <row r="173">
      <c r="A173" s="8" t="inlineStr">
        <is>
          <t>Examination Controller</t>
        </is>
      </c>
      <c r="B173" s="8" t="inlineStr">
        <is>
          <t>My Profile</t>
        </is>
      </c>
      <c r="C173" s="8" t="inlineStr">
        <is>
          <t>My Profile</t>
        </is>
      </c>
      <c r="D173" s="8" t="inlineStr">
        <is>
          <t>My pay</t>
        </is>
      </c>
      <c r="E173" s="10" t="inlineStr">
        <is>
          <t>Check</t>
        </is>
      </c>
      <c r="F173" s="8" t="inlineStr">
        <is>
          <t>core</t>
        </is>
      </c>
      <c r="G173" s="8" t="inlineStr">
        <is>
          <t>Must-Have</t>
        </is>
      </c>
      <c r="H173" s="8" t="inlineStr">
        <is>
          <t>self</t>
        </is>
      </c>
      <c r="I173" s="8" t="inlineStr">
        <is>
          <t>exam_controller.my_profile.my_pay</t>
        </is>
      </c>
      <c r="J173" s="8" t="inlineStr">
        <is>
          <t>web/src/features/me/MyPay.tsx</t>
        </is>
      </c>
      <c r="K173" s="8" t="inlineStr"/>
      <c r="L173" s="8" t="n">
        <v>1</v>
      </c>
      <c r="M173" s="8" t="inlineStr">
        <is>
          <t>/me/pay</t>
        </is>
      </c>
      <c r="N173" s="8" t="inlineStr">
        <is>
          <t>worker/src/routes/daily.ts</t>
        </is>
      </c>
      <c r="O173" s="8" t="n">
        <v>51</v>
      </c>
      <c r="P173" s="8" t="inlineStr">
        <is>
          <t>absence_followup_section_done
academic_years
applications
attendance_corrections
bell_schedules
board_memberships
campuses
class_subjects
classes
departments
… +41 more</t>
        </is>
      </c>
      <c r="Q173" s="8" t="inlineStr"/>
      <c r="R173" s="8" t="inlineStr">
        <is>
          <t>1 step(s) in its backend files answer "not ported" (see Not ported tab).</t>
        </is>
      </c>
      <c r="S173" s="8" t="inlineStr">
        <is>
          <t>Your own payslips month by month, what was taken off and how much of it was tax, the days you were marked present, and the leave you have left. Only ever your own.</t>
        </is>
      </c>
    </row>
    <row r="174">
      <c r="A174" s="8" t="inlineStr">
        <is>
          <t>Faculty / Teacher</t>
        </is>
      </c>
      <c r="B174" s="8" t="inlineStr">
        <is>
          <t>Home</t>
        </is>
      </c>
      <c r="C174" s="8" t="inlineStr">
        <is>
          <t>Home</t>
        </is>
      </c>
      <c r="D174" s="8" t="inlineStr">
        <is>
          <t>Today's classes</t>
        </is>
      </c>
      <c r="E174" s="10" t="inlineStr">
        <is>
          <t>Check</t>
        </is>
      </c>
      <c r="F174" s="8" t="inlineStr">
        <is>
          <t>core</t>
        </is>
      </c>
      <c r="G174" s="8" t="inlineStr">
        <is>
          <t>Must-Have</t>
        </is>
      </c>
      <c r="H174" s="8" t="inlineStr">
        <is>
          <t>assigned_classes</t>
        </is>
      </c>
      <c r="I174" s="8" t="inlineStr">
        <is>
          <t>faculty.home.todays_classes</t>
        </is>
      </c>
      <c r="J174" s="8" t="inlineStr">
        <is>
          <t>web/src/features/faculty/TodaysClasses.tsx</t>
        </is>
      </c>
      <c r="K174" s="8" t="inlineStr">
        <is>
          <t>web/src/features/bento/FacultyToday.tsx</t>
        </is>
      </c>
      <c r="L174" s="8" t="n">
        <v>16</v>
      </c>
      <c r="M174" s="8" t="inlineStr">
        <is>
          <t>/academics/sections
/files/{}
/metrics
/metrics/{}
/portal/attendance
/portal/preferences/display
/status/audiences
/status/feed
… +8 more</t>
        </is>
      </c>
      <c r="N174" s="8" t="inlineStr">
        <is>
          <t>worker/src/routes/academics.ts
worker/src/routes/admin/metrics.ts
worker/src/routes/comms/class_status.ts
worker/src/routes/daily.ts
worker/src/routes/misc/files.ts
worker/src/routes/portal/family.ts
… +2 more</t>
        </is>
      </c>
      <c r="O174" s="8" t="n">
        <v>109</v>
      </c>
      <c r="P174" s="8" t="inlineStr">
        <is>
          <t>absence_followup_section_done
academic_years
activities
admission_form_versions
admission_forms
announcement_acks
announcements
application_documents
applications
attendance_corrections
… +99 more</t>
        </is>
      </c>
      <c r="Q174" s="8" t="inlineStr">
        <is>
          <t>access.test.ts
attendance.test.ts
class_status_gaps.test.ts
edge.test.ts
feature_class_status.test.ts
feature_switch_cache.test.ts
… +2 more</t>
        </is>
      </c>
      <c r="R174" s="8" t="inlineStr">
        <is>
          <t>1 step(s) in its backend files answer "not ported" (see Not ported tab).</t>
        </is>
      </c>
      <c r="S174" s="8" t="inlineStr">
        <is>
          <t>Next/current classes with one-click Take Attendance, Open Class and Add Homework actions.</t>
        </is>
      </c>
    </row>
    <row r="175">
      <c r="A175" s="8" t="inlineStr">
        <is>
          <t>Faculty / Teacher</t>
        </is>
      </c>
      <c r="B175" s="8" t="inlineStr">
        <is>
          <t>Home</t>
        </is>
      </c>
      <c r="C175" s="8" t="inlineStr">
        <is>
          <t>Home</t>
        </is>
      </c>
      <c r="D175" s="8" t="inlineStr">
        <is>
          <t>My work</t>
        </is>
      </c>
      <c r="E175" s="11" t="inlineStr">
        <is>
          <t>Good</t>
        </is>
      </c>
      <c r="F175" s="8" t="inlineStr">
        <is>
          <t>core</t>
        </is>
      </c>
      <c r="G175" s="8" t="inlineStr">
        <is>
          <t>Must-Have</t>
        </is>
      </c>
      <c r="H175" s="8" t="inlineStr">
        <is>
          <t>assigned_classes</t>
        </is>
      </c>
      <c r="I175" s="8" t="inlineStr">
        <is>
          <t>faculty.home.my_work</t>
        </is>
      </c>
      <c r="J175" s="8" t="inlineStr">
        <is>
          <t>web/src/features/faculty/MyWork.tsx</t>
        </is>
      </c>
      <c r="K175" s="8" t="inlineStr">
        <is>
          <t>web/src/features/bento/MyWork</t>
        </is>
      </c>
      <c r="L175" s="8" t="n">
        <v>2</v>
      </c>
      <c r="M175" s="8" t="inlineStr">
        <is>
          <t>/portal/preferences/display
/teaching/my-work</t>
        </is>
      </c>
      <c r="N175" s="8" t="inlineStr">
        <is>
          <t>worker/src/routes/portal/life.ts
worker/src/routes/teaching/dashboards.ts</t>
        </is>
      </c>
      <c r="O175" s="8" t="n">
        <v>55</v>
      </c>
      <c r="P175" s="8" t="inlineStr">
        <is>
          <t>academic_years
announcement_acks
announcements
applications
class_subjects
classes
club_events
departments
designations
discipline_records
… +45 more</t>
        </is>
      </c>
      <c r="Q175" s="8" t="inlineStr">
        <is>
          <t>edge.test.ts
perf.test.ts</t>
        </is>
      </c>
      <c r="R175" s="8" t="inlineStr"/>
      <c r="S175" s="8" t="inlineStr">
        <is>
          <t>Assignments to review, marks pending, substitutions, leave status and announcements.</t>
        </is>
      </c>
    </row>
    <row r="176">
      <c r="A176" s="8" t="inlineStr">
        <is>
          <t>Faculty / Teacher</t>
        </is>
      </c>
      <c r="B176" s="8" t="inlineStr">
        <is>
          <t>Home</t>
        </is>
      </c>
      <c r="C176" s="8" t="inlineStr">
        <is>
          <t>Home</t>
        </is>
      </c>
      <c r="D176" s="8" t="inlineStr">
        <is>
          <t>My calendar</t>
        </is>
      </c>
      <c r="E176" s="11" t="inlineStr">
        <is>
          <t>Good</t>
        </is>
      </c>
      <c r="F176" s="8" t="inlineStr">
        <is>
          <t>core</t>
        </is>
      </c>
      <c r="G176" s="8" t="inlineStr">
        <is>
          <t>Must-Have</t>
        </is>
      </c>
      <c r="H176" s="8" t="inlineStr">
        <is>
          <t>assigned_classes</t>
        </is>
      </c>
      <c r="I176" s="8" t="inlineStr">
        <is>
          <t>faculty.home.my_calendar</t>
        </is>
      </c>
      <c r="J176" s="8" t="inlineStr">
        <is>
          <t>web/src/features/faculty/MyCalendar.tsx</t>
        </is>
      </c>
      <c r="K176" s="8" t="inlineStr"/>
      <c r="L176" s="8" t="n">
        <v>1</v>
      </c>
      <c r="M176" s="8" t="inlineStr">
        <is>
          <t>/me/calendar</t>
        </is>
      </c>
      <c r="N176" s="8" t="inlineStr">
        <is>
          <t>worker/src/routes/board_exams.ts</t>
        </is>
      </c>
      <c r="O176" s="8" t="n">
        <v>25</v>
      </c>
      <c r="P176" s="8" t="inlineStr">
        <is>
          <t>academic_years
board_registration_amendments
board_registrations
board_result_imports
board_result_rows
class_subjects
classes
duty_assignments
duty_shifts
employees
… +15 more</t>
        </is>
      </c>
      <c r="Q176" s="8" t="inlineStr"/>
      <c r="R176" s="8" t="inlineStr"/>
      <c r="S176" s="8" t="inlineStr">
        <is>
          <t>The month you are actually in: exams, the duties you are rostered on, the homework you set falling due, and your own leave. Not your timetable, which you already know.</t>
        </is>
      </c>
    </row>
    <row r="177">
      <c r="A177" s="8" t="inlineStr">
        <is>
          <t>Faculty / Teacher</t>
        </is>
      </c>
      <c r="B177" s="8" t="inlineStr">
        <is>
          <t>My Classes</t>
        </is>
      </c>
      <c r="C177" s="8" t="inlineStr">
        <is>
          <t>My Classes</t>
        </is>
      </c>
      <c r="D177" s="8" t="inlineStr">
        <is>
          <t>My classes</t>
        </is>
      </c>
      <c r="E177" s="10" t="inlineStr">
        <is>
          <t>Check</t>
        </is>
      </c>
      <c r="F177" s="8" t="inlineStr">
        <is>
          <t>core</t>
        </is>
      </c>
      <c r="G177" s="8" t="inlineStr">
        <is>
          <t>Must-Have</t>
        </is>
      </c>
      <c r="H177" s="8" t="inlineStr">
        <is>
          <t>assigned_classes</t>
        </is>
      </c>
      <c r="I177" s="8" t="inlineStr">
        <is>
          <t>faculty.my_classes.my_classes</t>
        </is>
      </c>
      <c r="J177" s="8" t="inlineStr">
        <is>
          <t>web/src/features/faculty/TodaysClasses.tsx</t>
        </is>
      </c>
      <c r="K177" s="8" t="inlineStr"/>
      <c r="L177" s="8" t="n">
        <v>9</v>
      </c>
      <c r="M177" s="8" t="inlineStr">
        <is>
          <t>/academics/sections
/files/{}
/status/audiences
/status/feed
/status/posts
/status/posts/{}/view
/status/posts/{}/views
/timetable/entries
… +1 more</t>
        </is>
      </c>
      <c r="N177" s="8" t="inlineStr">
        <is>
          <t>worker/src/routes/academics.ts
worker/src/routes/comms/class_status.ts
worker/src/routes/daily.ts
worker/src/routes/misc/files.ts</t>
        </is>
      </c>
      <c r="O177" s="8" t="n">
        <v>66</v>
      </c>
      <c r="P177" s="8" t="inlineStr">
        <is>
          <t>absence_followup_section_done
academic_years
activities
application_documents
applications
attendance_corrections
bell_schedules
board_memberships
branding_profiles
campuses
… +56 more</t>
        </is>
      </c>
      <c r="Q177" s="8" t="inlineStr">
        <is>
          <t>class_status_gaps.test.ts
feature_class_status.test.ts
feature_switch_cache.test.ts
perf.test.ts</t>
        </is>
      </c>
      <c r="R177" s="8" t="inlineStr">
        <is>
          <t>1 step(s) in its backend files answer "not ported" (see Not ported tab).</t>
        </is>
      </c>
      <c r="S177" s="8" t="inlineStr">
        <is>
          <t>Class roster, subject resources and relevant student academic information.</t>
        </is>
      </c>
    </row>
    <row r="178">
      <c r="A178" s="8" t="inlineStr">
        <is>
          <t>Faculty / Teacher</t>
        </is>
      </c>
      <c r="B178" s="8" t="inlineStr">
        <is>
          <t>My Classes</t>
        </is>
      </c>
      <c r="C178" s="8" t="inlineStr">
        <is>
          <t>My Classes</t>
        </is>
      </c>
      <c r="D178" s="8" t="inlineStr">
        <is>
          <t>Student progress</t>
        </is>
      </c>
      <c r="E178" s="11" t="inlineStr">
        <is>
          <t>Good</t>
        </is>
      </c>
      <c r="F178" s="8" t="inlineStr">
        <is>
          <t>core</t>
        </is>
      </c>
      <c r="G178" s="8" t="inlineStr">
        <is>
          <t>Must-Have</t>
        </is>
      </c>
      <c r="H178" s="8" t="inlineStr">
        <is>
          <t>assigned_classes</t>
        </is>
      </c>
      <c r="I178" s="8" t="inlineStr">
        <is>
          <t>faculty.my_classes.student_progress</t>
        </is>
      </c>
      <c r="J178" s="8" t="inlineStr">
        <is>
          <t>web/src/features/faculty/MyClasses.tsx</t>
        </is>
      </c>
      <c r="K178" s="8" t="inlineStr"/>
      <c r="L178" s="8" t="n">
        <v>20</v>
      </c>
      <c r="M178" s="8" t="inlineStr">
        <is>
          <t>/ai/import/analyze
/ai/import/commit
/ai/import/preview
/ai/import/propose
/ai/warnings
/ai/warnings/digest
/ai/warnings/dismiss-all
/ai/warnings/run
… +12 more</t>
        </is>
      </c>
      <c r="N178" s="8" t="inlineStr">
        <is>
          <t>worker/src/routes/ai/import.ts
worker/src/routes/ai/warnings.ts
worker/src/routes/misc/profile.ts
worker/src/routes/misc/shell.ts
worker/src/routes/students.ts
worker/src/routes/teaching/dashboards.ts</t>
        </is>
      </c>
      <c r="O178" s="8" t="n">
        <v>84</v>
      </c>
      <c r="P178" s="8" t="inlineStr">
        <is>
          <t>academic_years
activities
ai_warning_dismissals
ai_warnings
announcement_acks
announcements
applications
audit_log
certificate_types
class_subjects
… +74 more</t>
        </is>
      </c>
      <c r="Q178" s="8" t="inlineStr">
        <is>
          <t>access.test.ts
admissions_rte.test.ts
ai.test.ts
ai_warnings_import.test.ts
auth.test.ts
edge.test.ts
… +6 more</t>
        </is>
      </c>
      <c r="R178" s="8" t="inlineStr"/>
      <c r="S178" s="8" t="inlineStr">
        <is>
          <t>View attendance and academic progress for students taught/mentored by the faculty member.</t>
        </is>
      </c>
    </row>
    <row r="179">
      <c r="A179" s="8" t="inlineStr">
        <is>
          <t>Faculty / Teacher</t>
        </is>
      </c>
      <c r="B179" s="8" t="inlineStr">
        <is>
          <t>My Classes</t>
        </is>
      </c>
      <c r="C179" s="8" t="inlineStr">
        <is>
          <t>My Classes</t>
        </is>
      </c>
      <c r="D179" s="8" t="inlineStr">
        <is>
          <t>Behaviour</t>
        </is>
      </c>
      <c r="E179" s="11" t="inlineStr">
        <is>
          <t>Good</t>
        </is>
      </c>
      <c r="F179" s="8" t="inlineStr">
        <is>
          <t>core</t>
        </is>
      </c>
      <c r="G179" s="8" t="inlineStr">
        <is>
          <t>Must-Have</t>
        </is>
      </c>
      <c r="H179" s="8" t="inlineStr">
        <is>
          <t>assigned_classes</t>
        </is>
      </c>
      <c r="I179" s="8" t="inlineStr">
        <is>
          <t>faculty.my_classes.behaviour</t>
        </is>
      </c>
      <c r="J179" s="8" t="inlineStr">
        <is>
          <t>web/src/features/faculty/Behaviour.tsx</t>
        </is>
      </c>
      <c r="K179" s="8" t="inlineStr"/>
      <c r="L179" s="8" t="n">
        <v>2</v>
      </c>
      <c r="M179" s="8" t="inlineStr">
        <is>
          <t>/students/notes
/teaching/progress/options</t>
        </is>
      </c>
      <c r="N179" s="8" t="inlineStr">
        <is>
          <t>worker/src/routes/students.ts
worker/src/routes/teaching/dashboards.ts</t>
        </is>
      </c>
      <c r="O179" s="8" t="n">
        <v>67</v>
      </c>
      <c r="P179" s="8" t="inlineStr">
        <is>
          <t>academic_years
activities
announcement_acks
announcements
applications
audit_log
certificate_types
class_subjects
classes
co_scholastic_areas
… +57 more</t>
        </is>
      </c>
      <c r="Q179" s="8" t="inlineStr"/>
      <c r="R179" s="8" t="inlineStr"/>
      <c r="S179" s="8" t="inlineStr">
        <is>
          <t>Award a badge for what a child did well, or record a concern and what was done about it, one record per child, read in order, with whether the family was told.</t>
        </is>
      </c>
    </row>
    <row r="180">
      <c r="A180" s="8" t="inlineStr">
        <is>
          <t>Faculty / Teacher</t>
        </is>
      </c>
      <c r="B180" s="8" t="inlineStr">
        <is>
          <t>My Classes</t>
        </is>
      </c>
      <c r="C180" s="8" t="inlineStr">
        <is>
          <t>My Classes</t>
        </is>
      </c>
      <c r="D180" s="8" t="inlineStr">
        <is>
          <t>My students</t>
        </is>
      </c>
      <c r="E180" s="10" t="inlineStr">
        <is>
          <t>Check</t>
        </is>
      </c>
      <c r="F180" s="8" t="inlineStr">
        <is>
          <t>core</t>
        </is>
      </c>
      <c r="G180" s="8" t="inlineStr">
        <is>
          <t>Must-Have</t>
        </is>
      </c>
      <c r="H180" s="8" t="inlineStr">
        <is>
          <t>assigned_classes</t>
        </is>
      </c>
      <c r="I180" s="8" t="inlineStr">
        <is>
          <t>faculty.my_classes.my_students</t>
        </is>
      </c>
      <c r="J180" s="8" t="inlineStr">
        <is>
          <t>web/src/features/shared/Students.tsx</t>
        </is>
      </c>
      <c r="K180" s="8" t="inlineStr"/>
      <c r="L180" s="8" t="n">
        <v>61</v>
      </c>
      <c r="M180" s="8" t="inlineStr">
        <is>
          <t>/academics/activities
/academics/classes
/academics/houses
/academics/sections
/ai/briefs/principal
/ai/briefs/student/{}
/ai/draft
/ai/import/analyze
… +53 more</t>
        </is>
      </c>
      <c r="N180" s="8" t="inlineStr">
        <is>
          <t>worker/src/router.ts
worker/src/routes/academics.ts
worker/src/routes/admin/export.ts
worker/src/routes/admin/loose.ts
worker/src/routes/ai/briefs.ts
worker/src/routes/ai/drafting.ts
… +10 more</t>
        </is>
      </c>
      <c r="O180" s="8" t="n">
        <v>115</v>
      </c>
      <c r="P180" s="8" t="inlineStr">
        <is>
          <t>absence_followup_section_done
academic_years
activities
ai_warning_dismissals
ai_warnings
announcement_acks
announcement_sections
announcement_students
announcements
api_keys
… +105 more</t>
        </is>
      </c>
      <c r="Q180" s="8" t="inlineStr">
        <is>
          <t>access.test.ts
admissions_crm.test.ts
ai.test.ts
ai_briefs.test.ts
ai_warnings_import.test.ts
auth.test.ts
… +13 more</t>
        </is>
      </c>
      <c r="R180" s="8" t="inlineStr">
        <is>
          <t>2 step(s) in its backend files answer "not ported" (see Not ported tab).</t>
        </is>
      </c>
      <c r="S180" s="8" t="inlineStr">
        <is>
          <t>Every child in the class with attendance, marks and guardian contact in one place.</t>
        </is>
      </c>
    </row>
    <row r="181">
      <c r="A181" s="8" t="inlineStr">
        <is>
          <t>Faculty / Teacher</t>
        </is>
      </c>
      <c r="B181" s="8" t="inlineStr">
        <is>
          <t>My Classes</t>
        </is>
      </c>
      <c r="C181" s="8" t="inlineStr">
        <is>
          <t>My Classes</t>
        </is>
      </c>
      <c r="D181" s="8" t="inlineStr">
        <is>
          <t>Student details</t>
        </is>
      </c>
      <c r="E181" s="10" t="inlineStr">
        <is>
          <t>Check</t>
        </is>
      </c>
      <c r="F181" s="8" t="inlineStr">
        <is>
          <t>core</t>
        </is>
      </c>
      <c r="G181" s="8" t="inlineStr">
        <is>
          <t>Must-Have</t>
        </is>
      </c>
      <c r="H181" s="8" t="inlineStr">
        <is>
          <t>assigned_classes</t>
        </is>
      </c>
      <c r="I181" s="8" t="inlineStr">
        <is>
          <t>faculty.my_classes.student_details</t>
        </is>
      </c>
      <c r="J181" s="8" t="inlineStr">
        <is>
          <t>web/src/features/shared/StudentProfile.tsx</t>
        </is>
      </c>
      <c r="K181" s="8" t="inlineStr"/>
      <c r="L181" s="8" t="n">
        <v>54</v>
      </c>
      <c r="M181" s="8" t="inlineStr">
        <is>
          <t>/academics/activities
/academics/classes
/academics/houses
/academics/sections
/ai/briefs/principal
/ai/briefs/student/{}
/ai/draft
/ai/import/analyze
… +46 more</t>
        </is>
      </c>
      <c r="N181" s="8" t="inlineStr">
        <is>
          <t>worker/src/router.ts
worker/src/routes/academics.ts
worker/src/routes/admin/export.ts
worker/src/routes/admin/loose.ts
worker/src/routes/ai/briefs.ts
worker/src/routes/ai/drafting.ts
… +9 more</t>
        </is>
      </c>
      <c r="O181" s="8" t="n">
        <v>114</v>
      </c>
      <c r="P181" s="8" t="inlineStr">
        <is>
          <t>absence_followup_section_done
academic_years
activities
ai_warning_dismissals
ai_warnings
announcement_acks
announcement_sections
announcement_students
announcements
api_keys
… +104 more</t>
        </is>
      </c>
      <c r="Q181" s="8" t="inlineStr">
        <is>
          <t>access.test.ts
admissions_crm.test.ts
ai.test.ts
ai_briefs.test.ts
ai_warnings_import.test.ts
auth.test.ts
… +8 more</t>
        </is>
      </c>
      <c r="R181" s="8" t="inlineStr">
        <is>
          <t>2 step(s) in its backend files answer "not ported" (see Not ported tab).</t>
        </is>
      </c>
      <c r="S181" s="8" t="inlineStr">
        <is>
          <t>One child's full record: profile, guardians, attendance, marks and remarks.</t>
        </is>
      </c>
    </row>
    <row r="182">
      <c r="A182" s="8" t="inlineStr">
        <is>
          <t>Faculty / Teacher</t>
        </is>
      </c>
      <c r="B182" s="8" t="inlineStr">
        <is>
          <t>My Classes</t>
        </is>
      </c>
      <c r="C182" s="8" t="inlineStr">
        <is>
          <t>My Classes</t>
        </is>
      </c>
      <c r="D182" s="8" t="inlineStr">
        <is>
          <t>Class 360</t>
        </is>
      </c>
      <c r="E182" s="10" t="inlineStr">
        <is>
          <t>Check</t>
        </is>
      </c>
      <c r="F182" s="8" t="inlineStr">
        <is>
          <t>core</t>
        </is>
      </c>
      <c r="G182" s="8" t="inlineStr">
        <is>
          <t>Must-Have</t>
        </is>
      </c>
      <c r="H182" s="8" t="inlineStr">
        <is>
          <t>assigned_classes</t>
        </is>
      </c>
      <c r="I182" s="8" t="inlineStr">
        <is>
          <t>faculty.my_classes.class_360</t>
        </is>
      </c>
      <c r="J182" s="8" t="inlineStr">
        <is>
          <t>web/src/features/shared/ClassOverview.tsx</t>
        </is>
      </c>
      <c r="K182" s="8" t="inlineStr"/>
      <c r="L182" s="8" t="n">
        <v>2</v>
      </c>
      <c r="M182" s="8" t="inlineStr">
        <is>
          <t>/class/sections
/class/{}/overview</t>
        </is>
      </c>
      <c r="N182" s="8" t="inlineStr">
        <is>
          <t>worker/src/routes/daily.ts</t>
        </is>
      </c>
      <c r="O182" s="8" t="n">
        <v>51</v>
      </c>
      <c r="P182" s="8" t="inlineStr">
        <is>
          <t>absence_followup_section_done
academic_years
applications
attendance_corrections
bell_schedules
board_memberships
campuses
class_subjects
classes
departments
… +41 more</t>
        </is>
      </c>
      <c r="Q182" s="8" t="inlineStr">
        <is>
          <t>d1_health.test.ts
feature_class_status.test.ts
session_activity.test.ts</t>
        </is>
      </c>
      <c r="R182" s="8" t="inlineStr">
        <is>
          <t>1 step(s) in its backend files answer "not ported" (see Not ported tab).</t>
        </is>
      </c>
      <c r="S182" s="8" t="inlineStr">
        <is>
          <t>Your class on a page: the children with contacts, their attendance and results, the timetable and subject teachers, with the actions you are allowed on your own section.</t>
        </is>
      </c>
    </row>
    <row r="183">
      <c r="A183" s="8" t="inlineStr">
        <is>
          <t>Faculty / Teacher</t>
        </is>
      </c>
      <c r="B183" s="8" t="inlineStr">
        <is>
          <t>My Classes</t>
        </is>
      </c>
      <c r="C183" s="8" t="inlineStr">
        <is>
          <t>Attendance</t>
        </is>
      </c>
      <c r="D183" s="8" t="inlineStr">
        <is>
          <t>Take attendance</t>
        </is>
      </c>
      <c r="E183" s="10" t="inlineStr">
        <is>
          <t>Check</t>
        </is>
      </c>
      <c r="F183" s="8" t="inlineStr">
        <is>
          <t>core</t>
        </is>
      </c>
      <c r="G183" s="8" t="inlineStr">
        <is>
          <t>Must-Have</t>
        </is>
      </c>
      <c r="H183" s="8" t="inlineStr">
        <is>
          <t>assigned_classes</t>
        </is>
      </c>
      <c r="I183" s="8" t="inlineStr">
        <is>
          <t>faculty.attendance.take_attendance</t>
        </is>
      </c>
      <c r="J183" s="8" t="inlineStr">
        <is>
          <t>web/src/features/shared/Attendance.tsx</t>
        </is>
      </c>
      <c r="K183" s="8" t="inlineStr"/>
      <c r="L183" s="8" t="n">
        <v>12</v>
      </c>
      <c r="M183" s="8" t="inlineStr">
        <is>
          <t>/academics/sections
/attendance
/attendance/day.csv
/attendance/informed
/setup/import/history
/setup/import/history/{}/content
/setup/import/history/{}/undo
/setup/import/{}
… +4 more</t>
        </is>
      </c>
      <c r="N183" s="8" t="inlineStr">
        <is>
          <t>worker/src/router.ts
worker/src/routes/academics.ts
worker/src/routes/daily.ts
worker/src/routes/setup/imports.ts
worker/src/routes/setup/staff.ts
worker/src/routes/students.ts</t>
        </is>
      </c>
      <c r="O183" s="8" t="n">
        <v>87</v>
      </c>
      <c r="P183" s="8" t="inlineStr">
        <is>
          <t>absence_followup_section_done
academic_years
activities
applications
attendance_corrections
audit_log
bell_schedules
biometric_devices
biometric_punches
board_memberships
… +77 more</t>
        </is>
      </c>
      <c r="Q183" s="8" t="inlineStr">
        <is>
          <t>access.test.ts
attendance.test.ts
auth.test.ts
fees.test.ts
lms_modules.test.ts
lms_nesting.test.ts
… +8 more</t>
        </is>
      </c>
      <c r="R183" s="8" t="inlineStr">
        <is>
          <t>1 step(s) in its backend files answer "not ported" (see Not ported tab).</t>
        </is>
      </c>
      <c r="S183" s="8" t="inlineStr">
        <is>
          <t>Fast daily or period/subject-wise attendance for assigned students.</t>
        </is>
      </c>
    </row>
    <row r="184">
      <c r="A184" s="8" t="inlineStr">
        <is>
          <t>Faculty / Teacher</t>
        </is>
      </c>
      <c r="B184" s="8" t="inlineStr">
        <is>
          <t>My Classes</t>
        </is>
      </c>
      <c r="C184" s="8" t="inlineStr">
        <is>
          <t>Attendance</t>
        </is>
      </c>
      <c r="D184" s="8" t="inlineStr">
        <is>
          <t>Attendance correction</t>
        </is>
      </c>
      <c r="E184" s="10" t="inlineStr">
        <is>
          <t>Check</t>
        </is>
      </c>
      <c r="F184" s="8" t="inlineStr">
        <is>
          <t>core</t>
        </is>
      </c>
      <c r="G184" s="8" t="inlineStr">
        <is>
          <t>Must-Have</t>
        </is>
      </c>
      <c r="H184" s="8" t="inlineStr">
        <is>
          <t>assigned_classes</t>
        </is>
      </c>
      <c r="I184" s="8" t="inlineStr">
        <is>
          <t>faculty.attendance.attendance_correction</t>
        </is>
      </c>
      <c r="J184" s="8" t="inlineStr">
        <is>
          <t>web/src/features/workflow/Corrections.tsx</t>
        </is>
      </c>
      <c r="K184" s="8" t="inlineStr"/>
      <c r="L184" s="8" t="n">
        <v>6</v>
      </c>
      <c r="M184" s="8" t="inlineStr">
        <is>
          <t>/academics/sections
/attendance
/attendance-workflow/corrections
/attendance-workflow/corrections/{}/decide
/attendance/nudge
/attention</t>
        </is>
      </c>
      <c r="N184" s="8" t="inlineStr">
        <is>
          <t>worker/src/routes/academics.ts
worker/src/routes/admin/loose.ts
worker/src/routes/daily.ts
worker/src/routes/hr/attendance.ts</t>
        </is>
      </c>
      <c r="O184" s="8" t="n">
        <v>75</v>
      </c>
      <c r="P184" s="8" t="inlineStr">
        <is>
          <t>absence_followup_section_done
academic_years
activities
api_keys
applications
attendance_corrections
bell_schedules
board_memberships
campuses
class_subjects
… +65 more</t>
        </is>
      </c>
      <c r="Q184" s="8" t="inlineStr">
        <is>
          <t>access.test.ts
attendance.test.ts
edge.test.ts
perf.test.ts
session_activity.test.ts
student_lms.test.ts</t>
        </is>
      </c>
      <c r="R184" s="8" t="inlineStr">
        <is>
          <t>2 step(s) in its backend files answer "not ported" (see Not ported tab).</t>
        </is>
      </c>
      <c r="S184" s="8" t="inlineStr">
        <is>
          <t>Request or process correction within permitted window/workflow.</t>
        </is>
      </c>
    </row>
    <row r="185">
      <c r="A185" s="8" t="inlineStr">
        <is>
          <t>Faculty / Teacher</t>
        </is>
      </c>
      <c r="B185" s="8" t="inlineStr">
        <is>
          <t>My Classes</t>
        </is>
      </c>
      <c r="C185" s="8" t="inlineStr">
        <is>
          <t>Attendance</t>
        </is>
      </c>
      <c r="D185" s="8" t="inlineStr">
        <is>
          <t>Absentee followup</t>
        </is>
      </c>
      <c r="E185" s="10" t="inlineStr">
        <is>
          <t>Check</t>
        </is>
      </c>
      <c r="F185" s="8" t="inlineStr">
        <is>
          <t>core</t>
        </is>
      </c>
      <c r="G185" s="8" t="inlineStr">
        <is>
          <t>Must-Have</t>
        </is>
      </c>
      <c r="H185" s="8" t="inlineStr">
        <is>
          <t>assigned_classes</t>
        </is>
      </c>
      <c r="I185" s="8" t="inlineStr">
        <is>
          <t>faculty.attendance.absentee_followup</t>
        </is>
      </c>
      <c r="J185" s="8" t="inlineStr">
        <is>
          <t>web/src/features/attendance/AbsenceFollowup.tsx</t>
        </is>
      </c>
      <c r="K185" s="8" t="inlineStr"/>
      <c r="L185" s="8" t="n">
        <v>2</v>
      </c>
      <c r="M185" s="8" t="inlineStr">
        <is>
          <t>/attendance/absentees
/attendance/absentees/section-done</t>
        </is>
      </c>
      <c r="N185" s="8" t="inlineStr">
        <is>
          <t>worker/src/routes/daily.ts</t>
        </is>
      </c>
      <c r="O185" s="8" t="n">
        <v>51</v>
      </c>
      <c r="P185" s="8" t="inlineStr">
        <is>
          <t>absence_followup_section_done
academic_years
applications
attendance_corrections
bell_schedules
board_memberships
campuses
class_subjects
classes
departments
… +41 more</t>
        </is>
      </c>
      <c r="Q185" s="8" t="inlineStr"/>
      <c r="R185" s="8" t="inlineStr">
        <is>
          <t>1 step(s) in its backend files answer "not ported" (see Not ported tab).</t>
        </is>
      </c>
      <c r="S185" s="8" t="inlineStr">
        <is>
          <t>Every child marked away today, section by section, with admission number and the father's and mother's numbers to tap-to-call, a Pending/Called dropdown and the reason the parent gave; Done at the foot of a section saves every response and stamps the section finished, the same screen reviews any past day, section by section.</t>
        </is>
      </c>
    </row>
    <row r="186">
      <c r="A186" s="8" t="inlineStr">
        <is>
          <t>Faculty / Teacher</t>
        </is>
      </c>
      <c r="B186" s="8" t="inlineStr">
        <is>
          <t>My Classes</t>
        </is>
      </c>
      <c r="C186" s="8" t="inlineStr">
        <is>
          <t>Attendance</t>
        </is>
      </c>
      <c r="D186" s="8" t="inlineStr">
        <is>
          <t>Present &amp; absent</t>
        </is>
      </c>
      <c r="E186" s="10" t="inlineStr">
        <is>
          <t>Check</t>
        </is>
      </c>
      <c r="F186" s="8" t="inlineStr">
        <is>
          <t>core</t>
        </is>
      </c>
      <c r="G186" s="8" t="inlineStr">
        <is>
          <t>Must-Have</t>
        </is>
      </c>
      <c r="H186" s="8" t="inlineStr">
        <is>
          <t>assigned_classes</t>
        </is>
      </c>
      <c r="I186" s="8" t="inlineStr">
        <is>
          <t>faculty.attendance.student_absentees</t>
        </is>
      </c>
      <c r="J186" s="8" t="inlineStr">
        <is>
          <t>web/src/features/attendance/StudentAbsentees.tsx</t>
        </is>
      </c>
      <c r="K186" s="8" t="inlineStr"/>
      <c r="L186" s="8" t="n">
        <v>1</v>
      </c>
      <c r="M186" s="8" t="inlineStr">
        <is>
          <t>/attendance/absentees</t>
        </is>
      </c>
      <c r="N186" s="8" t="inlineStr">
        <is>
          <t>worker/src/routes/daily.ts</t>
        </is>
      </c>
      <c r="O186" s="8" t="n">
        <v>51</v>
      </c>
      <c r="P186" s="8" t="inlineStr">
        <is>
          <t>absence_followup_section_done
academic_years
applications
attendance_corrections
bell_schedules
board_memberships
campuses
class_subjects
classes
departments
… +41 more</t>
        </is>
      </c>
      <c r="Q186" s="8" t="inlineStr"/>
      <c r="R186" s="8" t="inlineStr">
        <is>
          <t>1 step(s) in its backend files answer "not ported" (see Not ported tab).</t>
        </is>
      </c>
      <c r="S186" s="8" t="inlineStr">
        <is>
          <t>A read-only day-wise monitor with two tabs for the chosen date and section: Present lists every child who came in, and Absent lists every child marked away with their class and section, whether the parent has been called or is still pending, who made the call, and the parent's response. Refreshes on its own as calls are recorded, so a colleague's follow-up appears live without editing anything, the calling itself stays on Absentee followup.</t>
        </is>
      </c>
    </row>
    <row r="187">
      <c r="A187" s="8" t="inlineStr">
        <is>
          <t>Faculty / Teacher</t>
        </is>
      </c>
      <c r="B187" s="8" t="inlineStr">
        <is>
          <t>My Classes</t>
        </is>
      </c>
      <c r="C187" s="8" t="inlineStr">
        <is>
          <t>Attendance</t>
        </is>
      </c>
      <c r="D187" s="8" t="inlineStr">
        <is>
          <t>Offline Attendance &amp; Diary Capture</t>
        </is>
      </c>
      <c r="E187" s="11" t="inlineStr">
        <is>
          <t>Good</t>
        </is>
      </c>
      <c r="F187" s="8" t="inlineStr">
        <is>
          <t>core</t>
        </is>
      </c>
      <c r="G187" s="8" t="inlineStr">
        <is>
          <t>Nice-to-Have</t>
        </is>
      </c>
      <c r="H187" s="8" t="inlineStr">
        <is>
          <t>assigned_classes</t>
        </is>
      </c>
      <c r="I187" s="8" t="inlineStr">
        <is>
          <t>faculty.attendance.offline_attendance_diary_capture</t>
        </is>
      </c>
      <c r="J187" s="8" t="inlineStr">
        <is>
          <t>web/src/features/faculty/OfflineRegister.tsx</t>
        </is>
      </c>
      <c r="K187" s="8" t="inlineStr"/>
      <c r="L187" s="8" t="n">
        <v>6</v>
      </c>
      <c r="M187" s="8" t="inlineStr">
        <is>
          <t>/classroom/attendance/capture
/classroom/attendance/conflicts
/classroom/attendance/conflicts/{}/resolve
/classroom/diary
/teaching/classes
/teaching/progress</t>
        </is>
      </c>
      <c r="N187" s="8" t="inlineStr">
        <is>
          <t>worker/src/routes/comms/capture.ts
worker/src/routes/teaching/dashboards.ts</t>
        </is>
      </c>
      <c r="O187" s="8" t="n">
        <v>43</v>
      </c>
      <c r="P187" s="8" t="inlineStr">
        <is>
          <t>academic_years
announcement_acks
announcements
applications
attendance_capture_batches
attendance_capture_conflicts
class_diary_entries
class_subjects
classes
departments
… +33 more</t>
        </is>
      </c>
      <c r="Q187" s="8" t="inlineStr"/>
      <c r="R187" s="8" t="inlineStr"/>
      <c r="S187" s="8" t="inlineStr">
        <is>
          <t>Mark attendance and write diary notes with no network, held on the device and synchronised automatically once a connection returns.</t>
        </is>
      </c>
    </row>
    <row r="188">
      <c r="A188" s="8" t="inlineStr">
        <is>
          <t>Faculty / Teacher</t>
        </is>
      </c>
      <c r="B188" s="8" t="inlineStr">
        <is>
          <t>Teaching</t>
        </is>
      </c>
      <c r="C188" s="8" t="inlineStr">
        <is>
          <t>Teaching</t>
        </is>
      </c>
      <c r="D188" s="8" t="inlineStr">
        <is>
          <t>Homework / classwork</t>
        </is>
      </c>
      <c r="E188" s="10" t="inlineStr">
        <is>
          <t>Check</t>
        </is>
      </c>
      <c r="F188" s="8" t="inlineStr">
        <is>
          <t>core</t>
        </is>
      </c>
      <c r="G188" s="8" t="inlineStr">
        <is>
          <t>Should-Have</t>
        </is>
      </c>
      <c r="H188" s="8" t="inlineStr">
        <is>
          <t>assigned_classes</t>
        </is>
      </c>
      <c r="I188" s="8" t="inlineStr">
        <is>
          <t>faculty.teaching.homework_classwork</t>
        </is>
      </c>
      <c r="J188" s="8" t="inlineStr">
        <is>
          <t>web/src/features/workflow/Homework.tsx</t>
        </is>
      </c>
      <c r="K188" s="8" t="inlineStr"/>
      <c r="L188" s="8" t="n">
        <v>8</v>
      </c>
      <c r="M188" s="8" t="inlineStr">
        <is>
          <t>/academics/sections
/academics/subjects
/files
/files/{}
/homework
/homework/{}/submissions
/homework/{}/submit
/session</t>
        </is>
      </c>
      <c r="N188" s="8" t="inlineStr">
        <is>
          <t>worker/src/routes/academics.ts
worker/src/routes/daily.ts
worker/src/routes/misc/files.ts
worker/src/routes/misc/profile.ts</t>
        </is>
      </c>
      <c r="O188" s="8" t="n">
        <v>68</v>
      </c>
      <c r="P188" s="8" t="inlineStr">
        <is>
          <t>absence_followup_section_done
academic_years
activities
application_documents
applications
attendance_corrections
bell_schedules
board_memberships
campuses
class_subjects
… +58 more</t>
        </is>
      </c>
      <c r="Q188" s="8" t="inlineStr">
        <is>
          <t>access.test.ts
admissions_rte.test.ts
auth.test.ts
edge.test.ts
session_activity.test.ts
student_lms.test.ts</t>
        </is>
      </c>
      <c r="R188" s="8" t="inlineStr">
        <is>
          <t>1 step(s) in its backend files answer "not ported" (see Not ported tab).</t>
        </is>
      </c>
      <c r="S188" s="8" t="inlineStr">
        <is>
          <t>Create homework/classwork with due date, attachments and instructions.</t>
        </is>
      </c>
    </row>
    <row r="189">
      <c r="A189" s="8" t="inlineStr">
        <is>
          <t>Faculty / Teacher</t>
        </is>
      </c>
      <c r="B189" s="8" t="inlineStr">
        <is>
          <t>Teaching</t>
        </is>
      </c>
      <c r="C189" s="8" t="inlineStr">
        <is>
          <t>Teaching</t>
        </is>
      </c>
      <c r="D189" s="8" t="inlineStr">
        <is>
          <t>Assignments &amp; submissions</t>
        </is>
      </c>
      <c r="E189" s="10" t="inlineStr">
        <is>
          <t>Check</t>
        </is>
      </c>
      <c r="F189" s="8" t="inlineStr">
        <is>
          <t>core</t>
        </is>
      </c>
      <c r="G189" s="8" t="inlineStr">
        <is>
          <t>Must-Have</t>
        </is>
      </c>
      <c r="H189" s="8" t="inlineStr">
        <is>
          <t>assigned_classes</t>
        </is>
      </c>
      <c r="I189" s="8" t="inlineStr">
        <is>
          <t>faculty.teaching.assignments_submissions</t>
        </is>
      </c>
      <c r="J189" s="8" t="inlineStr">
        <is>
          <t>web/src/features/faculty/Assignments.tsx</t>
        </is>
      </c>
      <c r="K189" s="8" t="inlineStr"/>
      <c r="L189" s="8" t="n">
        <v>6</v>
      </c>
      <c r="M189" s="8" t="inlineStr">
        <is>
          <t>/homework
/teaching/assignments
/teaching/assignments/{}/grade
/teaching/assignments/{}/submissions
/teaching/classes
/teaching/subjects</t>
        </is>
      </c>
      <c r="N189" s="8" t="inlineStr">
        <is>
          <t>worker/src/routes/daily.ts
worker/src/routes/teaching/classwork.ts
worker/src/routes/teaching/dashboards.ts</t>
        </is>
      </c>
      <c r="O189" s="8" t="n">
        <v>66</v>
      </c>
      <c r="P189" s="8" t="inlineStr">
        <is>
          <t>absence_followup_section_done
academic_years
announcement_acks
announcements
applications
attendance_corrections
bell_schedules
board_memberships
campuses
class_subjects
… +56 more</t>
        </is>
      </c>
      <c r="Q189" s="8" t="inlineStr">
        <is>
          <t>session_activity.test.ts
student_lms.test.ts</t>
        </is>
      </c>
      <c r="R189" s="8" t="inlineStr">
        <is>
          <t>1 step(s) in its backend files answer "not ported" (see Not ported tab).</t>
        </is>
      </c>
      <c r="S189" s="8" t="inlineStr">
        <is>
          <t>Create assignments, review submissions, grade and add feedback.</t>
        </is>
      </c>
    </row>
    <row r="190">
      <c r="A190" s="8" t="inlineStr">
        <is>
          <t>Faculty / Teacher</t>
        </is>
      </c>
      <c r="B190" s="8" t="inlineStr">
        <is>
          <t>Teaching</t>
        </is>
      </c>
      <c r="C190" s="8" t="inlineStr">
        <is>
          <t>Teaching</t>
        </is>
      </c>
      <c r="D190" s="8" t="inlineStr">
        <is>
          <t>Lesson plans / content</t>
        </is>
      </c>
      <c r="E190" s="11" t="inlineStr">
        <is>
          <t>Good</t>
        </is>
      </c>
      <c r="F190" s="8" t="inlineStr">
        <is>
          <t>core</t>
        </is>
      </c>
      <c r="G190" s="8" t="inlineStr">
        <is>
          <t>Must-Have</t>
        </is>
      </c>
      <c r="H190" s="8" t="inlineStr">
        <is>
          <t>assigned_classes</t>
        </is>
      </c>
      <c r="I190" s="8" t="inlineStr">
        <is>
          <t>faculty.teaching.lesson_plans_content</t>
        </is>
      </c>
      <c r="J190" s="8" t="inlineStr">
        <is>
          <t>web/src/features/academics/Syllabus.tsx</t>
        </is>
      </c>
      <c r="K190" s="8" t="inlineStr"/>
      <c r="L190" s="8" t="n">
        <v>8</v>
      </c>
      <c r="M190" s="8" t="inlineStr">
        <is>
          <t>/academics/sections
/files
/session
/setup/class-subjects
/syllabus/coverage
/syllabus/lesson-plans
/syllabus/lesson-plans/{}/decide
/syllabus/units</t>
        </is>
      </c>
      <c r="N190" s="8" t="inlineStr">
        <is>
          <t>worker/src/routes/academics.ts
worker/src/routes/misc/files.ts
worker/src/routes/misc/profile.ts
worker/src/routes/setup/academics.ts</t>
        </is>
      </c>
      <c r="O190" s="8" t="n">
        <v>51</v>
      </c>
      <c r="P190" s="8" t="inlineStr">
        <is>
          <t>academic_years
activities
application_documents
bell_schedules
campuses
class_subjects
classes
co_scholastic_areas
employee_documents
employee_year_history
… +41 more</t>
        </is>
      </c>
      <c r="Q190" s="8" t="inlineStr">
        <is>
          <t>access.test.ts
admissions_rte.test.ts
auth.test.ts
edge.test.ts
session_activity.test.ts</t>
        </is>
      </c>
      <c r="R190" s="8" t="inlineStr"/>
      <c r="S190" s="8" t="inlineStr">
        <is>
          <t>Plan lessons and attach learning resources when LMS/lesson planning is enabled.</t>
        </is>
      </c>
    </row>
    <row r="191">
      <c r="A191" s="8" t="inlineStr">
        <is>
          <t>Faculty / Teacher</t>
        </is>
      </c>
      <c r="B191" s="8" t="inlineStr">
        <is>
          <t>Teaching</t>
        </is>
      </c>
      <c r="C191" s="8" t="inlineStr">
        <is>
          <t>Teaching</t>
        </is>
      </c>
      <c r="D191" s="8" t="inlineStr">
        <is>
          <t>LMS Study Material Upload</t>
        </is>
      </c>
      <c r="E191" s="11" t="inlineStr">
        <is>
          <t>Good</t>
        </is>
      </c>
      <c r="F191" s="8" t="inlineStr">
        <is>
          <t>core</t>
        </is>
      </c>
      <c r="G191" s="8" t="inlineStr">
        <is>
          <t>Should-Have</t>
        </is>
      </c>
      <c r="H191" s="8" t="inlineStr">
        <is>
          <t>assigned_classes</t>
        </is>
      </c>
      <c r="I191" s="8" t="inlineStr">
        <is>
          <t>faculty.teaching.lms_study_material_upload</t>
        </is>
      </c>
      <c r="J191" s="8" t="inlineStr">
        <is>
          <t>web/src/features/faculty/TeacherLMS.tsx</t>
        </is>
      </c>
      <c r="K191" s="8" t="inlineStr"/>
      <c r="L191" s="8" t="n">
        <v>39</v>
      </c>
      <c r="M191" s="8" t="inlineStr">
        <is>
          <t>/files
/files/{}
/lms/ai/quiz-draft
/lms/assignments
/lms/assignments/{}/grade
/lms/assignments/{}/gradebook
/lms/assignments/{}/nudge
/lms/assignments/{}/return
… +31 more</t>
        </is>
      </c>
      <c r="N191" s="8" t="inlineStr">
        <is>
          <t>worker/src/routes/misc/files.ts
worker/src/routes/portal/lms.ts
worker/src/routes/teaching/lms.ts
worker/src/routes/teaching/videos.ts</t>
        </is>
      </c>
      <c r="O191" s="8" t="n">
        <v>43</v>
      </c>
      <c r="P191" s="8" t="inlineStr">
        <is>
          <t>announcement_sections
announcements
application_documents
class_subjects
classes
employee_documents
employees
enrollments
exam_subjects
exams
… +33 more</t>
        </is>
      </c>
      <c r="Q191" s="8" t="inlineStr">
        <is>
          <t>lms_modules.test.ts
lms_nesting.test.ts
lms_progression.test.ts
lms_videos.test.ts
perf.test.ts
student_lms.test.ts</t>
        </is>
      </c>
      <c r="R191" s="8" t="inlineStr"/>
      <c r="S191" s="8" t="inlineStr">
        <is>
          <t>Upload PDF notes, audio recordings, video links, and presentation slides per subject chapter.</t>
        </is>
      </c>
    </row>
    <row r="192">
      <c r="A192" s="8" t="inlineStr">
        <is>
          <t>Faculty / Teacher</t>
        </is>
      </c>
      <c r="B192" s="8" t="inlineStr">
        <is>
          <t>Teaching</t>
        </is>
      </c>
      <c r="C192" s="8" t="inlineStr">
        <is>
          <t>Timetable</t>
        </is>
      </c>
      <c r="D192" s="8" t="inlineStr">
        <is>
          <t>My timetable</t>
        </is>
      </c>
      <c r="E192" s="10" t="inlineStr">
        <is>
          <t>Check</t>
        </is>
      </c>
      <c r="F192" s="8" t="inlineStr">
        <is>
          <t>core</t>
        </is>
      </c>
      <c r="G192" s="8" t="inlineStr">
        <is>
          <t>Must-Have</t>
        </is>
      </c>
      <c r="H192" s="8" t="inlineStr">
        <is>
          <t>assigned_classes</t>
        </is>
      </c>
      <c r="I192" s="8" t="inlineStr">
        <is>
          <t>faculty.timetable.my_timetable</t>
        </is>
      </c>
      <c r="J192" s="8" t="inlineStr">
        <is>
          <t>web/src/features/shared/Timetable.tsx</t>
        </is>
      </c>
      <c r="K192" s="8" t="inlineStr"/>
      <c r="L192" s="8" t="n">
        <v>5</v>
      </c>
      <c r="M192" s="8" t="inlineStr">
        <is>
          <t>/academics/sections
/session
/timetable/entries
/timetable/periods
/timetable/teachers</t>
        </is>
      </c>
      <c r="N192" s="8" t="inlineStr">
        <is>
          <t>worker/src/routes/academics.ts
worker/src/routes/daily.ts
worker/src/routes/misc/profile.ts</t>
        </is>
      </c>
      <c r="O192" s="8" t="n">
        <v>65</v>
      </c>
      <c r="P192" s="8" t="inlineStr">
        <is>
          <t>absence_followup_section_done
academic_years
activities
applications
attendance_corrections
bell_schedules
board_memberships
campuses
class_subjects
classes
… +55 more</t>
        </is>
      </c>
      <c r="Q192" s="8" t="inlineStr">
        <is>
          <t>access.test.ts
admissions_rte.test.ts
auth.test.ts
edge.test.ts
session_activity.test.ts</t>
        </is>
      </c>
      <c r="R192" s="8" t="inlineStr">
        <is>
          <t>1 step(s) in its backend files answer "not ported" (see Not ported tab).</t>
        </is>
      </c>
      <c r="S192" s="8" t="inlineStr">
        <is>
          <t>Daily/weekly teaching schedule, rooms/labs and substitutions.</t>
        </is>
      </c>
    </row>
    <row r="193">
      <c r="A193" s="8" t="inlineStr">
        <is>
          <t>Faculty / Teacher</t>
        </is>
      </c>
      <c r="B193" s="8" t="inlineStr">
        <is>
          <t>Teaching</t>
        </is>
      </c>
      <c r="C193" s="8" t="inlineStr">
        <is>
          <t>Timetable</t>
        </is>
      </c>
      <c r="D193" s="8" t="inlineStr">
        <is>
          <t>Substitution Request Submission</t>
        </is>
      </c>
      <c r="E193" s="11" t="inlineStr">
        <is>
          <t>Good</t>
        </is>
      </c>
      <c r="F193" s="8" t="inlineStr">
        <is>
          <t>core</t>
        </is>
      </c>
      <c r="G193" s="8" t="inlineStr">
        <is>
          <t>Should-Have</t>
        </is>
      </c>
      <c r="H193" s="8" t="inlineStr">
        <is>
          <t>assigned_classes</t>
        </is>
      </c>
      <c r="I193" s="8" t="inlineStr">
        <is>
          <t>faculty.timetable.substitution_request_submission</t>
        </is>
      </c>
      <c r="J193" s="8" t="inlineStr">
        <is>
          <t>web/src/features/faculty/SubstitutionRequest.tsx</t>
        </is>
      </c>
      <c r="K193" s="8" t="inlineStr"/>
      <c r="L193" s="8" t="n">
        <v>5</v>
      </c>
      <c r="M193" s="8" t="inlineStr">
        <is>
          <t>/timetable-cover/my-periods
/timetable-cover/requests
/timetable-cover/requests/{}
/timetable-cover/requests/{}/cancel
/timetable-cover/requests/{}/decide</t>
        </is>
      </c>
      <c r="N193" s="8" t="inlineStr">
        <is>
          <t>worker/src/routes/scheduling/cover.ts</t>
        </is>
      </c>
      <c r="O193" s="8" t="n">
        <v>17</v>
      </c>
      <c r="P193" s="8" t="inlineStr">
        <is>
          <t>class_subjects
classes
employees
holidays
leave_requests
periods
section_subject_teachers
sections
staff_attendance
subjects
… +7 more</t>
        </is>
      </c>
      <c r="Q193" s="8" t="inlineStr"/>
      <c r="R193" s="8" t="inlineStr"/>
      <c r="S193" s="8" t="inlineStr">
        <is>
          <t>Request advance leave and propose peer faculty substitution for approval.</t>
        </is>
      </c>
    </row>
    <row r="194">
      <c r="A194" s="8" t="inlineStr">
        <is>
          <t>Faculty / Teacher</t>
        </is>
      </c>
      <c r="B194" s="8" t="inlineStr">
        <is>
          <t>Assessments</t>
        </is>
      </c>
      <c r="C194" s="8" t="inlineStr">
        <is>
          <t>Marks &amp; Report Cards</t>
        </is>
      </c>
      <c r="D194" s="8" t="inlineStr">
        <is>
          <t>Marks entry</t>
        </is>
      </c>
      <c r="E194" s="11" t="inlineStr">
        <is>
          <t>Good</t>
        </is>
      </c>
      <c r="F194" s="8" t="inlineStr">
        <is>
          <t>core</t>
        </is>
      </c>
      <c r="G194" s="8" t="inlineStr">
        <is>
          <t>Must-Have</t>
        </is>
      </c>
      <c r="H194" s="8" t="inlineStr">
        <is>
          <t>assigned_classes</t>
        </is>
      </c>
      <c r="I194" s="8" t="inlineStr">
        <is>
          <t>faculty.marks_report_cards.marks_entry</t>
        </is>
      </c>
      <c r="J194" s="8" t="inlineStr">
        <is>
          <t>web/src/features/exams/Gradebook.tsx</t>
        </is>
      </c>
      <c r="K194" s="8" t="inlineStr"/>
      <c r="L194" s="8" t="n">
        <v>6</v>
      </c>
      <c r="M194" s="8" t="inlineStr">
        <is>
          <t>/academics/sections
/exams/gradebook
/exams/marks
/exams/subjects
/exams/subjects/{}/setup
/setup/grading-scales</t>
        </is>
      </c>
      <c r="N194" s="8" t="inlineStr">
        <is>
          <t>worker/src/routes/academics.ts
worker/src/routes/exams.ts
worker/src/routes/setup/academics.ts</t>
        </is>
      </c>
      <c r="O194" s="8" t="n">
        <v>56</v>
      </c>
      <c r="P194" s="8" t="inlineStr">
        <is>
          <t>academic_years
activities
bell_schedules
branding_profiles
campuses
certificate_types
class_subjects
classes
co_scholastic_areas
employee_year_history
… +46 more</t>
        </is>
      </c>
      <c r="Q194" s="8" t="inlineStr">
        <is>
          <t>exams.test.ts</t>
        </is>
      </c>
      <c r="R194" s="8" t="inlineStr"/>
      <c r="S194" s="8" t="inlineStr">
        <is>
          <t>Enter internal/exam marks for assigned subjects; validate before submission.</t>
        </is>
      </c>
    </row>
    <row r="195">
      <c r="A195" s="8" t="inlineStr">
        <is>
          <t>Faculty / Teacher</t>
        </is>
      </c>
      <c r="B195" s="8" t="inlineStr">
        <is>
          <t>Assessments</t>
        </is>
      </c>
      <c r="C195" s="8" t="inlineStr">
        <is>
          <t>Marks &amp; Report Cards</t>
        </is>
      </c>
      <c r="D195" s="8" t="inlineStr">
        <is>
          <t>Report cards</t>
        </is>
      </c>
      <c r="E195" s="11" t="inlineStr">
        <is>
          <t>Good</t>
        </is>
      </c>
      <c r="F195" s="8" t="inlineStr">
        <is>
          <t>core</t>
        </is>
      </c>
      <c r="G195" s="8" t="inlineStr">
        <is>
          <t>Must-Have</t>
        </is>
      </c>
      <c r="H195" s="8" t="inlineStr">
        <is>
          <t>assigned_classes</t>
        </is>
      </c>
      <c r="I195" s="8" t="inlineStr">
        <is>
          <t>faculty.marks_report_cards.report_cards</t>
        </is>
      </c>
      <c r="J195" s="8" t="inlineStr">
        <is>
          <t>web/src/features/exams/ReportCards.tsx</t>
        </is>
      </c>
      <c r="K195" s="8" t="inlineStr"/>
      <c r="L195" s="8" t="n">
        <v>21</v>
      </c>
      <c r="M195" s="8" t="inlineStr">
        <is>
          <t>/academics/sections
/exams/list
/exams/my-signature
/exams/report-cards
/exams/report-cards/generate
/exams/report-cards/pending
/exams/report-cards/readiness
/exams/report-cards/render
… +13 more</t>
        </is>
      </c>
      <c r="N195" s="8" t="inlineStr">
        <is>
          <t>worker/src/router.ts
worker/src/routes/academics.ts
worker/src/routes/exams.ts
worker/src/routes/misc/files.ts
worker/src/routes/setup/imports.ts
worker/src/routes/setup/staff.ts
… +1 more</t>
        </is>
      </c>
      <c r="O195" s="8" t="n">
        <v>88</v>
      </c>
      <c r="P195" s="8" t="inlineStr">
        <is>
          <t>academic_years
activities
application_documents
audit_log
bell_schedules
biometric_devices
biometric_punches
branding_profiles
campuses
certificate_types
… +78 more</t>
        </is>
      </c>
      <c r="Q195" s="8" t="inlineStr">
        <is>
          <t>access.test.ts
auth.test.ts
exams.test.ts
fees.test.ts
lms_modules.test.ts
lms_nesting.test.ts
… +7 more</t>
        </is>
      </c>
      <c r="R195" s="8" t="inlineStr"/>
      <c r="S195" s="8" t="inlineStr">
        <is>
          <t>Generate and issue the report card for every child in the class.</t>
        </is>
      </c>
    </row>
    <row r="196">
      <c r="A196" s="8" t="inlineStr">
        <is>
          <t>Faculty / Teacher</t>
        </is>
      </c>
      <c r="B196" s="8" t="inlineStr">
        <is>
          <t>Assessments</t>
        </is>
      </c>
      <c r="C196" s="8" t="inlineStr">
        <is>
          <t>Assessment Schemes</t>
        </is>
      </c>
      <c r="D196" s="8" t="inlineStr">
        <is>
          <t>CCE Formative Assessment Entry</t>
        </is>
      </c>
      <c r="E196" s="11" t="inlineStr">
        <is>
          <t>Good</t>
        </is>
      </c>
      <c r="F196" s="8" t="inlineStr">
        <is>
          <t>advanced</t>
        </is>
      </c>
      <c r="G196" s="8" t="inlineStr">
        <is>
          <t>Must-Have</t>
        </is>
      </c>
      <c r="H196" s="8" t="inlineStr">
        <is>
          <t>assigned_classes</t>
        </is>
      </c>
      <c r="I196" s="8" t="inlineStr">
        <is>
          <t>faculty.assessment_schemes.cce_formative_assessment_entry</t>
        </is>
      </c>
      <c r="J196" s="8" t="inlineStr">
        <is>
          <t>web/src/features/faculty/CCEFormative.tsx</t>
        </is>
      </c>
      <c r="K196" s="8" t="inlineStr"/>
      <c r="L196" s="8" t="n">
        <v>3</v>
      </c>
      <c r="M196" s="8" t="inlineStr">
        <is>
          <t>/teaching/cce/formative
/teaching/classes
/teaching/subjects</t>
        </is>
      </c>
      <c r="N196" s="8" t="inlineStr">
        <is>
          <t>worker/src/routes/teaching/assessment.ts
worker/src/routes/teaching/classwork.ts
worker/src/routes/teaching/dashboards.ts</t>
        </is>
      </c>
      <c r="O196" s="8" t="n">
        <v>53</v>
      </c>
      <c r="P196" s="8" t="inlineStr">
        <is>
          <t>academic_years
announcement_acks
announcements
applications
cce_formative_entries
class_subjects
classes
departments
designations
discipline_records
… +43 more</t>
        </is>
      </c>
      <c r="Q196" s="8" t="inlineStr"/>
      <c r="R196" s="8" t="inlineStr"/>
      <c r="S196" s="8" t="inlineStr">
        <is>
          <t>Record FA1 to FA4 formative marks out of 20 covering written work, project, slip test and participation.</t>
        </is>
      </c>
    </row>
    <row r="197">
      <c r="A197" s="8" t="inlineStr">
        <is>
          <t>Faculty / Teacher</t>
        </is>
      </c>
      <c r="B197" s="8" t="inlineStr">
        <is>
          <t>Assessments</t>
        </is>
      </c>
      <c r="C197" s="8" t="inlineStr">
        <is>
          <t>Assessment Schemes</t>
        </is>
      </c>
      <c r="D197" s="8" t="inlineStr">
        <is>
          <t>CCE Summative Assessment Entry</t>
        </is>
      </c>
      <c r="E197" s="11" t="inlineStr">
        <is>
          <t>Good</t>
        </is>
      </c>
      <c r="F197" s="8" t="inlineStr">
        <is>
          <t>advanced</t>
        </is>
      </c>
      <c r="G197" s="8" t="inlineStr">
        <is>
          <t>Must-Have</t>
        </is>
      </c>
      <c r="H197" s="8" t="inlineStr">
        <is>
          <t>assigned_classes</t>
        </is>
      </c>
      <c r="I197" s="8" t="inlineStr">
        <is>
          <t>faculty.assessment_schemes.cce_summative_assessment_entry</t>
        </is>
      </c>
      <c r="J197" s="8" t="inlineStr">
        <is>
          <t>web/src/features/faculty/CCESummative.tsx</t>
        </is>
      </c>
      <c r="K197" s="8" t="inlineStr"/>
      <c r="L197" s="8" t="n">
        <v>4</v>
      </c>
      <c r="M197" s="8" t="inlineStr">
        <is>
          <t>/teaching/cce/summative
/teaching/cce/summative/roster
/teaching/classes
/teaching/subjects</t>
        </is>
      </c>
      <c r="N197" s="8" t="inlineStr">
        <is>
          <t>worker/src/routes/teaching/assessment.ts
worker/src/routes/teaching/classwork.ts
worker/src/routes/teaching/dashboards.ts</t>
        </is>
      </c>
      <c r="O197" s="8" t="n">
        <v>53</v>
      </c>
      <c r="P197" s="8" t="inlineStr">
        <is>
          <t>academic_years
announcement_acks
announcements
applications
cce_formative_entries
class_subjects
classes
departments
designations
discipline_records
… +43 more</t>
        </is>
      </c>
      <c r="Q197" s="8" t="inlineStr"/>
      <c r="R197" s="8" t="inlineStr"/>
      <c r="S197" s="8" t="inlineStr">
        <is>
          <t>Record SA1 to SA3 summative marks out of 80 as per the state board CCE scheme.</t>
        </is>
      </c>
    </row>
    <row r="198">
      <c r="A198" s="8" t="inlineStr">
        <is>
          <t>Faculty / Teacher</t>
        </is>
      </c>
      <c r="B198" s="8" t="inlineStr">
        <is>
          <t>Assessments</t>
        </is>
      </c>
      <c r="C198" s="8" t="inlineStr">
        <is>
          <t>Question Papers &amp; Online Tests</t>
        </is>
      </c>
      <c r="D198" s="8" t="inlineStr">
        <is>
          <t>Question Bank Management</t>
        </is>
      </c>
      <c r="E198" s="11" t="inlineStr">
        <is>
          <t>Good</t>
        </is>
      </c>
      <c r="F198" s="8" t="inlineStr">
        <is>
          <t>advanced</t>
        </is>
      </c>
      <c r="G198" s="8" t="inlineStr">
        <is>
          <t>Should-Have</t>
        </is>
      </c>
      <c r="H198" s="8" t="inlineStr">
        <is>
          <t>assigned_classes</t>
        </is>
      </c>
      <c r="I198" s="8" t="inlineStr">
        <is>
          <t>faculty.question_papers_online_tests.question_bank_management</t>
        </is>
      </c>
      <c r="J198" s="8" t="inlineStr">
        <is>
          <t>web/src/features/faculty/QuestionBank.tsx</t>
        </is>
      </c>
      <c r="K198" s="8" t="inlineStr"/>
      <c r="L198" s="8" t="n">
        <v>7</v>
      </c>
      <c r="M198" s="8" t="inlineStr">
        <is>
          <t>/teaching/classes
/teaching/question-bank
/teaching/question-bank/generate
/teaching/question-bank/generate/save
/teaching/question-bank/summary
/teaching/question-bank/{}
/teaching/subjects</t>
        </is>
      </c>
      <c r="N198" s="8" t="inlineStr">
        <is>
          <t>worker/src/routes/teaching/assessment.ts
worker/src/routes/teaching/classwork.ts
worker/src/routes/teaching/dashboards.ts</t>
        </is>
      </c>
      <c r="O198" s="8" t="n">
        <v>53</v>
      </c>
      <c r="P198" s="8" t="inlineStr">
        <is>
          <t>academic_years
announcement_acks
announcements
applications
cce_formative_entries
class_subjects
classes
departments
designations
discipline_records
… +43 more</t>
        </is>
      </c>
      <c r="Q198" s="8" t="inlineStr"/>
      <c r="R198" s="8" t="inlineStr"/>
      <c r="S198" s="8" t="inlineStr">
        <is>
          <t>Create objective/subjective question banks tagged by chapter, difficulty, and Bloom's level.</t>
        </is>
      </c>
    </row>
    <row r="199">
      <c r="A199" s="8" t="inlineStr">
        <is>
          <t>Faculty / Teacher</t>
        </is>
      </c>
      <c r="B199" s="8" t="inlineStr">
        <is>
          <t>Assessments</t>
        </is>
      </c>
      <c r="C199" s="8" t="inlineStr">
        <is>
          <t>Question Papers &amp; Online Tests</t>
        </is>
      </c>
      <c r="D199" s="8" t="inlineStr">
        <is>
          <t>AI Examcell Paper Generator</t>
        </is>
      </c>
      <c r="E199" s="11" t="inlineStr">
        <is>
          <t>Good</t>
        </is>
      </c>
      <c r="F199" s="8" t="inlineStr">
        <is>
          <t>advanced</t>
        </is>
      </c>
      <c r="G199" s="8" t="inlineStr">
        <is>
          <t>Nice-to-Have</t>
        </is>
      </c>
      <c r="H199" s="8" t="inlineStr">
        <is>
          <t>assigned_classes</t>
        </is>
      </c>
      <c r="I199" s="8" t="inlineStr">
        <is>
          <t>faculty.question_papers_online_tests.ai_examcell_paper_generator</t>
        </is>
      </c>
      <c r="J199" s="8" t="inlineStr">
        <is>
          <t>web/src/features/faculty/PaperFromBlueprint.tsx</t>
        </is>
      </c>
      <c r="K199" s="8" t="inlineStr"/>
      <c r="L199" s="8" t="n">
        <v>4</v>
      </c>
      <c r="M199" s="8" t="inlineStr">
        <is>
          <t>/teaching/classes
/teaching/question-bank
/teaching/question-bank/compose
/teaching/subjects</t>
        </is>
      </c>
      <c r="N199" s="8" t="inlineStr">
        <is>
          <t>worker/src/routes/teaching/assessment.ts
worker/src/routes/teaching/classwork.ts
worker/src/routes/teaching/dashboards.ts</t>
        </is>
      </c>
      <c r="O199" s="8" t="n">
        <v>53</v>
      </c>
      <c r="P199" s="8" t="inlineStr">
        <is>
          <t>academic_years
announcement_acks
announcements
applications
cce_formative_entries
class_subjects
classes
departments
designations
discipline_records
… +43 more</t>
        </is>
      </c>
      <c r="Q199" s="8" t="inlineStr"/>
      <c r="R199" s="8" t="inlineStr"/>
      <c r="S199" s="8" t="inlineStr">
        <is>
          <t>A paper drawn from the question bank by blueprint: so many of each difficulty, kind, chapter and mark value, at random. Nothing is written; a row the bank cannot fill says by how many.</t>
        </is>
      </c>
    </row>
    <row r="200">
      <c r="A200" s="8" t="inlineStr">
        <is>
          <t>Faculty / Teacher</t>
        </is>
      </c>
      <c r="B200" s="8" t="inlineStr">
        <is>
          <t>Assessments</t>
        </is>
      </c>
      <c r="C200" s="8" t="inlineStr">
        <is>
          <t>Question Papers &amp; Online Tests</t>
        </is>
      </c>
      <c r="D200" s="8" t="inlineStr">
        <is>
          <t>Ved AI Assessment Assistant</t>
        </is>
      </c>
      <c r="E200" s="12" t="inlineStr">
        <is>
          <t>Planned</t>
        </is>
      </c>
      <c r="F200" s="8" t="inlineStr">
        <is>
          <t>advanced</t>
        </is>
      </c>
      <c r="G200" s="8" t="inlineStr">
        <is>
          <t>Nice-to-Have</t>
        </is>
      </c>
      <c r="H200" s="8" t="inlineStr">
        <is>
          <t>assigned_classes</t>
        </is>
      </c>
      <c r="I200" s="8" t="inlineStr">
        <is>
          <t>faculty.question_papers_online_tests.ved_ai_assessment_assistant</t>
        </is>
      </c>
      <c r="J200" s="8" t="inlineStr"/>
      <c r="K200" s="8" t="inlineStr"/>
      <c r="L200" s="8" t="n">
        <v>0</v>
      </c>
      <c r="M200" s="8" t="inlineStr"/>
      <c r="N200" s="8" t="inlineStr"/>
      <c r="O200" s="8" t="n">
        <v>0</v>
      </c>
      <c r="P200" s="8" t="inlineStr"/>
      <c r="Q200" s="8" t="inlineStr"/>
      <c r="R200" s="8" t="inlineStr">
        <is>
          <t>In the catalogue, no screen built yet.</t>
        </is>
      </c>
      <c r="S200" s="8" t="inlineStr">
        <is>
          <t>Not buildable here: needs a language model to suggest rubric criteria, quiz questions and essay prompts, and this deployment has none.</t>
        </is>
      </c>
    </row>
    <row r="201">
      <c r="A201" s="8" t="inlineStr">
        <is>
          <t>Faculty / Teacher</t>
        </is>
      </c>
      <c r="B201" s="8" t="inlineStr">
        <is>
          <t>Assessments</t>
        </is>
      </c>
      <c r="C201" s="8" t="inlineStr">
        <is>
          <t>Question Papers &amp; Online Tests</t>
        </is>
      </c>
      <c r="D201" s="8" t="inlineStr">
        <is>
          <t>Objective Online Test Creation</t>
        </is>
      </c>
      <c r="E201" s="11" t="inlineStr">
        <is>
          <t>Good</t>
        </is>
      </c>
      <c r="F201" s="8" t="inlineStr">
        <is>
          <t>advanced</t>
        </is>
      </c>
      <c r="G201" s="8" t="inlineStr">
        <is>
          <t>Must-Have</t>
        </is>
      </c>
      <c r="H201" s="8" t="inlineStr">
        <is>
          <t>assigned_classes</t>
        </is>
      </c>
      <c r="I201" s="8" t="inlineStr">
        <is>
          <t>faculty.question_papers_online_tests.objective_online_test_creation</t>
        </is>
      </c>
      <c r="J201" s="8" t="inlineStr">
        <is>
          <t>web/src/features/faculty/OnlineTests.tsx</t>
        </is>
      </c>
      <c r="K201" s="8" t="inlineStr"/>
      <c r="L201" s="8" t="n">
        <v>6</v>
      </c>
      <c r="M201" s="8" t="inlineStr">
        <is>
          <t>/teaching/classes
/teaching/online-tests
/teaching/online-tests/{}
/teaching/online-tests/{}/questions
/teaching/question-bank
/teaching/subjects</t>
        </is>
      </c>
      <c r="N201" s="8" t="inlineStr">
        <is>
          <t>worker/src/routes/teaching/assessment.ts
worker/src/routes/teaching/classwork.ts
worker/src/routes/teaching/dashboards.ts</t>
        </is>
      </c>
      <c r="O201" s="8" t="n">
        <v>53</v>
      </c>
      <c r="P201" s="8" t="inlineStr">
        <is>
          <t>academic_years
announcement_acks
announcements
applications
cce_formative_entries
class_subjects
classes
departments
designations
discipline_records
… +43 more</t>
        </is>
      </c>
      <c r="Q201" s="8" t="inlineStr"/>
      <c r="R201" s="8" t="inlineStr"/>
      <c r="S201" s="8" t="inlineStr">
        <is>
          <t>Create auto-graded MCQ, True/False, and Fill-in-the-blank online tests with timers.</t>
        </is>
      </c>
    </row>
    <row r="202">
      <c r="A202" s="8" t="inlineStr">
        <is>
          <t>Faculty / Teacher</t>
        </is>
      </c>
      <c r="B202" s="8" t="inlineStr">
        <is>
          <t>Communication</t>
        </is>
      </c>
      <c r="C202" s="8" t="inlineStr">
        <is>
          <t>Communication</t>
        </is>
      </c>
      <c r="D202" s="8" t="inlineStr">
        <is>
          <t>Communication</t>
        </is>
      </c>
      <c r="E202" s="11" t="inlineStr">
        <is>
          <t>Good</t>
        </is>
      </c>
      <c r="F202" s="8" t="inlineStr">
        <is>
          <t>core</t>
        </is>
      </c>
      <c r="G202" s="8" t="inlineStr">
        <is>
          <t>Must-Have</t>
        </is>
      </c>
      <c r="H202" s="8" t="inlineStr">
        <is>
          <t>assigned_classes</t>
        </is>
      </c>
      <c r="I202" s="8" t="inlineStr">
        <is>
          <t>faculty.communication.communication</t>
        </is>
      </c>
      <c r="J202" s="8" t="inlineStr">
        <is>
          <t>web/src/features/faculty/Communication.tsx</t>
        </is>
      </c>
      <c r="K202" s="8" t="inlineStr"/>
      <c r="L202" s="8" t="n">
        <v>6</v>
      </c>
      <c r="M202" s="8" t="inlineStr">
        <is>
          <t>/students
/teaching/classes
/teaching/communication
/teaching/ptm-notes
/teaching/remarks
/teaching/terms</t>
        </is>
      </c>
      <c r="N202" s="8" t="inlineStr">
        <is>
          <t>worker/src/router.ts
worker/src/routes/students.ts
worker/src/routes/teaching/comms.ts
worker/src/routes/teaching/dashboards.ts</t>
        </is>
      </c>
      <c r="O202" s="8" t="n">
        <v>71</v>
      </c>
      <c r="P202" s="8" t="inlineStr">
        <is>
          <t>academic_years
activities
announcement_acks
announcement_sections
announcement_students
announcements
applications
audit_log
certificate_types
class_subjects
… +61 more</t>
        </is>
      </c>
      <c r="Q202" s="8" t="inlineStr">
        <is>
          <t>access.test.ts
auth.test.ts
fees.test.ts
perf.test.ts
student_lms.test.ts
student_login_default.test.ts
… +1 more</t>
        </is>
      </c>
      <c r="R202" s="8" t="inlineStr"/>
      <c r="S202" s="8" t="inlineStr">
        <is>
          <t>Announcements/messages to assigned classes, students or parents based on policy.</t>
        </is>
      </c>
    </row>
    <row r="203">
      <c r="A203" s="8" t="inlineStr">
        <is>
          <t>Faculty / Teacher</t>
        </is>
      </c>
      <c r="B203" s="8" t="inlineStr">
        <is>
          <t>Communication</t>
        </is>
      </c>
      <c r="C203" s="8" t="inlineStr">
        <is>
          <t>Communication</t>
        </is>
      </c>
      <c r="D203" s="8" t="inlineStr">
        <is>
          <t>Remarks</t>
        </is>
      </c>
      <c r="E203" s="11" t="inlineStr">
        <is>
          <t>Good</t>
        </is>
      </c>
      <c r="F203" s="8" t="inlineStr">
        <is>
          <t>core</t>
        </is>
      </c>
      <c r="G203" s="8" t="inlineStr">
        <is>
          <t>Must-Have</t>
        </is>
      </c>
      <c r="H203" s="8" t="inlineStr">
        <is>
          <t>assigned_classes</t>
        </is>
      </c>
      <c r="I203" s="8" t="inlineStr">
        <is>
          <t>faculty.communication.remarks</t>
        </is>
      </c>
      <c r="J203" s="8" t="inlineStr">
        <is>
          <t>web/src/features/faculty/Remarks.tsx</t>
        </is>
      </c>
      <c r="K203" s="8" t="inlineStr"/>
      <c r="L203" s="8" t="n">
        <v>10</v>
      </c>
      <c r="M203" s="8" t="inlineStr">
        <is>
          <t>/ai/briefs/principal
/ai/briefs/student/{}
/ai/draft
/ai/status
/ai/translate
/portal/ai/weekly
/students
/teaching/classes
… +2 more</t>
        </is>
      </c>
      <c r="N203" s="8" t="inlineStr">
        <is>
          <t>worker/src/router.ts
worker/src/routes/ai/briefs.ts
worker/src/routes/ai/drafting.ts
worker/src/routes/students.ts
worker/src/routes/teaching/comms.ts
worker/src/routes/teaching/dashboards.ts</t>
        </is>
      </c>
      <c r="O203" s="8" t="n">
        <v>75</v>
      </c>
      <c r="P203" s="8" t="inlineStr">
        <is>
          <t>academic_years
activities
announcement_acks
announcement_sections
announcement_students
announcements
applications
audit_log
certificate_types
class_subjects
… +65 more</t>
        </is>
      </c>
      <c r="Q203" s="8" t="inlineStr">
        <is>
          <t>access.test.ts
admissions_crm.test.ts
ai_briefs.test.ts
auth.test.ts
fees.test.ts
perf.test.ts
… +3 more</t>
        </is>
      </c>
      <c r="R203" s="8" t="inlineStr"/>
      <c r="S203" s="8" t="inlineStr">
        <is>
          <t>Add permitted academic/class remarks and observations.</t>
        </is>
      </c>
    </row>
    <row r="204">
      <c r="A204" s="8" t="inlineStr">
        <is>
          <t>Faculty / Teacher</t>
        </is>
      </c>
      <c r="B204" s="8" t="inlineStr">
        <is>
          <t>Communication</t>
        </is>
      </c>
      <c r="C204" s="8" t="inlineStr">
        <is>
          <t>Communication</t>
        </is>
      </c>
      <c r="D204" s="8" t="inlineStr">
        <is>
          <t>Anecdotal records</t>
        </is>
      </c>
      <c r="E204" s="11" t="inlineStr">
        <is>
          <t>Good</t>
        </is>
      </c>
      <c r="F204" s="8" t="inlineStr">
        <is>
          <t>core</t>
        </is>
      </c>
      <c r="G204" s="8" t="inlineStr">
        <is>
          <t>Must-Have</t>
        </is>
      </c>
      <c r="H204" s="8" t="inlineStr">
        <is>
          <t>assigned_classes</t>
        </is>
      </c>
      <c r="I204" s="8" t="inlineStr">
        <is>
          <t>faculty.communication.anecdotal_records</t>
        </is>
      </c>
      <c r="J204" s="8" t="inlineStr">
        <is>
          <t>web/src/features/faculty/Anecdotal.tsx</t>
        </is>
      </c>
      <c r="K204" s="8" t="inlineStr"/>
      <c r="L204" s="8" t="n">
        <v>10</v>
      </c>
      <c r="M204" s="8" t="inlineStr">
        <is>
          <t>/ai/briefs/principal
/ai/briefs/student/{}
/ai/draft
/ai/status
/ai/translate
/portal/ai/weekly
/students
/teaching/classes
… +2 more</t>
        </is>
      </c>
      <c r="N204" s="8" t="inlineStr">
        <is>
          <t>worker/src/router.ts
worker/src/routes/ai/briefs.ts
worker/src/routes/ai/drafting.ts
worker/src/routes/students.ts
worker/src/routes/teaching/comms.ts
worker/src/routes/teaching/dashboards.ts</t>
        </is>
      </c>
      <c r="O204" s="8" t="n">
        <v>75</v>
      </c>
      <c r="P204" s="8" t="inlineStr">
        <is>
          <t>academic_years
activities
announcement_acks
announcement_sections
announcement_students
announcements
applications
audit_log
certificate_types
class_subjects
… +65 more</t>
        </is>
      </c>
      <c r="Q204" s="8" t="inlineStr">
        <is>
          <t>access.test.ts
admissions_crm.test.ts
ai_briefs.test.ts
auth.test.ts
fees.test.ts
perf.test.ts
… +3 more</t>
        </is>
      </c>
      <c r="R204" s="8" t="inlineStr"/>
      <c r="S204" s="8" t="inlineStr">
        <is>
          <t>Private notes on how a child is growing, never shown to the parent.</t>
        </is>
      </c>
    </row>
    <row r="205">
      <c r="A205" s="8" t="inlineStr">
        <is>
          <t>Faculty / Teacher</t>
        </is>
      </c>
      <c r="B205" s="8" t="inlineStr">
        <is>
          <t>Communication</t>
        </is>
      </c>
      <c r="C205" s="8" t="inlineStr">
        <is>
          <t>Communication</t>
        </is>
      </c>
      <c r="D205" s="8" t="inlineStr">
        <is>
          <t>Class teacher remarks</t>
        </is>
      </c>
      <c r="E205" s="11" t="inlineStr">
        <is>
          <t>Good</t>
        </is>
      </c>
      <c r="F205" s="8" t="inlineStr">
        <is>
          <t>core</t>
        </is>
      </c>
      <c r="G205" s="8" t="inlineStr">
        <is>
          <t>Must-Have</t>
        </is>
      </c>
      <c r="H205" s="8" t="inlineStr">
        <is>
          <t>assigned_classes</t>
        </is>
      </c>
      <c r="I205" s="8" t="inlineStr">
        <is>
          <t>faculty.communication.class_teacher_remarks</t>
        </is>
      </c>
      <c r="J205" s="8" t="inlineStr">
        <is>
          <t>web/src/features/faculty/ClassTeacherRemarks.tsx</t>
        </is>
      </c>
      <c r="K205" s="8" t="inlineStr"/>
      <c r="L205" s="8" t="n">
        <v>11</v>
      </c>
      <c r="M205" s="8" t="inlineStr">
        <is>
          <t>/ai/briefs/principal
/ai/briefs/student/{}
/ai/draft
/ai/status
/ai/translate
/portal/ai/weekly
/session
/students
… +3 more</t>
        </is>
      </c>
      <c r="N205" s="8" t="inlineStr">
        <is>
          <t>worker/src/router.ts
worker/src/routes/ai/briefs.ts
worker/src/routes/ai/drafting.ts
worker/src/routes/misc/profile.ts
worker/src/routes/students.ts
worker/src/routes/teaching/comms.ts
… +1 more</t>
        </is>
      </c>
      <c r="O205" s="8" t="n">
        <v>81</v>
      </c>
      <c r="P205" s="8" t="inlineStr">
        <is>
          <t>academic_years
activities
announcement_acks
announcement_sections
announcement_students
announcements
applications
audit_log
certificate_types
class_subjects
… +71 more</t>
        </is>
      </c>
      <c r="Q205" s="8" t="inlineStr">
        <is>
          <t>access.test.ts
admissions_crm.test.ts
admissions_rte.test.ts
ai_briefs.test.ts
auth.test.ts
edge.test.ts
… +6 more</t>
        </is>
      </c>
      <c r="R205" s="8" t="inlineStr"/>
      <c r="S205" s="8" t="inlineStr">
        <is>
          <t>The term-end line printed on the report card, and the principal’s summary beside it.</t>
        </is>
      </c>
    </row>
    <row r="206">
      <c r="A206" s="8" t="inlineStr">
        <is>
          <t>Faculty / Teacher</t>
        </is>
      </c>
      <c r="B206" s="8" t="inlineStr">
        <is>
          <t>Communication</t>
        </is>
      </c>
      <c r="C206" s="8" t="inlineStr">
        <is>
          <t>Communication</t>
        </is>
      </c>
      <c r="D206" s="8" t="inlineStr">
        <is>
          <t>PTM notes &amp; action items</t>
        </is>
      </c>
      <c r="E206" s="11" t="inlineStr">
        <is>
          <t>Good</t>
        </is>
      </c>
      <c r="F206" s="8" t="inlineStr">
        <is>
          <t>core</t>
        </is>
      </c>
      <c r="G206" s="8" t="inlineStr">
        <is>
          <t>Must-Have</t>
        </is>
      </c>
      <c r="H206" s="8" t="inlineStr">
        <is>
          <t>assigned_classes</t>
        </is>
      </c>
      <c r="I206" s="8" t="inlineStr">
        <is>
          <t>faculty.communication.ptm_notes_action_items</t>
        </is>
      </c>
      <c r="J206" s="8" t="inlineStr">
        <is>
          <t>web/src/features/faculty/PTMNotes.tsx</t>
        </is>
      </c>
      <c r="K206" s="8" t="inlineStr"/>
      <c r="L206" s="8" t="n">
        <v>4</v>
      </c>
      <c r="M206" s="8" t="inlineStr">
        <is>
          <t>/students
/teaching/classes
/teaching/ptm-notes
/teaching/terms</t>
        </is>
      </c>
      <c r="N206" s="8" t="inlineStr">
        <is>
          <t>worker/src/router.ts
worker/src/routes/students.ts
worker/src/routes/teaching/comms.ts
worker/src/routes/teaching/dashboards.ts</t>
        </is>
      </c>
      <c r="O206" s="8" t="n">
        <v>71</v>
      </c>
      <c r="P206" s="8" t="inlineStr">
        <is>
          <t>academic_years
activities
announcement_acks
announcement_sections
announcement_students
announcements
applications
audit_log
certificate_types
class_subjects
… +61 more</t>
        </is>
      </c>
      <c r="Q206" s="8" t="inlineStr">
        <is>
          <t>access.test.ts
auth.test.ts
fees.test.ts
perf.test.ts
student_lms.test.ts
student_login_default.test.ts
… +1 more</t>
        </is>
      </c>
      <c r="R206" s="8" t="inlineStr"/>
      <c r="S206" s="8" t="inlineStr">
        <is>
          <t>Who came to the parents’ meeting, what they raised, and what was agreed.</t>
        </is>
      </c>
    </row>
    <row r="207">
      <c r="A207" s="8" t="inlineStr">
        <is>
          <t>Faculty / Teacher</t>
        </is>
      </c>
      <c r="B207" s="8" t="inlineStr">
        <is>
          <t>Communication</t>
        </is>
      </c>
      <c r="C207" s="8" t="inlineStr">
        <is>
          <t>Communication</t>
        </is>
      </c>
      <c r="D207" s="8" t="inlineStr">
        <is>
          <t>Classroom communication</t>
        </is>
      </c>
      <c r="E207" s="11" t="inlineStr">
        <is>
          <t>Good</t>
        </is>
      </c>
      <c r="F207" s="8" t="inlineStr">
        <is>
          <t>core</t>
        </is>
      </c>
      <c r="G207" s="8" t="inlineStr">
        <is>
          <t>Must-Have</t>
        </is>
      </c>
      <c r="H207" s="8" t="inlineStr">
        <is>
          <t>assigned_classes</t>
        </is>
      </c>
      <c r="I207" s="8" t="inlineStr">
        <is>
          <t>faculty.communication.classroom_communication</t>
        </is>
      </c>
      <c r="J207" s="8" t="inlineStr">
        <is>
          <t>web/src/features/faculty/Broadcasts.tsx</t>
        </is>
      </c>
      <c r="K207" s="8" t="inlineStr"/>
      <c r="L207" s="8" t="n">
        <v>6</v>
      </c>
      <c r="M207" s="8" t="inlineStr">
        <is>
          <t>/admin/messaging/estimate
/admin/messaging/health
/students
/teaching/broadcasts
/teaching/classes
/teaching/terms</t>
        </is>
      </c>
      <c r="N207" s="8" t="inlineStr">
        <is>
          <t>worker/src/router.ts
worker/src/routes/comms/delivery.ts
worker/src/routes/students.ts
worker/src/routes/teaching/comms.ts
worker/src/routes/teaching/dashboards.ts</t>
        </is>
      </c>
      <c r="O207" s="8" t="n">
        <v>78</v>
      </c>
      <c r="P207" s="8" t="inlineStr">
        <is>
          <t>academic_years
activities
announcement_acks
announcement_sections
announcement_students
announcements
applications
audit_log
certificate_types
class_subjects
… +68 more</t>
        </is>
      </c>
      <c r="Q207" s="8" t="inlineStr">
        <is>
          <t>access.test.ts
auth.test.ts
fees.test.ts
perf.test.ts
student_lms.test.ts
student_login_default.test.ts
… +1 more</t>
        </is>
      </c>
      <c r="R207" s="8" t="inlineStr"/>
      <c r="S207" s="8" t="inlineStr">
        <is>
          <t>A notice to a whole class, or to one child’s parent.</t>
        </is>
      </c>
    </row>
    <row r="208">
      <c r="A208" s="8" t="inlineStr">
        <is>
          <t>Faculty / Teacher</t>
        </is>
      </c>
      <c r="B208" s="8" t="inlineStr">
        <is>
          <t>Communication</t>
        </is>
      </c>
      <c r="C208" s="8" t="inlineStr">
        <is>
          <t>Communication</t>
        </is>
      </c>
      <c r="D208" s="8" t="inlineStr">
        <is>
          <t>Messages</t>
        </is>
      </c>
      <c r="E208" s="11" t="inlineStr">
        <is>
          <t>Good</t>
        </is>
      </c>
      <c r="F208" s="8" t="inlineStr">
        <is>
          <t>core</t>
        </is>
      </c>
      <c r="G208" s="8" t="inlineStr">
        <is>
          <t>Must-Have</t>
        </is>
      </c>
      <c r="H208" s="8" t="inlineStr">
        <is>
          <t>assigned_classes</t>
        </is>
      </c>
      <c r="I208" s="8" t="inlineStr">
        <is>
          <t>faculty.communication.messages</t>
        </is>
      </c>
      <c r="J208" s="8" t="inlineStr">
        <is>
          <t>web/src/features/comms/StaffMessages.tsx</t>
        </is>
      </c>
      <c r="K208" s="8" t="inlineStr"/>
      <c r="L208" s="8" t="n">
        <v>12</v>
      </c>
      <c r="M208" s="8" t="inlineStr">
        <is>
          <t>/chat/messages/{}
/chat/parent-thread/read
/chat/staff-thread/read
/files
/files/{}
/portal/messages
/staff-messages
/staff-messages/threads
… +4 more</t>
        </is>
      </c>
      <c r="N208" s="8" t="inlineStr">
        <is>
          <t>worker/src/routes/misc/chat.ts
worker/src/routes/misc/files.ts
worker/src/routes/portal/requests.ts
worker/src/routes/teaching/dashboards.ts</t>
        </is>
      </c>
      <c r="O208" s="8" t="n">
        <v>60</v>
      </c>
      <c r="P208" s="8" t="inlineStr">
        <is>
          <t>academic_years
announcement_acks
announcements
application_documents
applications
certificate_types
class_subjects
classes
departments
designations
… +50 more</t>
        </is>
      </c>
      <c r="Q208" s="8" t="inlineStr">
        <is>
          <t>live.test.ts</t>
        </is>
      </c>
      <c r="R208" s="8" t="inlineStr"/>
      <c r="S208" s="8" t="inlineStr">
        <is>
          <t>One colleague at a time. The staff address book, and the thread you have with each of them.</t>
        </is>
      </c>
    </row>
    <row r="209">
      <c r="A209" s="8" t="inlineStr">
        <is>
          <t>Faculty / Teacher</t>
        </is>
      </c>
      <c r="B209" s="8" t="inlineStr">
        <is>
          <t>Communication</t>
        </is>
      </c>
      <c r="C209" s="8" t="inlineStr">
        <is>
          <t>Communication</t>
        </is>
      </c>
      <c r="D209" s="8" t="inlineStr">
        <is>
          <t>Class Status</t>
        </is>
      </c>
      <c r="E209" s="11" t="inlineStr">
        <is>
          <t>Good</t>
        </is>
      </c>
      <c r="F209" s="8" t="inlineStr">
        <is>
          <t>core</t>
        </is>
      </c>
      <c r="G209" s="8" t="inlineStr">
        <is>
          <t>Must-Have</t>
        </is>
      </c>
      <c r="H209" s="8" t="inlineStr">
        <is>
          <t>institution</t>
        </is>
      </c>
      <c r="I209" s="8" t="inlineStr">
        <is>
          <t>faculty.communication.class_status</t>
        </is>
      </c>
      <c r="J209" s="8" t="inlineStr">
        <is>
          <t>web/src/features/comms/ClassStatus.tsx</t>
        </is>
      </c>
      <c r="K209" s="8" t="inlineStr"/>
      <c r="L209" s="8" t="n">
        <v>9</v>
      </c>
      <c r="M209" s="8" t="inlineStr">
        <is>
          <t>/files/{}
/status/audiences
/status/feed
/status/mine
/status/posts
/status/posts/{}
/status/posts/{}/pin
/status/posts/{}/view
… +1 more</t>
        </is>
      </c>
      <c r="N209" s="8" t="inlineStr">
        <is>
          <t>worker/src/routes/comms/class_status.ts
worker/src/routes/misc/files.ts</t>
        </is>
      </c>
      <c r="O209" s="8" t="n">
        <v>25</v>
      </c>
      <c r="P209" s="8" t="inlineStr">
        <is>
          <t>academic_years
application_documents
branding_profiles
classes
employee_documents
employees
enrollments
files
guardians
homework
… +15 more</t>
        </is>
      </c>
      <c r="Q209" s="8" t="inlineStr">
        <is>
          <t>class_status_gaps.test.ts
feature_class_status.test.ts
feature_switch_cache.test.ts
perf.test.ts</t>
        </is>
      </c>
      <c r="R209" s="8" t="inlineStr"/>
      <c r="S209" s="8" t="inlineStr">
        <is>
          <t>Post a photo or a short video to your section, your class or the whole school, like a WhatsApp status: it disappears after 24 hours unless you pin it to the class gallery. See who has viewed each post.</t>
        </is>
      </c>
    </row>
    <row r="210">
      <c r="A210" s="8" t="inlineStr">
        <is>
          <t>Faculty / Teacher</t>
        </is>
      </c>
      <c r="B210" s="8" t="inlineStr">
        <is>
          <t>My Work</t>
        </is>
      </c>
      <c r="C210" s="8" t="inlineStr">
        <is>
          <t>My Profile</t>
        </is>
      </c>
      <c r="D210" s="8" t="inlineStr">
        <is>
          <t>Leave &amp; self service</t>
        </is>
      </c>
      <c r="E210" s="10" t="inlineStr">
        <is>
          <t>Check</t>
        </is>
      </c>
      <c r="F210" s="8" t="inlineStr">
        <is>
          <t>core</t>
        </is>
      </c>
      <c r="G210" s="8" t="inlineStr">
        <is>
          <t>Must-Have</t>
        </is>
      </c>
      <c r="H210" s="8" t="inlineStr">
        <is>
          <t>assigned_classes</t>
        </is>
      </c>
      <c r="I210" s="8" t="inlineStr">
        <is>
          <t>faculty.my_profile.leave_self_service</t>
        </is>
      </c>
      <c r="J210" s="8" t="inlineStr">
        <is>
          <t>web/src/features/hr/Leave.tsx</t>
        </is>
      </c>
      <c r="K210" s="8" t="inlineStr"/>
      <c r="L210" s="8" t="n">
        <v>13</v>
      </c>
      <c r="M210" s="8" t="inlineStr">
        <is>
          <t>/ai/briefs/principal
/ai/briefs/student/{}
/ai/draft
/ai/status
/ai/translate
/attendance/nudge
/attention
/hr/leave
… +5 more</t>
        </is>
      </c>
      <c r="N210" s="8" t="inlineStr">
        <is>
          <t>worker/src/routes/admin/loose.ts
worker/src/routes/ai/briefs.ts
worker/src/routes/ai/drafting.ts
worker/src/routes/daily.ts
worker/src/routes/hr/staff.ts
worker/src/routes/setup/staff.ts</t>
        </is>
      </c>
      <c r="O210" s="8" t="n">
        <v>76</v>
      </c>
      <c r="P210" s="8" t="inlineStr">
        <is>
          <t>absence_followup_section_done
academic_years
api_keys
applications
attendance_corrections
audit_log
bell_schedules
biometric_devices
biometric_punches
board_memberships
… +66 more</t>
        </is>
      </c>
      <c r="Q210" s="8" t="inlineStr">
        <is>
          <t>admissions_crm.test.ts
ai_briefs.test.ts
edge.test.ts</t>
        </is>
      </c>
      <c r="R210" s="8" t="inlineStr">
        <is>
          <t>2 step(s) in its backend files answer "not ported" (see Not ported tab).</t>
        </is>
      </c>
      <c r="S210" s="8" t="inlineStr">
        <is>
          <t>Apply for leave, view approval status, attendance and personal documents.</t>
        </is>
      </c>
    </row>
    <row r="211">
      <c r="A211" s="8" t="inlineStr">
        <is>
          <t>Faculty / Teacher</t>
        </is>
      </c>
      <c r="B211" s="8" t="inlineStr">
        <is>
          <t>My Work</t>
        </is>
      </c>
      <c r="C211" s="8" t="inlineStr">
        <is>
          <t>My Profile</t>
        </is>
      </c>
      <c r="D211" s="8" t="inlineStr">
        <is>
          <t>Profile</t>
        </is>
      </c>
      <c r="E211" s="10" t="inlineStr">
        <is>
          <t>Check</t>
        </is>
      </c>
      <c r="F211" s="8" t="inlineStr">
        <is>
          <t>core</t>
        </is>
      </c>
      <c r="G211" s="8" t="inlineStr">
        <is>
          <t>Must-Have</t>
        </is>
      </c>
      <c r="H211" s="8" t="inlineStr">
        <is>
          <t>assigned_classes</t>
        </is>
      </c>
      <c r="I211" s="8" t="inlineStr">
        <is>
          <t>faculty.my_profile.profile</t>
        </is>
      </c>
      <c r="J211" s="8" t="inlineStr">
        <is>
          <t>web/src/features/shared/Profile.tsx</t>
        </is>
      </c>
      <c r="K211" s="8" t="inlineStr"/>
      <c r="L211" s="8" t="n">
        <v>19</v>
      </c>
      <c r="M211" s="8" t="inlineStr">
        <is>
          <t>/files
/files/{}
/hr-growth/me/appraisals
/hr-growth/me/appraisals/{}
/hr-growth/me/appraisals/{}/acknowledge
/hr-growth/me/appraisals/{}/self-assessment
/hr-growth/me/duties
/hr-growth/me/training
… +11 more</t>
        </is>
      </c>
      <c r="N211" s="8" t="inlineStr">
        <is>
          <t>worker/src/routes/daily.ts
worker/src/routes/growth/hr_appraisal.ts
worker/src/routes/growth/hr_training.ts
worker/src/routes/hr/concerns.ts
worker/src/routes/misc/files.ts
worker/src/routes/misc/profile.ts</t>
        </is>
      </c>
      <c r="O211" s="8" t="n">
        <v>75</v>
      </c>
      <c r="P211" s="8" t="inlineStr">
        <is>
          <t>absence_followup_section_done
academic_years
application_documents
applications
appraisal_cycles
appraisal_kpis
appraisal_ratings
appraisals
attendance_corrections
bell_schedules
… +65 more</t>
        </is>
      </c>
      <c r="Q211" s="8" t="inlineStr">
        <is>
          <t>access.test.ts
concerns.test.ts
lms_modules.test.ts
lms_nesting.test.ts
lms_progression.test.ts
lms_videos.test.ts
… +4 more</t>
        </is>
      </c>
      <c r="R211" s="8" t="inlineStr">
        <is>
          <t>1 step(s) in its backend files answer "not ported" (see Not ported tab).</t>
        </is>
      </c>
      <c r="S211" s="8" t="inlineStr">
        <is>
          <t>Own profile, password and leave.</t>
        </is>
      </c>
    </row>
    <row r="212">
      <c r="A212" s="8" t="inlineStr">
        <is>
          <t>Faculty / Teacher</t>
        </is>
      </c>
      <c r="B212" s="8" t="inlineStr">
        <is>
          <t>My Work</t>
        </is>
      </c>
      <c r="C212" s="8" t="inlineStr">
        <is>
          <t>My Profile</t>
        </is>
      </c>
      <c r="D212" s="8" t="inlineStr">
        <is>
          <t>Student leave requests</t>
        </is>
      </c>
      <c r="E212" s="10" t="inlineStr">
        <is>
          <t>Check</t>
        </is>
      </c>
      <c r="F212" s="8" t="inlineStr">
        <is>
          <t>core</t>
        </is>
      </c>
      <c r="G212" s="8" t="inlineStr">
        <is>
          <t>Must-Have</t>
        </is>
      </c>
      <c r="H212" s="8" t="inlineStr">
        <is>
          <t>assigned_classes</t>
        </is>
      </c>
      <c r="I212" s="8" t="inlineStr">
        <is>
          <t>faculty.my_profile.student_leave_requests</t>
        </is>
      </c>
      <c r="J212" s="8" t="inlineStr">
        <is>
          <t>web/src/features/workflow/Approvals.tsx</t>
        </is>
      </c>
      <c r="K212" s="8" t="inlineStr"/>
      <c r="L212" s="8" t="n">
        <v>1</v>
      </c>
      <c r="M212" s="8" t="inlineStr">
        <is>
          <t>/workflow/approvals</t>
        </is>
      </c>
      <c r="N212" s="8" t="inlineStr">
        <is>
          <t>worker/src/routes/daily.ts</t>
        </is>
      </c>
      <c r="O212" s="8" t="n">
        <v>51</v>
      </c>
      <c r="P212" s="8" t="inlineStr">
        <is>
          <t>absence_followup_section_done
academic_years
applications
attendance_corrections
bell_schedules
board_memberships
campuses
class_subjects
classes
departments
… +41 more</t>
        </is>
      </c>
      <c r="Q212" s="8" t="inlineStr"/>
      <c r="R212" s="8" t="inlineStr">
        <is>
          <t>1 step(s) in its backend files answer "not ported" (see Not ported tab).</t>
        </is>
      </c>
      <c r="S212" s="8" t="inlineStr">
        <is>
          <t>Leave a parent has applied for on behalf of a child in your class: who, which days, and why, with approve or decline. Separate from your own leave, which is an employment matter and goes to HR and your head of department.</t>
        </is>
      </c>
    </row>
    <row r="213">
      <c r="A213" s="8" t="inlineStr">
        <is>
          <t>Faculty / Teacher</t>
        </is>
      </c>
      <c r="B213" s="8" t="inlineStr">
        <is>
          <t>My Work</t>
        </is>
      </c>
      <c r="C213" s="8" t="inlineStr">
        <is>
          <t>My Profile</t>
        </is>
      </c>
      <c r="D213" s="8" t="inlineStr">
        <is>
          <t>Remarks about me</t>
        </is>
      </c>
      <c r="E213" s="11" t="inlineStr">
        <is>
          <t>Good</t>
        </is>
      </c>
      <c r="F213" s="8" t="inlineStr">
        <is>
          <t>core</t>
        </is>
      </c>
      <c r="G213" s="8" t="inlineStr">
        <is>
          <t>Should-Have</t>
        </is>
      </c>
      <c r="H213" s="8" t="inlineStr">
        <is>
          <t>self</t>
        </is>
      </c>
      <c r="I213" s="8" t="inlineStr">
        <is>
          <t>faculty.my_profile.remarks_about_me</t>
        </is>
      </c>
      <c r="J213" s="8" t="inlineStr">
        <is>
          <t>web/src/features/shared/MyRemarks.tsx</t>
        </is>
      </c>
      <c r="K213" s="8" t="inlineStr"/>
      <c r="L213" s="8" t="n">
        <v>2</v>
      </c>
      <c r="M213" s="8" t="inlineStr">
        <is>
          <t>/staff-remarks
/staff-remarks/teachers</t>
        </is>
      </c>
      <c r="N213" s="8" t="inlineStr">
        <is>
          <t>worker/src/routes/misc/chat.ts</t>
        </is>
      </c>
      <c r="O213" s="8" t="n">
        <v>17</v>
      </c>
      <c r="P213" s="8" t="inlineStr">
        <is>
          <t>class_subjects
designations
employees
enrollments
files
notifications
parent_teacher_messages
roles
section_subject_teachers
sections
… +7 more</t>
        </is>
      </c>
      <c r="Q213" s="8" t="inlineStr"/>
      <c r="R213" s="8" t="inlineStr"/>
      <c r="S213" s="8" t="inlineStr">
        <is>
          <t>What your head of department, the principal or a parent has written about you. You are told when one is added.</t>
        </is>
      </c>
    </row>
    <row r="214">
      <c r="A214" s="8" t="inlineStr">
        <is>
          <t>Faculty / Teacher</t>
        </is>
      </c>
      <c r="B214" s="8" t="inlineStr">
        <is>
          <t>My Work</t>
        </is>
      </c>
      <c r="C214" s="8" t="inlineStr">
        <is>
          <t>My Profile</t>
        </is>
      </c>
      <c r="D214" s="8" t="inlineStr">
        <is>
          <t>My pay</t>
        </is>
      </c>
      <c r="E214" s="10" t="inlineStr">
        <is>
          <t>Check</t>
        </is>
      </c>
      <c r="F214" s="8" t="inlineStr">
        <is>
          <t>core</t>
        </is>
      </c>
      <c r="G214" s="8" t="inlineStr">
        <is>
          <t>Must-Have</t>
        </is>
      </c>
      <c r="H214" s="8" t="inlineStr">
        <is>
          <t>self</t>
        </is>
      </c>
      <c r="I214" s="8" t="inlineStr">
        <is>
          <t>faculty.my_profile.my_pay</t>
        </is>
      </c>
      <c r="J214" s="8" t="inlineStr">
        <is>
          <t>web/src/features/me/MyPay.tsx</t>
        </is>
      </c>
      <c r="K214" s="8" t="inlineStr"/>
      <c r="L214" s="8" t="n">
        <v>1</v>
      </c>
      <c r="M214" s="8" t="inlineStr">
        <is>
          <t>/me/pay</t>
        </is>
      </c>
      <c r="N214" s="8" t="inlineStr">
        <is>
          <t>worker/src/routes/daily.ts</t>
        </is>
      </c>
      <c r="O214" s="8" t="n">
        <v>51</v>
      </c>
      <c r="P214" s="8" t="inlineStr">
        <is>
          <t>absence_followup_section_done
academic_years
applications
attendance_corrections
bell_schedules
board_memberships
campuses
class_subjects
classes
departments
… +41 more</t>
        </is>
      </c>
      <c r="Q214" s="8" t="inlineStr"/>
      <c r="R214" s="8" t="inlineStr">
        <is>
          <t>1 step(s) in its backend files answer "not ported" (see Not ported tab).</t>
        </is>
      </c>
      <c r="S214" s="8" t="inlineStr">
        <is>
          <t>Your own payslips month by month, what was taken off and how much of it was tax, the days you were marked present, and the leave you have left. Only ever your own.</t>
        </is>
      </c>
    </row>
    <row r="215">
      <c r="A215" s="8" t="inlineStr">
        <is>
          <t>Faculty / Teacher</t>
        </is>
      </c>
      <c r="B215" s="8" t="inlineStr">
        <is>
          <t>My Work</t>
        </is>
      </c>
      <c r="C215" s="8" t="inlineStr">
        <is>
          <t>Exams</t>
        </is>
      </c>
      <c r="D215" s="8" t="inlineStr">
        <is>
          <t>Question papers</t>
        </is>
      </c>
      <c r="E215" s="11" t="inlineStr">
        <is>
          <t>Good</t>
        </is>
      </c>
      <c r="F215" s="8" t="inlineStr">
        <is>
          <t>core</t>
        </is>
      </c>
      <c r="G215" s="8" t="inlineStr">
        <is>
          <t>Must-Have</t>
        </is>
      </c>
      <c r="H215" s="8" t="inlineStr">
        <is>
          <t>assigned_classes</t>
        </is>
      </c>
      <c r="I215" s="8" t="inlineStr">
        <is>
          <t>faculty.exams.question_papers</t>
        </is>
      </c>
      <c r="J215" s="8" t="inlineStr">
        <is>
          <t>web/src/features/exams/QuestionPapers.tsx</t>
        </is>
      </c>
      <c r="K215" s="8" t="inlineStr"/>
      <c r="L215" s="8" t="n">
        <v>5</v>
      </c>
      <c r="M215" s="8" t="inlineStr">
        <is>
          <t>/exams/question-papers
/exams/question-papers/slots
/exams/question-papers/{}/decide
/files
/files/{}</t>
        </is>
      </c>
      <c r="N215" s="8" t="inlineStr">
        <is>
          <t>worker/src/routes/exams.ts
worker/src/routes/misc/files.ts</t>
        </is>
      </c>
      <c r="O215" s="8" t="n">
        <v>44</v>
      </c>
      <c r="P215" s="8" t="inlineStr">
        <is>
          <t>academic_years
application_documents
branding_profiles
campuses
certificate_types
class_subjects
classes
employee_documents
employees
enrollments
… +34 more</t>
        </is>
      </c>
      <c r="Q215" s="8" t="inlineStr"/>
      <c r="R215" s="8" t="inlineStr"/>
      <c r="S215" s="8" t="inlineStr">
        <is>
          <t>Attach the paper for each exam you set and send it to your head of department. Shows where each one has got to, and what to change on any that came back.</t>
        </is>
      </c>
    </row>
    <row r="216">
      <c r="A216" s="8" t="inlineStr">
        <is>
          <t>Librarian</t>
        </is>
      </c>
      <c r="B216" s="8" t="inlineStr">
        <is>
          <t>Library</t>
        </is>
      </c>
      <c r="C216" s="8" t="inlineStr">
        <is>
          <t>Library</t>
        </is>
      </c>
      <c r="D216" s="8" t="inlineStr">
        <is>
          <t>Book Cataloging &amp; Accession Register</t>
        </is>
      </c>
      <c r="E216" s="10" t="inlineStr">
        <is>
          <t>Check</t>
        </is>
      </c>
      <c r="F216" s="8" t="inlineStr">
        <is>
          <t>core</t>
        </is>
      </c>
      <c r="G216" s="8" t="inlineStr">
        <is>
          <t>Must-Have</t>
        </is>
      </c>
      <c r="H216" s="8" t="inlineStr">
        <is>
          <t>campus</t>
        </is>
      </c>
      <c r="I216" s="8" t="inlineStr">
        <is>
          <t>librarian.library.book_cataloging_accession_register</t>
        </is>
      </c>
      <c r="J216" s="8" t="inlineStr">
        <is>
          <t>web/src/features/operations/Library.tsx</t>
        </is>
      </c>
      <c r="K216" s="8" t="inlineStr"/>
      <c r="L216" s="8" t="n">
        <v>7</v>
      </c>
      <c r="M216" s="8" t="inlineStr">
        <is>
          <t>/attendance/nudge
/attention
/ops/library/issue
/ops/library/loans
/ops/library/loans/{}/return
/ops/library/titles
/ops/library/titles/{}/copies</t>
        </is>
      </c>
      <c r="N216" s="8" t="inlineStr">
        <is>
          <t>worker/src/routes/admin/loose.ts
worker/src/routes/daily.ts
worker/src/routes/ops/library.ts</t>
        </is>
      </c>
      <c r="O216" s="8" t="n">
        <v>71</v>
      </c>
      <c r="P216" s="8" t="inlineStr">
        <is>
          <t>absence_followup_section_done
academic_years
api_keys
applications
attendance_corrections
bell_schedules
board_memberships
campuses
class_subjects
classes
… +61 more</t>
        </is>
      </c>
      <c r="Q216" s="8" t="inlineStr">
        <is>
          <t>edge.test.ts
library_fines.test.ts</t>
        </is>
      </c>
      <c r="R216" s="8" t="inlineStr">
        <is>
          <t>2 step(s) in its backend files answer "not ported" (see Not ported tab).</t>
        </is>
      </c>
      <c r="S216" s="8" t="inlineStr">
        <is>
          <t>Maintain master book register, ISBN numbers, author, publisher, genre, and rack location.</t>
        </is>
      </c>
    </row>
    <row r="217">
      <c r="A217" s="8" t="inlineStr">
        <is>
          <t>Librarian</t>
        </is>
      </c>
      <c r="B217" s="8" t="inlineStr">
        <is>
          <t>Library</t>
        </is>
      </c>
      <c r="C217" s="8" t="inlineStr">
        <is>
          <t>Library</t>
        </is>
      </c>
      <c r="D217" s="8" t="inlineStr">
        <is>
          <t>Barcode &amp; Spine Label Printing</t>
        </is>
      </c>
      <c r="E217" s="11" t="inlineStr">
        <is>
          <t>Good</t>
        </is>
      </c>
      <c r="F217" s="8" t="inlineStr">
        <is>
          <t>core</t>
        </is>
      </c>
      <c r="G217" s="8" t="inlineStr">
        <is>
          <t>Should-Have</t>
        </is>
      </c>
      <c r="H217" s="8" t="inlineStr">
        <is>
          <t>campus</t>
        </is>
      </c>
      <c r="I217" s="8" t="inlineStr">
        <is>
          <t>librarian.library.barcode_spine_label_printing</t>
        </is>
      </c>
      <c r="J217" s="8" t="inlineStr">
        <is>
          <t>web/src/features/operations/LibraryDesk.tsx</t>
        </is>
      </c>
      <c r="K217" s="8" t="inlineStr"/>
      <c r="L217" s="8" t="n">
        <v>9</v>
      </c>
      <c r="M217" s="8" t="inlineStr">
        <is>
          <t>/academics/classes
/ops/library/audits
/ops/library/audits/{}/missing
/ops/library/audits/{}/scan
/ops/library/indents
/ops/library/reservations
/ops/library/reservations/{}/decide
/ops/library/titles
… +1 more</t>
        </is>
      </c>
      <c r="N217" s="8" t="inlineStr">
        <is>
          <t>worker/src/routes/academics.ts
worker/src/routes/ops/library.ts</t>
        </is>
      </c>
      <c r="O217" s="8" t="n">
        <v>27</v>
      </c>
      <c r="P217" s="8" t="inlineStr">
        <is>
          <t>academic_years
activities
class_subjects
classes
co_scholastic_areas
employees
enrollments
houses
lesson_plan_units
lesson_plans
… +17 more</t>
        </is>
      </c>
      <c r="Q217" s="8" t="inlineStr"/>
      <c r="R217" s="8" t="inlineStr"/>
      <c r="S217" s="8" t="inlineStr">
        <is>
          <t>Generate and print custom barcode labels and spine call tags for library books.</t>
        </is>
      </c>
    </row>
    <row r="218">
      <c r="A218" s="8" t="inlineStr">
        <is>
          <t>Librarian</t>
        </is>
      </c>
      <c r="B218" s="8" t="inlineStr">
        <is>
          <t>Library</t>
        </is>
      </c>
      <c r="C218" s="8" t="inlineStr">
        <is>
          <t>Library</t>
        </is>
      </c>
      <c r="D218" s="8" t="inlineStr">
        <is>
          <t>Book Issue &amp; Return Terminal</t>
        </is>
      </c>
      <c r="E218" s="10" t="inlineStr">
        <is>
          <t>Check</t>
        </is>
      </c>
      <c r="F218" s="8" t="inlineStr">
        <is>
          <t>core</t>
        </is>
      </c>
      <c r="G218" s="8" t="inlineStr">
        <is>
          <t>Must-Have</t>
        </is>
      </c>
      <c r="H218" s="8" t="inlineStr">
        <is>
          <t>campus</t>
        </is>
      </c>
      <c r="I218" s="8" t="inlineStr">
        <is>
          <t>librarian.library.book_issue_return_terminal</t>
        </is>
      </c>
      <c r="J218" s="8" t="inlineStr">
        <is>
          <t>web/src/features/operations/Library.tsx</t>
        </is>
      </c>
      <c r="K218" s="8" t="inlineStr"/>
      <c r="L218" s="8" t="n">
        <v>7</v>
      </c>
      <c r="M218" s="8" t="inlineStr">
        <is>
          <t>/attendance/nudge
/attention
/ops/library/issue
/ops/library/loans
/ops/library/loans/{}/return
/ops/library/titles
/ops/library/titles/{}/copies</t>
        </is>
      </c>
      <c r="N218" s="8" t="inlineStr">
        <is>
          <t>worker/src/routes/admin/loose.ts
worker/src/routes/daily.ts
worker/src/routes/ops/library.ts</t>
        </is>
      </c>
      <c r="O218" s="8" t="n">
        <v>71</v>
      </c>
      <c r="P218" s="8" t="inlineStr">
        <is>
          <t>absence_followup_section_done
academic_years
api_keys
applications
attendance_corrections
bell_schedules
board_memberships
campuses
class_subjects
classes
… +61 more</t>
        </is>
      </c>
      <c r="Q218" s="8" t="inlineStr">
        <is>
          <t>edge.test.ts
library_fines.test.ts</t>
        </is>
      </c>
      <c r="R218" s="8" t="inlineStr">
        <is>
          <t>2 step(s) in its backend files answer "not ported" (see Not ported tab).</t>
        </is>
      </c>
      <c r="S218" s="8" t="inlineStr">
        <is>
          <t>Scan student ID and book barcode to issue or return books in &lt;5 seconds.</t>
        </is>
      </c>
    </row>
    <row r="219">
      <c r="A219" s="8" t="inlineStr">
        <is>
          <t>Librarian</t>
        </is>
      </c>
      <c r="B219" s="8" t="inlineStr">
        <is>
          <t>Library</t>
        </is>
      </c>
      <c r="C219" s="8" t="inlineStr">
        <is>
          <t>Library</t>
        </is>
      </c>
      <c r="D219" s="8" t="inlineStr">
        <is>
          <t>Book Reservation Queue</t>
        </is>
      </c>
      <c r="E219" s="11" t="inlineStr">
        <is>
          <t>Good</t>
        </is>
      </c>
      <c r="F219" s="8" t="inlineStr">
        <is>
          <t>core</t>
        </is>
      </c>
      <c r="G219" s="8" t="inlineStr">
        <is>
          <t>Must-Have</t>
        </is>
      </c>
      <c r="H219" s="8" t="inlineStr">
        <is>
          <t>campus</t>
        </is>
      </c>
      <c r="I219" s="8" t="inlineStr">
        <is>
          <t>librarian.library.book_reservation_queue</t>
        </is>
      </c>
      <c r="J219" s="8" t="inlineStr">
        <is>
          <t>web/src/features/operations/LibraryDesk.tsx</t>
        </is>
      </c>
      <c r="K219" s="8" t="inlineStr"/>
      <c r="L219" s="8" t="n">
        <v>9</v>
      </c>
      <c r="M219" s="8" t="inlineStr">
        <is>
          <t>/academics/classes
/ops/library/audits
/ops/library/audits/{}/missing
/ops/library/audits/{}/scan
/ops/library/indents
/ops/library/reservations
/ops/library/reservations/{}/decide
/ops/library/titles
… +1 more</t>
        </is>
      </c>
      <c r="N219" s="8" t="inlineStr">
        <is>
          <t>worker/src/routes/academics.ts
worker/src/routes/ops/library.ts</t>
        </is>
      </c>
      <c r="O219" s="8" t="n">
        <v>27</v>
      </c>
      <c r="P219" s="8" t="inlineStr">
        <is>
          <t>academic_years
activities
class_subjects
classes
co_scholastic_areas
employees
enrollments
houses
lesson_plan_units
lesson_plans
… +17 more</t>
        </is>
      </c>
      <c r="Q219" s="8" t="inlineStr"/>
      <c r="R219" s="8" t="inlineStr"/>
      <c r="S219" s="8" t="inlineStr">
        <is>
          <t>Auto-notify students when a reserved book is returned and available for collection.</t>
        </is>
      </c>
    </row>
    <row r="220">
      <c r="A220" s="8" t="inlineStr">
        <is>
          <t>Librarian</t>
        </is>
      </c>
      <c r="B220" s="8" t="inlineStr">
        <is>
          <t>Library</t>
        </is>
      </c>
      <c r="C220" s="8" t="inlineStr">
        <is>
          <t>Library</t>
        </is>
      </c>
      <c r="D220" s="8" t="inlineStr">
        <is>
          <t>Fine &amp; Penalty Summary</t>
        </is>
      </c>
      <c r="E220" s="11" t="inlineStr">
        <is>
          <t>Good</t>
        </is>
      </c>
      <c r="F220" s="8" t="inlineStr">
        <is>
          <t>core</t>
        </is>
      </c>
      <c r="G220" s="8" t="inlineStr">
        <is>
          <t>Must-Have</t>
        </is>
      </c>
      <c r="H220" s="8" t="inlineStr">
        <is>
          <t>campus</t>
        </is>
      </c>
      <c r="I220" s="8" t="inlineStr">
        <is>
          <t>librarian.library.fine_penalty_summary</t>
        </is>
      </c>
      <c r="J220" s="8" t="inlineStr">
        <is>
          <t>web/src/features/operations/LibraryFines.tsx</t>
        </is>
      </c>
      <c r="K220" s="8" t="inlineStr"/>
      <c r="L220" s="8" t="n">
        <v>4</v>
      </c>
      <c r="M220" s="8" t="inlineStr">
        <is>
          <t>/ops/library/fines/settings
/ops/library/fines/summary
/ops/library/loans/{}/fine/collect
/ops/library/loans/{}/fine/waive</t>
        </is>
      </c>
      <c r="N220" s="8" t="inlineStr">
        <is>
          <t>worker/src/routes/ops/library.ts</t>
        </is>
      </c>
      <c r="O220" s="8" t="n">
        <v>16</v>
      </c>
      <c r="P220" s="8" t="inlineStr">
        <is>
          <t>academic_years
classes
employees
enrollments
library_audit_scans
library_copies
library_loans
library_reservations
library_stock_audits
library_titles
… +6 more</t>
        </is>
      </c>
      <c r="Q220" s="8" t="inlineStr">
        <is>
          <t>library_fines.test.ts</t>
        </is>
      </c>
      <c r="R220" s="8" t="inlineStr"/>
      <c r="S220" s="8" t="inlineStr">
        <is>
          <t>Fines collected and fines still outstanding, as totals. A principal does not work a fine out; they want to know what the library is owed.</t>
        </is>
      </c>
    </row>
    <row r="221">
      <c r="A221" s="8" t="inlineStr">
        <is>
          <t>Librarian</t>
        </is>
      </c>
      <c r="B221" s="8" t="inlineStr">
        <is>
          <t>Library</t>
        </is>
      </c>
      <c r="C221" s="8" t="inlineStr">
        <is>
          <t>Library</t>
        </is>
      </c>
      <c r="D221" s="8" t="inlineStr">
        <is>
          <t>OPAC Digital Book Search</t>
        </is>
      </c>
      <c r="E221" s="11" t="inlineStr">
        <is>
          <t>Good</t>
        </is>
      </c>
      <c r="F221" s="8" t="inlineStr">
        <is>
          <t>core</t>
        </is>
      </c>
      <c r="G221" s="8" t="inlineStr">
        <is>
          <t>Must-Have</t>
        </is>
      </c>
      <c r="H221" s="8" t="inlineStr">
        <is>
          <t>campus</t>
        </is>
      </c>
      <c r="I221" s="8" t="inlineStr">
        <is>
          <t>librarian.library.opac_digital_book_search</t>
        </is>
      </c>
      <c r="J221" s="8" t="inlineStr">
        <is>
          <t>web/src/features/operations/DigitalLibrary.tsx</t>
        </is>
      </c>
      <c r="K221" s="8" t="inlineStr"/>
      <c r="L221" s="8" t="n">
        <v>9</v>
      </c>
      <c r="M221" s="8" t="inlineStr">
        <is>
          <t>/ops/digital-library/audiences
/ops/digital-library/catalogue
/ops/digital-library/holdings
/ops/digital-library/holdings/{}
/ops/digital-library/holdings/{}/access
/ops/digital-library/holdings/{}/borrow
/ops/digital-library/holdings/{}/visibility
/ops/digital-library/providers
… +1 more</t>
        </is>
      </c>
      <c r="N221" s="8" t="inlineStr">
        <is>
          <t>worker/src/routes/ops/digital_library.ts</t>
        </is>
      </c>
      <c r="O221" s="8" t="n">
        <v>18</v>
      </c>
      <c r="P221" s="8" t="inlineStr">
        <is>
          <t>campuses
classes
digital_holding_opens
digital_holding_visibility
digital_holdings
digital_library_providers
employees
enrollments
files
guardians
… +8 more</t>
        </is>
      </c>
      <c r="Q221" s="8" t="inlineStr"/>
      <c r="R221" s="8" t="inlineStr"/>
      <c r="S221" s="8" t="inlineStr">
        <is>
          <t>Online Public Access Catalog for students to search book availability and reserve books.</t>
        </is>
      </c>
    </row>
    <row r="222">
      <c r="A222" s="8" t="inlineStr">
        <is>
          <t>Librarian</t>
        </is>
      </c>
      <c r="B222" s="8" t="inlineStr">
        <is>
          <t>Library</t>
        </is>
      </c>
      <c r="C222" s="8" t="inlineStr">
        <is>
          <t>Library</t>
        </is>
      </c>
      <c r="D222" s="8" t="inlineStr">
        <is>
          <t>Digital Library Usage</t>
        </is>
      </c>
      <c r="E222" s="11" t="inlineStr">
        <is>
          <t>Good</t>
        </is>
      </c>
      <c r="F222" s="8" t="inlineStr">
        <is>
          <t>core</t>
        </is>
      </c>
      <c r="G222" s="8" t="inlineStr">
        <is>
          <t>Must-Have</t>
        </is>
      </c>
      <c r="H222" s="8" t="inlineStr">
        <is>
          <t>campus</t>
        </is>
      </c>
      <c r="I222" s="8" t="inlineStr">
        <is>
          <t>librarian.library.digital_library_usage</t>
        </is>
      </c>
      <c r="J222" s="8" t="inlineStr">
        <is>
          <t>web/src/features/operations/DigitalUsage.tsx</t>
        </is>
      </c>
      <c r="K222" s="8" t="inlineStr"/>
      <c r="L222" s="8" t="n">
        <v>1</v>
      </c>
      <c r="M222" s="8" t="inlineStr">
        <is>
          <t>/ops/digital-library/usage</t>
        </is>
      </c>
      <c r="N222" s="8" t="inlineStr">
        <is>
          <t>worker/src/routes/ops/digital_library.ts</t>
        </is>
      </c>
      <c r="O222" s="8" t="n">
        <v>18</v>
      </c>
      <c r="P222" s="8" t="inlineStr">
        <is>
          <t>campuses
classes
digital_holding_opens
digital_holding_visibility
digital_holdings
digital_library_providers
employees
enrollments
files
guardians
… +8 more</t>
        </is>
      </c>
      <c r="Q222" s="8" t="inlineStr"/>
      <c r="R222" s="8" t="inlineStr"/>
      <c r="S222" s="8" t="inlineStr">
        <is>
          <t>Whether the e-books and journals the school pays for are being opened: active readers and how engagement is moving month to month.</t>
        </is>
      </c>
    </row>
    <row r="223">
      <c r="A223" s="8" t="inlineStr">
        <is>
          <t>Librarian</t>
        </is>
      </c>
      <c r="B223" s="8" t="inlineStr">
        <is>
          <t>Library</t>
        </is>
      </c>
      <c r="C223" s="8" t="inlineStr">
        <is>
          <t>Library</t>
        </is>
      </c>
      <c r="D223" s="8" t="inlineStr">
        <is>
          <t>Annual Book Stock Verification</t>
        </is>
      </c>
      <c r="E223" s="11" t="inlineStr">
        <is>
          <t>Good</t>
        </is>
      </c>
      <c r="F223" s="8" t="inlineStr">
        <is>
          <t>core</t>
        </is>
      </c>
      <c r="G223" s="8" t="inlineStr">
        <is>
          <t>Must-Have</t>
        </is>
      </c>
      <c r="H223" s="8" t="inlineStr">
        <is>
          <t>campus</t>
        </is>
      </c>
      <c r="I223" s="8" t="inlineStr">
        <is>
          <t>librarian.library.annual_book_stock_verification</t>
        </is>
      </c>
      <c r="J223" s="8" t="inlineStr">
        <is>
          <t>web/src/features/operations/LibraryDesk.tsx</t>
        </is>
      </c>
      <c r="K223" s="8" t="inlineStr"/>
      <c r="L223" s="8" t="n">
        <v>9</v>
      </c>
      <c r="M223" s="8" t="inlineStr">
        <is>
          <t>/academics/classes
/ops/library/audits
/ops/library/audits/{}/missing
/ops/library/audits/{}/scan
/ops/library/indents
/ops/library/reservations
/ops/library/reservations/{}/decide
/ops/library/titles
… +1 more</t>
        </is>
      </c>
      <c r="N223" s="8" t="inlineStr">
        <is>
          <t>worker/src/routes/academics.ts
worker/src/routes/ops/library.ts</t>
        </is>
      </c>
      <c r="O223" s="8" t="n">
        <v>27</v>
      </c>
      <c r="P223" s="8" t="inlineStr">
        <is>
          <t>academic_years
activities
class_subjects
classes
co_scholastic_areas
employees
enrollments
houses
lesson_plan_units
lesson_plans
… +17 more</t>
        </is>
      </c>
      <c r="Q223" s="8" t="inlineStr"/>
      <c r="R223" s="8" t="inlineStr"/>
      <c r="S223" s="8" t="inlineStr">
        <is>
          <t>The yearly count: what is on the shelves, what is missing, what is damaged, and the signature that closes the year's stock record.</t>
        </is>
      </c>
    </row>
    <row r="224">
      <c r="A224" s="8" t="inlineStr">
        <is>
          <t>Librarian</t>
        </is>
      </c>
      <c r="B224" s="8" t="inlineStr">
        <is>
          <t>Library</t>
        </is>
      </c>
      <c r="C224" s="8" t="inlineStr">
        <is>
          <t>Library</t>
        </is>
      </c>
      <c r="D224" s="8" t="inlineStr">
        <is>
          <t>New Session Textbook Orders</t>
        </is>
      </c>
      <c r="E224" s="11" t="inlineStr">
        <is>
          <t>Good</t>
        </is>
      </c>
      <c r="F224" s="8" t="inlineStr">
        <is>
          <t>advanced</t>
        </is>
      </c>
      <c r="G224" s="8" t="inlineStr">
        <is>
          <t>Must-Have</t>
        </is>
      </c>
      <c r="H224" s="8" t="inlineStr">
        <is>
          <t>campus</t>
        </is>
      </c>
      <c r="I224" s="8" t="inlineStr">
        <is>
          <t>librarian.library.new_session_textbook_orders</t>
        </is>
      </c>
      <c r="J224" s="8" t="inlineStr">
        <is>
          <t>web/src/features/operations/LibraryDesk.tsx</t>
        </is>
      </c>
      <c r="K224" s="8" t="inlineStr"/>
      <c r="L224" s="8" t="n">
        <v>9</v>
      </c>
      <c r="M224" s="8" t="inlineStr">
        <is>
          <t>/academics/classes
/ops/library/audits
/ops/library/audits/{}/missing
/ops/library/audits/{}/scan
/ops/library/indents
/ops/library/reservations
/ops/library/reservations/{}/decide
/ops/library/titles
… +1 more</t>
        </is>
      </c>
      <c r="N224" s="8" t="inlineStr">
        <is>
          <t>worker/src/routes/academics.ts
worker/src/routes/ops/library.ts</t>
        </is>
      </c>
      <c r="O224" s="8" t="n">
        <v>27</v>
      </c>
      <c r="P224" s="8" t="inlineStr">
        <is>
          <t>academic_years
activities
class_subjects
classes
co_scholastic_areas
employees
enrollments
houses
lesson_plan_units
lesson_plans
… +17 more</t>
        </is>
      </c>
      <c r="Q224" s="8" t="inlineStr"/>
      <c r="R224" s="8" t="inlineStr"/>
      <c r="S224" s="8" t="inlineStr">
        <is>
          <t>Next year's textbook requirement, class by class against the roll, for the principal to approve before it is ordered.</t>
        </is>
      </c>
    </row>
    <row r="225">
      <c r="A225" s="8" t="inlineStr">
        <is>
          <t>Librarian</t>
        </is>
      </c>
      <c r="B225" s="8" t="inlineStr">
        <is>
          <t>Library</t>
        </is>
      </c>
      <c r="C225" s="8" t="inlineStr">
        <is>
          <t>Library</t>
        </is>
      </c>
      <c r="D225" s="8" t="inlineStr">
        <is>
          <t>Books &amp; copies</t>
        </is>
      </c>
      <c r="E225" s="10" t="inlineStr">
        <is>
          <t>Check</t>
        </is>
      </c>
      <c r="F225" s="8" t="inlineStr">
        <is>
          <t>core</t>
        </is>
      </c>
      <c r="G225" s="8" t="inlineStr">
        <is>
          <t>Must-Have</t>
        </is>
      </c>
      <c r="H225" s="8" t="inlineStr">
        <is>
          <t>campus</t>
        </is>
      </c>
      <c r="I225" s="8" t="inlineStr">
        <is>
          <t>librarian.library.books_copies</t>
        </is>
      </c>
      <c r="J225" s="8" t="inlineStr">
        <is>
          <t>web/src/features/operations/Library.tsx</t>
        </is>
      </c>
      <c r="K225" s="8" t="inlineStr"/>
      <c r="L225" s="8" t="n">
        <v>7</v>
      </c>
      <c r="M225" s="8" t="inlineStr">
        <is>
          <t>/attendance/nudge
/attention
/ops/library/issue
/ops/library/loans
/ops/library/loans/{}/return
/ops/library/titles
/ops/library/titles/{}/copies</t>
        </is>
      </c>
      <c r="N225" s="8" t="inlineStr">
        <is>
          <t>worker/src/routes/admin/loose.ts
worker/src/routes/daily.ts
worker/src/routes/ops/library.ts</t>
        </is>
      </c>
      <c r="O225" s="8" t="n">
        <v>71</v>
      </c>
      <c r="P225" s="8" t="inlineStr">
        <is>
          <t>absence_followup_section_done
academic_years
api_keys
applications
attendance_corrections
bell_schedules
board_memberships
campuses
class_subjects
classes
… +61 more</t>
        </is>
      </c>
      <c r="Q225" s="8" t="inlineStr">
        <is>
          <t>edge.test.ts
library_fines.test.ts</t>
        </is>
      </c>
      <c r="R225" s="8" t="inlineStr">
        <is>
          <t>2 step(s) in its backend files answer "not ported" (see Not ported tab).</t>
        </is>
      </c>
      <c r="S225" s="8" t="inlineStr">
        <is>
          <t>Titles, editions and the individual copies held against each.</t>
        </is>
      </c>
    </row>
    <row r="226">
      <c r="A226" s="8" t="inlineStr">
        <is>
          <t>Librarian</t>
        </is>
      </c>
      <c r="B226" s="8" t="inlineStr">
        <is>
          <t>Library</t>
        </is>
      </c>
      <c r="C226" s="8" t="inlineStr">
        <is>
          <t>Library</t>
        </is>
      </c>
      <c r="D226" s="8" t="inlineStr">
        <is>
          <t>Accession register</t>
        </is>
      </c>
      <c r="E226" s="10" t="inlineStr">
        <is>
          <t>Check</t>
        </is>
      </c>
      <c r="F226" s="8" t="inlineStr">
        <is>
          <t>core</t>
        </is>
      </c>
      <c r="G226" s="8" t="inlineStr">
        <is>
          <t>Must-Have</t>
        </is>
      </c>
      <c r="H226" s="8" t="inlineStr">
        <is>
          <t>campus</t>
        </is>
      </c>
      <c r="I226" s="8" t="inlineStr">
        <is>
          <t>librarian.library.accession_register</t>
        </is>
      </c>
      <c r="J226" s="8" t="inlineStr">
        <is>
          <t>web/src/features/operations/Library.tsx</t>
        </is>
      </c>
      <c r="K226" s="8" t="inlineStr"/>
      <c r="L226" s="8" t="n">
        <v>7</v>
      </c>
      <c r="M226" s="8" t="inlineStr">
        <is>
          <t>/attendance/nudge
/attention
/ops/library/issue
/ops/library/loans
/ops/library/loans/{}/return
/ops/library/titles
/ops/library/titles/{}/copies</t>
        </is>
      </c>
      <c r="N226" s="8" t="inlineStr">
        <is>
          <t>worker/src/routes/admin/loose.ts
worker/src/routes/daily.ts
worker/src/routes/ops/library.ts</t>
        </is>
      </c>
      <c r="O226" s="8" t="n">
        <v>71</v>
      </c>
      <c r="P226" s="8" t="inlineStr">
        <is>
          <t>absence_followup_section_done
academic_years
api_keys
applications
attendance_corrections
bell_schedules
board_memberships
campuses
class_subjects
classes
… +61 more</t>
        </is>
      </c>
      <c r="Q226" s="8" t="inlineStr">
        <is>
          <t>edge.test.ts
library_fines.test.ts</t>
        </is>
      </c>
      <c r="R226" s="8" t="inlineStr">
        <is>
          <t>2 step(s) in its backend files answer "not ported" (see Not ported tab).</t>
        </is>
      </c>
      <c r="S226" s="8" t="inlineStr">
        <is>
          <t>The statutory accession register, with barcode and spine label printing.</t>
        </is>
      </c>
    </row>
    <row r="227">
      <c r="A227" s="8" t="inlineStr">
        <is>
          <t>Librarian</t>
        </is>
      </c>
      <c r="B227" s="8" t="inlineStr">
        <is>
          <t>Library</t>
        </is>
      </c>
      <c r="C227" s="8" t="inlineStr">
        <is>
          <t>Library</t>
        </is>
      </c>
      <c r="D227" s="8" t="inlineStr">
        <is>
          <t>Issue &amp; return</t>
        </is>
      </c>
      <c r="E227" s="10" t="inlineStr">
        <is>
          <t>Check</t>
        </is>
      </c>
      <c r="F227" s="8" t="inlineStr">
        <is>
          <t>core</t>
        </is>
      </c>
      <c r="G227" s="8" t="inlineStr">
        <is>
          <t>Must-Have</t>
        </is>
      </c>
      <c r="H227" s="8" t="inlineStr">
        <is>
          <t>campus</t>
        </is>
      </c>
      <c r="I227" s="8" t="inlineStr">
        <is>
          <t>librarian.library.issue_return</t>
        </is>
      </c>
      <c r="J227" s="8" t="inlineStr">
        <is>
          <t>web/src/features/operations/Library.tsx</t>
        </is>
      </c>
      <c r="K227" s="8" t="inlineStr"/>
      <c r="L227" s="8" t="n">
        <v>7</v>
      </c>
      <c r="M227" s="8" t="inlineStr">
        <is>
          <t>/attendance/nudge
/attention
/ops/library/issue
/ops/library/loans
/ops/library/loans/{}/return
/ops/library/titles
/ops/library/titles/{}/copies</t>
        </is>
      </c>
      <c r="N227" s="8" t="inlineStr">
        <is>
          <t>worker/src/routes/admin/loose.ts
worker/src/routes/daily.ts
worker/src/routes/ops/library.ts</t>
        </is>
      </c>
      <c r="O227" s="8" t="n">
        <v>71</v>
      </c>
      <c r="P227" s="8" t="inlineStr">
        <is>
          <t>absence_followup_section_done
academic_years
api_keys
applications
attendance_corrections
bell_schedules
board_memberships
campuses
class_subjects
classes
… +61 more</t>
        </is>
      </c>
      <c r="Q227" s="8" t="inlineStr">
        <is>
          <t>edge.test.ts
library_fines.test.ts</t>
        </is>
      </c>
      <c r="R227" s="8" t="inlineStr">
        <is>
          <t>2 step(s) in its backend files answer "not ported" (see Not ported tab).</t>
        </is>
      </c>
      <c r="S227" s="8" t="inlineStr">
        <is>
          <t>The counter: scan a card, scan a book, issue or take it back.</t>
        </is>
      </c>
    </row>
    <row r="228">
      <c r="A228" s="8" t="inlineStr">
        <is>
          <t>Librarian</t>
        </is>
      </c>
      <c r="B228" s="8" t="inlineStr">
        <is>
          <t>Library</t>
        </is>
      </c>
      <c r="C228" s="8" t="inlineStr">
        <is>
          <t>Library</t>
        </is>
      </c>
      <c r="D228" s="8" t="inlineStr">
        <is>
          <t>Reservations</t>
        </is>
      </c>
      <c r="E228" s="11" t="inlineStr">
        <is>
          <t>Good</t>
        </is>
      </c>
      <c r="F228" s="8" t="inlineStr">
        <is>
          <t>core</t>
        </is>
      </c>
      <c r="G228" s="8" t="inlineStr">
        <is>
          <t>Must-Have</t>
        </is>
      </c>
      <c r="H228" s="8" t="inlineStr">
        <is>
          <t>campus</t>
        </is>
      </c>
      <c r="I228" s="8" t="inlineStr">
        <is>
          <t>librarian.library.reservations</t>
        </is>
      </c>
      <c r="J228" s="8" t="inlineStr">
        <is>
          <t>web/src/features/operations/LibraryDesk.tsx</t>
        </is>
      </c>
      <c r="K228" s="8" t="inlineStr"/>
      <c r="L228" s="8" t="n">
        <v>9</v>
      </c>
      <c r="M228" s="8" t="inlineStr">
        <is>
          <t>/academics/classes
/ops/library/audits
/ops/library/audits/{}/missing
/ops/library/audits/{}/scan
/ops/library/indents
/ops/library/reservations
/ops/library/reservations/{}/decide
/ops/library/titles
… +1 more</t>
        </is>
      </c>
      <c r="N228" s="8" t="inlineStr">
        <is>
          <t>worker/src/routes/academics.ts
worker/src/routes/ops/library.ts</t>
        </is>
      </c>
      <c r="O228" s="8" t="n">
        <v>27</v>
      </c>
      <c r="P228" s="8" t="inlineStr">
        <is>
          <t>academic_years
activities
class_subjects
classes
co_scholastic_areas
employees
enrollments
houses
lesson_plan_units
lesson_plans
… +17 more</t>
        </is>
      </c>
      <c r="Q228" s="8" t="inlineStr"/>
      <c r="R228" s="8" t="inlineStr"/>
      <c r="S228" s="8" t="inlineStr">
        <is>
          <t>Holds placed by students and staff, and who is next in the queue.</t>
        </is>
      </c>
    </row>
    <row r="229">
      <c r="A229" s="8" t="inlineStr">
        <is>
          <t>Librarian</t>
        </is>
      </c>
      <c r="B229" s="8" t="inlineStr">
        <is>
          <t>Library</t>
        </is>
      </c>
      <c r="C229" s="8" t="inlineStr">
        <is>
          <t>Library</t>
        </is>
      </c>
      <c r="D229" s="8" t="inlineStr">
        <is>
          <t>Fines</t>
        </is>
      </c>
      <c r="E229" s="10" t="inlineStr">
        <is>
          <t>Check</t>
        </is>
      </c>
      <c r="F229" s="8" t="inlineStr">
        <is>
          <t>core</t>
        </is>
      </c>
      <c r="G229" s="8" t="inlineStr">
        <is>
          <t>Must-Have</t>
        </is>
      </c>
      <c r="H229" s="8" t="inlineStr">
        <is>
          <t>campus</t>
        </is>
      </c>
      <c r="I229" s="8" t="inlineStr">
        <is>
          <t>librarian.library.fines</t>
        </is>
      </c>
      <c r="J229" s="8" t="inlineStr">
        <is>
          <t>web/src/features/operations/Library.tsx</t>
        </is>
      </c>
      <c r="K229" s="8" t="inlineStr"/>
      <c r="L229" s="8" t="n">
        <v>7</v>
      </c>
      <c r="M229" s="8" t="inlineStr">
        <is>
          <t>/attendance/nudge
/attention
/ops/library/issue
/ops/library/loans
/ops/library/loans/{}/return
/ops/library/titles
/ops/library/titles/{}/copies</t>
        </is>
      </c>
      <c r="N229" s="8" t="inlineStr">
        <is>
          <t>worker/src/routes/admin/loose.ts
worker/src/routes/daily.ts
worker/src/routes/ops/library.ts</t>
        </is>
      </c>
      <c r="O229" s="8" t="n">
        <v>71</v>
      </c>
      <c r="P229" s="8" t="inlineStr">
        <is>
          <t>absence_followup_section_done
academic_years
api_keys
applications
attendance_corrections
bell_schedules
board_memberships
campuses
class_subjects
classes
… +61 more</t>
        </is>
      </c>
      <c r="Q229" s="8" t="inlineStr">
        <is>
          <t>edge.test.ts
library_fines.test.ts</t>
        </is>
      </c>
      <c r="R229" s="8" t="inlineStr">
        <is>
          <t>2 step(s) in its backend files answer "not ported" (see Not ported tab).</t>
        </is>
      </c>
      <c r="S229" s="8" t="inlineStr">
        <is>
          <t>Overdue fines accrued, collected and waived, at the daily rate the school sets here. A fine is fixed when the book comes back; mark it paid or waive it.</t>
        </is>
      </c>
    </row>
    <row r="230">
      <c r="A230" s="8" t="inlineStr">
        <is>
          <t>Librarian</t>
        </is>
      </c>
      <c r="B230" s="8" t="inlineStr">
        <is>
          <t>Communication</t>
        </is>
      </c>
      <c r="C230" s="8" t="inlineStr">
        <is>
          <t>Communication</t>
        </is>
      </c>
      <c r="D230" s="8" t="inlineStr">
        <is>
          <t>Messages</t>
        </is>
      </c>
      <c r="E230" s="11" t="inlineStr">
        <is>
          <t>Good</t>
        </is>
      </c>
      <c r="F230" s="8" t="inlineStr">
        <is>
          <t>core</t>
        </is>
      </c>
      <c r="G230" s="8" t="inlineStr">
        <is>
          <t>Must-Have</t>
        </is>
      </c>
      <c r="H230" s="8" t="inlineStr">
        <is>
          <t>institution</t>
        </is>
      </c>
      <c r="I230" s="8" t="inlineStr">
        <is>
          <t>librarian.communication.messages</t>
        </is>
      </c>
      <c r="J230" s="8" t="inlineStr">
        <is>
          <t>web/src/features/comms/StaffMessages.tsx</t>
        </is>
      </c>
      <c r="K230" s="8" t="inlineStr"/>
      <c r="L230" s="8" t="n">
        <v>12</v>
      </c>
      <c r="M230" s="8" t="inlineStr">
        <is>
          <t>/chat/messages/{}
/chat/parent-thread/read
/chat/staff-thread/read
/files
/files/{}
/portal/messages
/staff-messages
/staff-messages/threads
… +4 more</t>
        </is>
      </c>
      <c r="N230" s="8" t="inlineStr">
        <is>
          <t>worker/src/routes/misc/chat.ts
worker/src/routes/misc/files.ts
worker/src/routes/portal/requests.ts
worker/src/routes/teaching/dashboards.ts</t>
        </is>
      </c>
      <c r="O230" s="8" t="n">
        <v>60</v>
      </c>
      <c r="P230" s="8" t="inlineStr">
        <is>
          <t>academic_years
announcement_acks
announcements
application_documents
applications
certificate_types
class_subjects
classes
departments
designations
… +50 more</t>
        </is>
      </c>
      <c r="Q230" s="8" t="inlineStr">
        <is>
          <t>live.test.ts</t>
        </is>
      </c>
      <c r="R230" s="8" t="inlineStr"/>
      <c r="S230" s="8" t="inlineStr">
        <is>
          <t>One colleague at a time. The staff address book, every teacher and every member of staff, and the thread you have with each of them, for asking a class teacher or the office something rather than sending a notice to the school.</t>
        </is>
      </c>
    </row>
    <row r="231">
      <c r="A231" s="8" t="inlineStr">
        <is>
          <t>Librarian</t>
        </is>
      </c>
      <c r="B231" s="8" t="inlineStr">
        <is>
          <t>My Profile</t>
        </is>
      </c>
      <c r="C231" s="8" t="inlineStr">
        <is>
          <t>My Profile</t>
        </is>
      </c>
      <c r="D231" s="8" t="inlineStr">
        <is>
          <t>My pay</t>
        </is>
      </c>
      <c r="E231" s="10" t="inlineStr">
        <is>
          <t>Check</t>
        </is>
      </c>
      <c r="F231" s="8" t="inlineStr">
        <is>
          <t>core</t>
        </is>
      </c>
      <c r="G231" s="8" t="inlineStr">
        <is>
          <t>Must-Have</t>
        </is>
      </c>
      <c r="H231" s="8" t="inlineStr">
        <is>
          <t>self</t>
        </is>
      </c>
      <c r="I231" s="8" t="inlineStr">
        <is>
          <t>librarian.my_profile.my_pay</t>
        </is>
      </c>
      <c r="J231" s="8" t="inlineStr">
        <is>
          <t>web/src/features/me/MyPay.tsx</t>
        </is>
      </c>
      <c r="K231" s="8" t="inlineStr"/>
      <c r="L231" s="8" t="n">
        <v>1</v>
      </c>
      <c r="M231" s="8" t="inlineStr">
        <is>
          <t>/me/pay</t>
        </is>
      </c>
      <c r="N231" s="8" t="inlineStr">
        <is>
          <t>worker/src/routes/daily.ts</t>
        </is>
      </c>
      <c r="O231" s="8" t="n">
        <v>51</v>
      </c>
      <c r="P231" s="8" t="inlineStr">
        <is>
          <t>absence_followup_section_done
academic_years
applications
attendance_corrections
bell_schedules
board_memberships
campuses
class_subjects
classes
departments
… +41 more</t>
        </is>
      </c>
      <c r="Q231" s="8" t="inlineStr"/>
      <c r="R231" s="8" t="inlineStr">
        <is>
          <t>1 step(s) in its backend files answer "not ported" (see Not ported tab).</t>
        </is>
      </c>
      <c r="S231" s="8" t="inlineStr">
        <is>
          <t>Your own payslips month by month, what was taken off and how much of it was tax, the days you were marked present, and the leave you have left. Only ever your own.</t>
        </is>
      </c>
    </row>
    <row r="232">
      <c r="A232" s="8" t="inlineStr">
        <is>
          <t>Transport Manager</t>
        </is>
      </c>
      <c r="B232" s="8" t="inlineStr">
        <is>
          <t>Transport</t>
        </is>
      </c>
      <c r="C232" s="8" t="inlineStr">
        <is>
          <t>Transport</t>
        </is>
      </c>
      <c r="D232" s="8" t="inlineStr">
        <is>
          <t>Vehicle Master Registry</t>
        </is>
      </c>
      <c r="E232" s="10" t="inlineStr">
        <is>
          <t>Check</t>
        </is>
      </c>
      <c r="F232" s="8" t="inlineStr">
        <is>
          <t>core</t>
        </is>
      </c>
      <c r="G232" s="8" t="inlineStr">
        <is>
          <t>Should-Have</t>
        </is>
      </c>
      <c r="H232" s="8" t="inlineStr">
        <is>
          <t>campus</t>
        </is>
      </c>
      <c r="I232" s="8" t="inlineStr">
        <is>
          <t>transport_manager.transport.vehicle_master_registry</t>
        </is>
      </c>
      <c r="J232" s="8" t="inlineStr">
        <is>
          <t>web/src/features/operations/Transport.tsx</t>
        </is>
      </c>
      <c r="K232" s="8" t="inlineStr"/>
      <c r="L232" s="8" t="n">
        <v>8</v>
      </c>
      <c r="M232" s="8" t="inlineStr">
        <is>
          <t>/attendance/nudge
/attention
/ops/transport/routes
/ops/transport/routes/{}/stops
/ops/transport/vehicles
/transport/trackers
/transport/trackers/pair
/transport/trackers/{}/approve</t>
        </is>
      </c>
      <c r="N232" s="8" t="inlineStr">
        <is>
          <t>worker/src/routes/admin/loose.ts
worker/src/routes/daily.ts
worker/src/routes/ops/transport.ts
worker/src/routes/scheduling/office.ts</t>
        </is>
      </c>
      <c r="O232" s="8" t="n">
        <v>75</v>
      </c>
      <c r="P232" s="8" t="inlineStr">
        <is>
          <t>absence_followup_section_done
academic_years
api_keys
applications
attendance_corrections
bell_schedules
board_memberships
campuses
class_subjects
classes
… +65 more</t>
        </is>
      </c>
      <c r="Q232" s="8" t="inlineStr">
        <is>
          <t>degenerate_numbers.test.ts
edge.test.ts</t>
        </is>
      </c>
      <c r="R232" s="8" t="inlineStr">
        <is>
          <t>2 step(s) in its backend files answer "not ported" (see Not ported tab).</t>
        </is>
      </c>
      <c r="S232" s="8" t="inlineStr">
        <is>
          <t>Maintain bus details, registration numbers, seating capacity, insurance expiry, and fitness certs.</t>
        </is>
      </c>
    </row>
    <row r="233">
      <c r="A233" s="8" t="inlineStr">
        <is>
          <t>Transport Manager</t>
        </is>
      </c>
      <c r="B233" s="8" t="inlineStr">
        <is>
          <t>Transport</t>
        </is>
      </c>
      <c r="C233" s="8" t="inlineStr">
        <is>
          <t>Transport</t>
        </is>
      </c>
      <c r="D233" s="8" t="inlineStr">
        <is>
          <t>Driver &amp; Attendant Profiles</t>
        </is>
      </c>
      <c r="E233" s="11" t="inlineStr">
        <is>
          <t>Good</t>
        </is>
      </c>
      <c r="F233" s="8" t="inlineStr">
        <is>
          <t>core</t>
        </is>
      </c>
      <c r="G233" s="8" t="inlineStr">
        <is>
          <t>Should-Have</t>
        </is>
      </c>
      <c r="H233" s="8" t="inlineStr">
        <is>
          <t>campus</t>
        </is>
      </c>
      <c r="I233" s="8" t="inlineStr">
        <is>
          <t>transport_manager.transport.driver_attendant_profiles</t>
        </is>
      </c>
      <c r="J233" s="8" t="inlineStr">
        <is>
          <t>web/src/features/operations/TransportOffice.tsx</t>
        </is>
      </c>
      <c r="K233" s="8" t="inlineStr"/>
      <c r="L233" s="8" t="n">
        <v>14</v>
      </c>
      <c r="M233" s="8" t="inlineStr">
        <is>
          <t>/ops/transport/allocations
/ops/transport/assignable-staff
/ops/transport/attendance
/ops/transport/checks
/ops/transport/incidents
/ops/transport/logs
/ops/transport/routes
/ops/transport/routes/{}
… +6 more</t>
        </is>
      </c>
      <c r="N233" s="8" t="inlineStr">
        <is>
          <t>worker/src/routes/ops/transport.ts
worker/src/routes/ops/transport_office.ts
worker/src/routes/setup/staff.ts</t>
        </is>
      </c>
      <c r="O233" s="8" t="n">
        <v>38</v>
      </c>
      <c r="P233" s="8" t="inlineStr">
        <is>
          <t>academic_years
biometric_devices
biometric_punches
campuses
class_subjects
classes
departments
designations
employee_documents
employees
… +28 more</t>
        </is>
      </c>
      <c r="Q233" s="8" t="inlineStr">
        <is>
          <t>degenerate_numbers.test.ts</t>
        </is>
      </c>
      <c r="R233" s="8" t="inlineStr"/>
      <c r="S233" s="8" t="inlineStr">
        <is>
          <t>Store driver licenses, police verification docs, phone numbers, and assigned bus routes.</t>
        </is>
      </c>
    </row>
    <row r="234">
      <c r="A234" s="8" t="inlineStr">
        <is>
          <t>Transport Manager</t>
        </is>
      </c>
      <c r="B234" s="8" t="inlineStr">
        <is>
          <t>Transport</t>
        </is>
      </c>
      <c r="C234" s="8" t="inlineStr">
        <is>
          <t>Transport</t>
        </is>
      </c>
      <c r="D234" s="8" t="inlineStr">
        <is>
          <t>Driver Phone Tracker</t>
        </is>
      </c>
      <c r="E234" s="11" t="inlineStr">
        <is>
          <t>Good</t>
        </is>
      </c>
      <c r="F234" s="8" t="inlineStr">
        <is>
          <t>core</t>
        </is>
      </c>
      <c r="G234" s="8" t="inlineStr">
        <is>
          <t>Must-Have</t>
        </is>
      </c>
      <c r="H234" s="8" t="inlineStr">
        <is>
          <t>institution</t>
        </is>
      </c>
      <c r="I234" s="8" t="inlineStr">
        <is>
          <t>transport_manager.transport.driver_phone_tracker</t>
        </is>
      </c>
      <c r="J234" s="8" t="inlineStr">
        <is>
          <t>web/src/features/super_admin/TrackerPairing.tsx</t>
        </is>
      </c>
      <c r="K234" s="8" t="inlineStr"/>
      <c r="L234" s="8" t="n">
        <v>1</v>
      </c>
      <c r="M234" s="8" t="inlineStr">
        <is>
          <t>/transport</t>
        </is>
      </c>
      <c r="N234" s="8" t="inlineStr">
        <is>
          <t>worker/src/routes/scheduling/office.ts</t>
        </is>
      </c>
      <c r="O234" s="8" t="n">
        <v>13</v>
      </c>
      <c r="P234" s="8" t="inlineStr">
        <is>
          <t>driver_notices
employees
route_stops
routes
transport_safety_events
transport_stop_events
transport_tracking_policy
users
vehicle_last_position
vehicle_tracker_pair_codes
… +3 more</t>
        </is>
      </c>
      <c r="Q234" s="8" t="inlineStr">
        <is>
          <t>degenerate_numbers.test.ts</t>
        </is>
      </c>
      <c r="R234" s="8" t="inlineStr"/>
      <c r="S234" s="8" t="inlineStr">
        <is>
          <t>Turn a driver''s own phone into the bus''s tracker: issue a pair code, see which handsets are paired, and revoke one that has left. The driver signs in with their own number and login, there is no hardware to buy.</t>
        </is>
      </c>
    </row>
    <row r="235">
      <c r="A235" s="8" t="inlineStr">
        <is>
          <t>Transport Manager</t>
        </is>
      </c>
      <c r="B235" s="8" t="inlineStr">
        <is>
          <t>Transport</t>
        </is>
      </c>
      <c r="C235" s="8" t="inlineStr">
        <is>
          <t>Transport</t>
        </is>
      </c>
      <c r="D235" s="8" t="inlineStr">
        <is>
          <t>Route &amp; Pickup Stop Mapping</t>
        </is>
      </c>
      <c r="E235" s="10" t="inlineStr">
        <is>
          <t>Check</t>
        </is>
      </c>
      <c r="F235" s="8" t="inlineStr">
        <is>
          <t>core</t>
        </is>
      </c>
      <c r="G235" s="8" t="inlineStr">
        <is>
          <t>Must-Have</t>
        </is>
      </c>
      <c r="H235" s="8" t="inlineStr">
        <is>
          <t>campus</t>
        </is>
      </c>
      <c r="I235" s="8" t="inlineStr">
        <is>
          <t>transport_manager.transport.route_pickup_stop_mapping</t>
        </is>
      </c>
      <c r="J235" s="8" t="inlineStr">
        <is>
          <t>web/src/features/operations/Transport.tsx</t>
        </is>
      </c>
      <c r="K235" s="8" t="inlineStr"/>
      <c r="L235" s="8" t="n">
        <v>8</v>
      </c>
      <c r="M235" s="8" t="inlineStr">
        <is>
          <t>/attendance/nudge
/attention
/ops/transport/routes
/ops/transport/routes/{}/stops
/ops/transport/vehicles
/transport/trackers
/transport/trackers/pair
/transport/trackers/{}/approve</t>
        </is>
      </c>
      <c r="N235" s="8" t="inlineStr">
        <is>
          <t>worker/src/routes/admin/loose.ts
worker/src/routes/daily.ts
worker/src/routes/ops/transport.ts
worker/src/routes/scheduling/office.ts</t>
        </is>
      </c>
      <c r="O235" s="8" t="n">
        <v>75</v>
      </c>
      <c r="P235" s="8" t="inlineStr">
        <is>
          <t>absence_followup_section_done
academic_years
api_keys
applications
attendance_corrections
bell_schedules
board_memberships
campuses
class_subjects
classes
… +65 more</t>
        </is>
      </c>
      <c r="Q235" s="8" t="inlineStr">
        <is>
          <t>degenerate_numbers.test.ts
edge.test.ts</t>
        </is>
      </c>
      <c r="R235" s="8" t="inlineStr">
        <is>
          <t>2 step(s) in its backend files answer "not ported" (see Not ported tab).</t>
        </is>
      </c>
      <c r="S235" s="8" t="inlineStr">
        <is>
          <t>Define bus routes, pick-up/drop-off stop locations, timings, and map associated transport fees.</t>
        </is>
      </c>
    </row>
    <row r="236">
      <c r="A236" s="8" t="inlineStr">
        <is>
          <t>Transport Manager</t>
        </is>
      </c>
      <c r="B236" s="8" t="inlineStr">
        <is>
          <t>Transport</t>
        </is>
      </c>
      <c r="C236" s="8" t="inlineStr">
        <is>
          <t>Transport</t>
        </is>
      </c>
      <c r="D236" s="8" t="inlineStr">
        <is>
          <t>Student Route Assignment</t>
        </is>
      </c>
      <c r="E236" s="11" t="inlineStr">
        <is>
          <t>Good</t>
        </is>
      </c>
      <c r="F236" s="8" t="inlineStr">
        <is>
          <t>core</t>
        </is>
      </c>
      <c r="G236" s="8" t="inlineStr">
        <is>
          <t>Must-Have</t>
        </is>
      </c>
      <c r="H236" s="8" t="inlineStr">
        <is>
          <t>campus</t>
        </is>
      </c>
      <c r="I236" s="8" t="inlineStr">
        <is>
          <t>transport_manager.transport.student_route_assignment</t>
        </is>
      </c>
      <c r="J236" s="8" t="inlineStr">
        <is>
          <t>web/src/features/operations/TransportOffice.tsx</t>
        </is>
      </c>
      <c r="K236" s="8" t="inlineStr"/>
      <c r="L236" s="8" t="n">
        <v>14</v>
      </c>
      <c r="M236" s="8" t="inlineStr">
        <is>
          <t>/ops/transport/allocations
/ops/transport/assignable-staff
/ops/transport/attendance
/ops/transport/checks
/ops/transport/incidents
/ops/transport/logs
/ops/transport/routes
/ops/transport/routes/{}
… +6 more</t>
        </is>
      </c>
      <c r="N236" s="8" t="inlineStr">
        <is>
          <t>worker/src/routes/ops/transport.ts
worker/src/routes/ops/transport_office.ts
worker/src/routes/setup/staff.ts</t>
        </is>
      </c>
      <c r="O236" s="8" t="n">
        <v>38</v>
      </c>
      <c r="P236" s="8" t="inlineStr">
        <is>
          <t>academic_years
biometric_devices
biometric_punches
campuses
class_subjects
classes
departments
designations
employee_documents
employees
… +28 more</t>
        </is>
      </c>
      <c r="Q236" s="8" t="inlineStr">
        <is>
          <t>degenerate_numbers.test.ts</t>
        </is>
      </c>
      <c r="R236" s="8" t="inlineStr"/>
      <c r="S236" s="8" t="inlineStr">
        <is>
          <t>Assign students to specific bus routes and pick-up stops with automated fee mapping.</t>
        </is>
      </c>
    </row>
    <row r="237">
      <c r="A237" s="8" t="inlineStr">
        <is>
          <t>Transport Manager</t>
        </is>
      </c>
      <c r="B237" s="8" t="inlineStr">
        <is>
          <t>Transport</t>
        </is>
      </c>
      <c r="C237" s="8" t="inlineStr">
        <is>
          <t>Transport</t>
        </is>
      </c>
      <c r="D237" s="8" t="inlineStr">
        <is>
          <t>Route Distance Fee Slabs</t>
        </is>
      </c>
      <c r="E237" s="10" t="inlineStr">
        <is>
          <t>Check</t>
        </is>
      </c>
      <c r="F237" s="8" t="inlineStr">
        <is>
          <t>core</t>
        </is>
      </c>
      <c r="G237" s="8" t="inlineStr">
        <is>
          <t>Must-Have</t>
        </is>
      </c>
      <c r="H237" s="8" t="inlineStr">
        <is>
          <t>campus</t>
        </is>
      </c>
      <c r="I237" s="8" t="inlineStr">
        <is>
          <t>transport_manager.transport.route_distance_fee_slabs</t>
        </is>
      </c>
      <c r="J237" s="8" t="inlineStr">
        <is>
          <t>web/src/features/operations/Transport.tsx</t>
        </is>
      </c>
      <c r="K237" s="8" t="inlineStr"/>
      <c r="L237" s="8" t="n">
        <v>8</v>
      </c>
      <c r="M237" s="8" t="inlineStr">
        <is>
          <t>/attendance/nudge
/attention
/ops/transport/routes
/ops/transport/routes/{}/stops
/ops/transport/vehicles
/transport/trackers
/transport/trackers/pair
/transport/trackers/{}/approve</t>
        </is>
      </c>
      <c r="N237" s="8" t="inlineStr">
        <is>
          <t>worker/src/routes/admin/loose.ts
worker/src/routes/daily.ts
worker/src/routes/ops/transport.ts
worker/src/routes/scheduling/office.ts</t>
        </is>
      </c>
      <c r="O237" s="8" t="n">
        <v>75</v>
      </c>
      <c r="P237" s="8" t="inlineStr">
        <is>
          <t>absence_followup_section_done
academic_years
api_keys
applications
attendance_corrections
bell_schedules
board_memberships
campuses
class_subjects
classes
… +65 more</t>
        </is>
      </c>
      <c r="Q237" s="8" t="inlineStr">
        <is>
          <t>degenerate_numbers.test.ts
edge.test.ts</t>
        </is>
      </c>
      <c r="R237" s="8" t="inlineStr">
        <is>
          <t>2 step(s) in its backend files answer "not ported" (see Not ported tab).</t>
        </is>
      </c>
      <c r="S237" s="8" t="inlineStr">
        <is>
          <t>Define transport fee slabs by route distance and auto-apply them to the student's fee structure.</t>
        </is>
      </c>
    </row>
    <row r="238">
      <c r="A238" s="8" t="inlineStr">
        <is>
          <t>Transport Manager</t>
        </is>
      </c>
      <c r="B238" s="8" t="inlineStr">
        <is>
          <t>Transport</t>
        </is>
      </c>
      <c r="C238" s="8" t="inlineStr">
        <is>
          <t>Transport</t>
        </is>
      </c>
      <c r="D238" s="8" t="inlineStr">
        <is>
          <t>Transport Attendance Scans</t>
        </is>
      </c>
      <c r="E238" s="11" t="inlineStr">
        <is>
          <t>Good</t>
        </is>
      </c>
      <c r="F238" s="8" t="inlineStr">
        <is>
          <t>core</t>
        </is>
      </c>
      <c r="G238" s="8" t="inlineStr">
        <is>
          <t>Must-Have</t>
        </is>
      </c>
      <c r="H238" s="8" t="inlineStr">
        <is>
          <t>campus</t>
        </is>
      </c>
      <c r="I238" s="8" t="inlineStr">
        <is>
          <t>transport_manager.transport.transport_attendance_scans</t>
        </is>
      </c>
      <c r="J238" s="8" t="inlineStr">
        <is>
          <t>web/src/features/operations/TransportOffice.tsx</t>
        </is>
      </c>
      <c r="K238" s="8" t="inlineStr"/>
      <c r="L238" s="8" t="n">
        <v>14</v>
      </c>
      <c r="M238" s="8" t="inlineStr">
        <is>
          <t>/ops/transport/allocations
/ops/transport/assignable-staff
/ops/transport/attendance
/ops/transport/checks
/ops/transport/incidents
/ops/transport/logs
/ops/transport/routes
/ops/transport/routes/{}
… +6 more</t>
        </is>
      </c>
      <c r="N238" s="8" t="inlineStr">
        <is>
          <t>worker/src/routes/ops/transport.ts
worker/src/routes/ops/transport_office.ts
worker/src/routes/setup/staff.ts</t>
        </is>
      </c>
      <c r="O238" s="8" t="n">
        <v>38</v>
      </c>
      <c r="P238" s="8" t="inlineStr">
        <is>
          <t>academic_years
biometric_devices
biometric_punches
campuses
class_subjects
classes
departments
designations
employee_documents
employees
… +28 more</t>
        </is>
      </c>
      <c r="Q238" s="8" t="inlineStr">
        <is>
          <t>degenerate_numbers.test.ts</t>
        </is>
      </c>
      <c r="R238" s="8" t="inlineStr"/>
      <c r="S238" s="8" t="inlineStr">
        <is>
          <t>Scan student RFID tags as they step on and off the bus to confirm safe transit.</t>
        </is>
      </c>
    </row>
    <row r="239">
      <c r="A239" s="8" t="inlineStr">
        <is>
          <t>Transport Manager</t>
        </is>
      </c>
      <c r="B239" s="8" t="inlineStr">
        <is>
          <t>Transport</t>
        </is>
      </c>
      <c r="C239" s="8" t="inlineStr">
        <is>
          <t>Transport</t>
        </is>
      </c>
      <c r="D239" s="8" t="inlineStr">
        <is>
          <t>Real-time Vehicle Tracking (VTS)</t>
        </is>
      </c>
      <c r="E239" s="11" t="inlineStr">
        <is>
          <t>Good</t>
        </is>
      </c>
      <c r="F239" s="8" t="inlineStr">
        <is>
          <t>core</t>
        </is>
      </c>
      <c r="G239" s="8" t="inlineStr">
        <is>
          <t>Should-Have</t>
        </is>
      </c>
      <c r="H239" s="8" t="inlineStr">
        <is>
          <t>campus</t>
        </is>
      </c>
      <c r="I239" s="8" t="inlineStr">
        <is>
          <t>transport_manager.transport.real_time_vehicle_tracking_vts</t>
        </is>
      </c>
      <c r="J239" s="8" t="inlineStr">
        <is>
          <t>web/src/features/operations/LiveVehicleMap.tsx</t>
        </is>
      </c>
      <c r="K239" s="8" t="inlineStr"/>
      <c r="L239" s="8" t="n">
        <v>3</v>
      </c>
      <c r="M239" s="8" t="inlineStr">
        <is>
          <t>/transport/live
/transport/map-stops
/transport/vehicles/{}/notices</t>
        </is>
      </c>
      <c r="N239" s="8" t="inlineStr">
        <is>
          <t>worker/src/routes/scheduling/office.ts</t>
        </is>
      </c>
      <c r="O239" s="8" t="n">
        <v>13</v>
      </c>
      <c r="P239" s="8" t="inlineStr">
        <is>
          <t>driver_notices
employees
route_stops
routes
transport_safety_events
transport_stop_events
transport_tracking_policy
users
vehicle_last_position
vehicle_tracker_pair_codes
… +3 more</t>
        </is>
      </c>
      <c r="Q239" s="8" t="inlineStr">
        <is>
          <t>degenerate_numbers.test.ts</t>
        </is>
      </c>
      <c r="R239" s="8" t="inlineStr"/>
      <c r="S239" s="8" t="inlineStr">
        <is>
          <t>View live GPS map of moving school buses, current speed, route adherence, and delay alerts.</t>
        </is>
      </c>
    </row>
    <row r="240">
      <c r="A240" s="8" t="inlineStr">
        <is>
          <t>Transport Manager</t>
        </is>
      </c>
      <c r="B240" s="8" t="inlineStr">
        <is>
          <t>Transport</t>
        </is>
      </c>
      <c r="C240" s="8" t="inlineStr">
        <is>
          <t>Transport</t>
        </is>
      </c>
      <c r="D240" s="8" t="inlineStr">
        <is>
          <t>Geo-fenced Bus Stop Alerts</t>
        </is>
      </c>
      <c r="E240" s="11" t="inlineStr">
        <is>
          <t>Good</t>
        </is>
      </c>
      <c r="F240" s="8" t="inlineStr">
        <is>
          <t>advanced</t>
        </is>
      </c>
      <c r="G240" s="8" t="inlineStr">
        <is>
          <t>Should-Have</t>
        </is>
      </c>
      <c r="H240" s="8" t="inlineStr">
        <is>
          <t>campus</t>
        </is>
      </c>
      <c r="I240" s="8" t="inlineStr">
        <is>
          <t>transport_manager.transport.geo_fenced_bus_stop_alerts</t>
        </is>
      </c>
      <c r="J240" s="8" t="inlineStr">
        <is>
          <t>web/src/features/operations/StopAlerts.tsx</t>
        </is>
      </c>
      <c r="K240" s="8" t="inlineStr"/>
      <c r="L240" s="8" t="n">
        <v>2</v>
      </c>
      <c r="M240" s="8" t="inlineStr">
        <is>
          <t>/transport/map-stops
/transport/stop-events</t>
        </is>
      </c>
      <c r="N240" s="8" t="inlineStr">
        <is>
          <t>worker/src/routes/scheduling/office.ts</t>
        </is>
      </c>
      <c r="O240" s="8" t="n">
        <v>13</v>
      </c>
      <c r="P240" s="8" t="inlineStr">
        <is>
          <t>driver_notices
employees
route_stops
routes
transport_safety_events
transport_stop_events
transport_tracking_policy
users
vehicle_last_position
vehicle_tracker_pair_codes
… +3 more</t>
        </is>
      </c>
      <c r="Q240" s="8" t="inlineStr"/>
      <c r="R240" s="8" t="inlineStr"/>
      <c r="S240" s="8" t="inlineStr">
        <is>
          <t>Trigger automated proximity SMS/Push notifications to parents 5 minutes before bus arrives.</t>
        </is>
      </c>
    </row>
    <row r="241">
      <c r="A241" s="8" t="inlineStr">
        <is>
          <t>Transport Manager</t>
        </is>
      </c>
      <c r="B241" s="8" t="inlineStr">
        <is>
          <t>Transport</t>
        </is>
      </c>
      <c r="C241" s="8" t="inlineStr">
        <is>
          <t>Transport</t>
        </is>
      </c>
      <c r="D241" s="8" t="inlineStr">
        <is>
          <t>Bus Speeding &amp; Rash Driving Alerts</t>
        </is>
      </c>
      <c r="E241" s="11" t="inlineStr">
        <is>
          <t>Good</t>
        </is>
      </c>
      <c r="F241" s="8" t="inlineStr">
        <is>
          <t>advanced</t>
        </is>
      </c>
      <c r="G241" s="8" t="inlineStr">
        <is>
          <t>Must-Have</t>
        </is>
      </c>
      <c r="H241" s="8" t="inlineStr">
        <is>
          <t>campus</t>
        </is>
      </c>
      <c r="I241" s="8" t="inlineStr">
        <is>
          <t>transport_manager.transport.bus_speeding_rash_driving_alerts</t>
        </is>
      </c>
      <c r="J241" s="8" t="inlineStr">
        <is>
          <t>web/src/features/operations/SafetyAlerts.tsx</t>
        </is>
      </c>
      <c r="K241" s="8" t="inlineStr"/>
      <c r="L241" s="8" t="n">
        <v>2</v>
      </c>
      <c r="M241" s="8" t="inlineStr">
        <is>
          <t>/transport/safety-events
/transport/safety-events/{}/review</t>
        </is>
      </c>
      <c r="N241" s="8" t="inlineStr">
        <is>
          <t>worker/src/routes/scheduling/office.ts</t>
        </is>
      </c>
      <c r="O241" s="8" t="n">
        <v>13</v>
      </c>
      <c r="P241" s="8" t="inlineStr">
        <is>
          <t>driver_notices
employees
route_stops
routes
transport_safety_events
transport_stop_events
transport_tracking_policy
users
vehicle_last_position
vehicle_tracker_pair_codes
… +3 more</t>
        </is>
      </c>
      <c r="Q241" s="8" t="inlineStr"/>
      <c r="R241" s="8" t="inlineStr"/>
      <c r="S241" s="8" t="inlineStr">
        <is>
          <t>Receive immediate dashboard alerts if a driver exceeds pre-set campus speed limits.</t>
        </is>
      </c>
    </row>
    <row r="242">
      <c r="A242" s="8" t="inlineStr">
        <is>
          <t>Transport Manager</t>
        </is>
      </c>
      <c r="B242" s="8" t="inlineStr">
        <is>
          <t>Transport</t>
        </is>
      </c>
      <c r="C242" s="8" t="inlineStr">
        <is>
          <t>Transport</t>
        </is>
      </c>
      <c r="D242" s="8" t="inlineStr">
        <is>
          <t>Vehicle Fuel &amp; Maintenance Log</t>
        </is>
      </c>
      <c r="E242" s="11" t="inlineStr">
        <is>
          <t>Good</t>
        </is>
      </c>
      <c r="F242" s="8" t="inlineStr">
        <is>
          <t>core</t>
        </is>
      </c>
      <c r="G242" s="8" t="inlineStr">
        <is>
          <t>Should-Have</t>
        </is>
      </c>
      <c r="H242" s="8" t="inlineStr">
        <is>
          <t>campus</t>
        </is>
      </c>
      <c r="I242" s="8" t="inlineStr">
        <is>
          <t>transport_manager.transport.vehicle_fuel_maintenance_log</t>
        </is>
      </c>
      <c r="J242" s="8" t="inlineStr">
        <is>
          <t>web/src/features/operations/TransportOffice.tsx</t>
        </is>
      </c>
      <c r="K242" s="8" t="inlineStr"/>
      <c r="L242" s="8" t="n">
        <v>14</v>
      </c>
      <c r="M242" s="8" t="inlineStr">
        <is>
          <t>/ops/transport/allocations
/ops/transport/assignable-staff
/ops/transport/attendance
/ops/transport/checks
/ops/transport/incidents
/ops/transport/logs
/ops/transport/routes
/ops/transport/routes/{}
… +6 more</t>
        </is>
      </c>
      <c r="N242" s="8" t="inlineStr">
        <is>
          <t>worker/src/routes/ops/transport.ts
worker/src/routes/ops/transport_office.ts
worker/src/routes/setup/staff.ts</t>
        </is>
      </c>
      <c r="O242" s="8" t="n">
        <v>38</v>
      </c>
      <c r="P242" s="8" t="inlineStr">
        <is>
          <t>academic_years
biometric_devices
biometric_punches
campuses
class_subjects
classes
departments
designations
employee_documents
employees
… +28 more</t>
        </is>
      </c>
      <c r="Q242" s="8" t="inlineStr">
        <is>
          <t>degenerate_numbers.test.ts</t>
        </is>
      </c>
      <c r="R242" s="8" t="inlineStr"/>
      <c r="S242" s="8" t="inlineStr">
        <is>
          <t>Track fuel purchases, mileage performance, routine servicing, and repair expense logs.</t>
        </is>
      </c>
    </row>
    <row r="243">
      <c r="A243" s="8" t="inlineStr">
        <is>
          <t>Transport Manager</t>
        </is>
      </c>
      <c r="B243" s="8" t="inlineStr">
        <is>
          <t>Transport</t>
        </is>
      </c>
      <c r="C243" s="8" t="inlineStr">
        <is>
          <t>Transport</t>
        </is>
      </c>
      <c r="D243" s="8" t="inlineStr">
        <is>
          <t>Fuel Sensor &amp; Mileage Telematics</t>
        </is>
      </c>
      <c r="E243" s="12" t="inlineStr">
        <is>
          <t>Planned</t>
        </is>
      </c>
      <c r="F243" s="8" t="inlineStr">
        <is>
          <t>optional</t>
        </is>
      </c>
      <c r="G243" s="8" t="inlineStr">
        <is>
          <t>Should-Have</t>
        </is>
      </c>
      <c r="H243" s="8" t="inlineStr">
        <is>
          <t>campus</t>
        </is>
      </c>
      <c r="I243" s="8" t="inlineStr">
        <is>
          <t>transport_manager.transport.fuel_sensor_mileage_telematics</t>
        </is>
      </c>
      <c r="J243" s="8" t="inlineStr"/>
      <c r="K243" s="8" t="inlineStr"/>
      <c r="L243" s="8" t="n">
        <v>0</v>
      </c>
      <c r="M243" s="8" t="inlineStr"/>
      <c r="N243" s="8" t="inlineStr"/>
      <c r="O243" s="8" t="n">
        <v>0</v>
      </c>
      <c r="P243" s="8" t="inlineStr"/>
      <c r="Q243" s="8" t="inlineStr"/>
      <c r="R243" s="8" t="inlineStr">
        <is>
          <t>In the catalogue, no screen built yet.</t>
        </is>
      </c>
      <c r="S243" s="8" t="inlineStr">
        <is>
          <t>Integrate digital fuel tank sensors to detect fuel theft and track real-time bus mileage. Not built: needs a fuel-level sensor and vendor feed per vehicle; fuel and mileage are entered by hand in the fuel and maintenance log.</t>
        </is>
      </c>
    </row>
    <row r="244">
      <c r="A244" s="8" t="inlineStr">
        <is>
          <t>Transport Manager</t>
        </is>
      </c>
      <c r="B244" s="8" t="inlineStr">
        <is>
          <t>Transport</t>
        </is>
      </c>
      <c r="C244" s="8" t="inlineStr">
        <is>
          <t>Transport</t>
        </is>
      </c>
      <c r="D244" s="8" t="inlineStr">
        <is>
          <t>Driver Sobriety &amp; Safety Checklist</t>
        </is>
      </c>
      <c r="E244" s="11" t="inlineStr">
        <is>
          <t>Good</t>
        </is>
      </c>
      <c r="F244" s="8" t="inlineStr">
        <is>
          <t>optional</t>
        </is>
      </c>
      <c r="G244" s="8" t="inlineStr">
        <is>
          <t>Should-Have</t>
        </is>
      </c>
      <c r="H244" s="8" t="inlineStr">
        <is>
          <t>campus</t>
        </is>
      </c>
      <c r="I244" s="8" t="inlineStr">
        <is>
          <t>transport_manager.transport.driver_sobriety_safety_checklist</t>
        </is>
      </c>
      <c r="J244" s="8" t="inlineStr">
        <is>
          <t>web/src/features/operations/TransportOffice.tsx</t>
        </is>
      </c>
      <c r="K244" s="8" t="inlineStr"/>
      <c r="L244" s="8" t="n">
        <v>14</v>
      </c>
      <c r="M244" s="8" t="inlineStr">
        <is>
          <t>/ops/transport/allocations
/ops/transport/assignable-staff
/ops/transport/attendance
/ops/transport/checks
/ops/transport/incidents
/ops/transport/logs
/ops/transport/routes
/ops/transport/routes/{}
… +6 more</t>
        </is>
      </c>
      <c r="N244" s="8" t="inlineStr">
        <is>
          <t>worker/src/routes/ops/transport.ts
worker/src/routes/ops/transport_office.ts
worker/src/routes/setup/staff.ts</t>
        </is>
      </c>
      <c r="O244" s="8" t="n">
        <v>38</v>
      </c>
      <c r="P244" s="8" t="inlineStr">
        <is>
          <t>academic_years
biometric_devices
biometric_punches
campuses
class_subjects
classes
departments
designations
employee_documents
employees
… +28 more</t>
        </is>
      </c>
      <c r="Q244" s="8" t="inlineStr">
        <is>
          <t>degenerate_numbers.test.ts</t>
        </is>
      </c>
      <c r="R244" s="8" t="inlineStr"/>
      <c r="S244" s="8" t="inlineStr">
        <is>
          <t>Require drivers to complete pre-trip safety checklists and breathalyzer checks before starting.</t>
        </is>
      </c>
    </row>
    <row r="245">
      <c r="A245" s="8" t="inlineStr">
        <is>
          <t>Transport Manager</t>
        </is>
      </c>
      <c r="B245" s="8" t="inlineStr">
        <is>
          <t>Transport</t>
        </is>
      </c>
      <c r="C245" s="8" t="inlineStr">
        <is>
          <t>Transport</t>
        </is>
      </c>
      <c r="D245" s="8" t="inlineStr">
        <is>
          <t>Bus Breakdown Emergency Dispatch</t>
        </is>
      </c>
      <c r="E245" s="11" t="inlineStr">
        <is>
          <t>Good</t>
        </is>
      </c>
      <c r="F245" s="8" t="inlineStr">
        <is>
          <t>core</t>
        </is>
      </c>
      <c r="G245" s="8" t="inlineStr">
        <is>
          <t>Should-Have</t>
        </is>
      </c>
      <c r="H245" s="8" t="inlineStr">
        <is>
          <t>campus</t>
        </is>
      </c>
      <c r="I245" s="8" t="inlineStr">
        <is>
          <t>transport_manager.transport.bus_breakdown_emergency_dispatch</t>
        </is>
      </c>
      <c r="J245" s="8" t="inlineStr">
        <is>
          <t>web/src/features/operations/TransportOffice.tsx</t>
        </is>
      </c>
      <c r="K245" s="8" t="inlineStr"/>
      <c r="L245" s="8" t="n">
        <v>14</v>
      </c>
      <c r="M245" s="8" t="inlineStr">
        <is>
          <t>/ops/transport/allocations
/ops/transport/assignable-staff
/ops/transport/attendance
/ops/transport/checks
/ops/transport/incidents
/ops/transport/logs
/ops/transport/routes
/ops/transport/routes/{}
… +6 more</t>
        </is>
      </c>
      <c r="N245" s="8" t="inlineStr">
        <is>
          <t>worker/src/routes/ops/transport.ts
worker/src/routes/ops/transport_office.ts
worker/src/routes/setup/staff.ts</t>
        </is>
      </c>
      <c r="O245" s="8" t="n">
        <v>38</v>
      </c>
      <c r="P245" s="8" t="inlineStr">
        <is>
          <t>academic_years
biometric_devices
biometric_punches
campuses
class_subjects
classes
departments
designations
employee_documents
employees
… +28 more</t>
        </is>
      </c>
      <c r="Q245" s="8" t="inlineStr">
        <is>
          <t>degenerate_numbers.test.ts</t>
        </is>
      </c>
      <c r="R245" s="8" t="inlineStr"/>
      <c r="S245" s="8" t="inlineStr">
        <is>
          <t>Trigger emergency notifications and dispatch replacement buses with auto-route updates.</t>
        </is>
      </c>
    </row>
    <row r="246">
      <c r="A246" s="8" t="inlineStr">
        <is>
          <t>Transport Manager</t>
        </is>
      </c>
      <c r="B246" s="8" t="inlineStr">
        <is>
          <t>Transport</t>
        </is>
      </c>
      <c r="C246" s="8" t="inlineStr">
        <is>
          <t>Transport</t>
        </is>
      </c>
      <c r="D246" s="8" t="inlineStr">
        <is>
          <t>Seatbelt &amp; CCTV Video Streaming</t>
        </is>
      </c>
      <c r="E246" s="12" t="inlineStr">
        <is>
          <t>Planned</t>
        </is>
      </c>
      <c r="F246" s="8" t="inlineStr">
        <is>
          <t>optional</t>
        </is>
      </c>
      <c r="G246" s="8" t="inlineStr">
        <is>
          <t>Must-Have</t>
        </is>
      </c>
      <c r="H246" s="8" t="inlineStr">
        <is>
          <t>campus</t>
        </is>
      </c>
      <c r="I246" s="8" t="inlineStr">
        <is>
          <t>transport_manager.transport.seatbelt_cctv_video_streaming</t>
        </is>
      </c>
      <c r="J246" s="8" t="inlineStr"/>
      <c r="K246" s="8" t="inlineStr"/>
      <c r="L246" s="8" t="n">
        <v>0</v>
      </c>
      <c r="M246" s="8" t="inlineStr"/>
      <c r="N246" s="8" t="inlineStr"/>
      <c r="O246" s="8" t="n">
        <v>0</v>
      </c>
      <c r="P246" s="8" t="inlineStr"/>
      <c r="Q246" s="8" t="inlineStr"/>
      <c r="R246" s="8" t="inlineStr">
        <is>
          <t>In the catalogue, no screen built yet.</t>
        </is>
      </c>
      <c r="S246" s="8" t="inlineStr">
        <is>
          <t>Stream live in-bus CCTV video feeds to transport admin dashboards for safety monitoring. Not built: needs cameras and a vendor video feed in each bus, and a stream drawn from no camera would be a lie.</t>
        </is>
      </c>
    </row>
    <row r="247">
      <c r="A247" s="8" t="inlineStr">
        <is>
          <t>Transport Manager</t>
        </is>
      </c>
      <c r="B247" s="8" t="inlineStr">
        <is>
          <t>Transport</t>
        </is>
      </c>
      <c r="C247" s="8" t="inlineStr">
        <is>
          <t>Transport</t>
        </is>
      </c>
      <c r="D247" s="8" t="inlineStr">
        <is>
          <t>AIS-140 Telematics &amp; VAHAN Compliance</t>
        </is>
      </c>
      <c r="E247" s="12" t="inlineStr">
        <is>
          <t>Planned</t>
        </is>
      </c>
      <c r="F247" s="8" t="inlineStr">
        <is>
          <t>advanced</t>
        </is>
      </c>
      <c r="G247" s="8" t="inlineStr">
        <is>
          <t>Nice-to-Have</t>
        </is>
      </c>
      <c r="H247" s="8" t="inlineStr">
        <is>
          <t>campus</t>
        </is>
      </c>
      <c r="I247" s="8" t="inlineStr">
        <is>
          <t>transport_manager.transport.ais_140_telematics_vahan_compliance</t>
        </is>
      </c>
      <c r="J247" s="8" t="inlineStr"/>
      <c r="K247" s="8" t="inlineStr"/>
      <c r="L247" s="8" t="n">
        <v>0</v>
      </c>
      <c r="M247" s="8" t="inlineStr"/>
      <c r="N247" s="8" t="inlineStr"/>
      <c r="O247" s="8" t="n">
        <v>0</v>
      </c>
      <c r="P247" s="8" t="inlineStr"/>
      <c r="Q247" s="8" t="inlineStr"/>
      <c r="R247" s="8" t="inlineStr">
        <is>
          <t>In the catalogue, no screen built yet.</t>
        </is>
      </c>
      <c r="S247" s="8" t="inlineStr">
        <is>
          <t>Register AIS-140 certified GPS units per vehicle, ingest NavIC position and panic-button events, monitor tamper and offline buffering, and evidence the VAHAN transmission MoRTH requires. Not built: AIS-140 is a statutory certification of a fitted device with a vendor feed, and software claiming it without the hardware would be a false claim.</t>
        </is>
      </c>
    </row>
    <row r="248">
      <c r="A248" s="8" t="inlineStr">
        <is>
          <t>Transport Manager</t>
        </is>
      </c>
      <c r="B248" s="8" t="inlineStr">
        <is>
          <t>Transport</t>
        </is>
      </c>
      <c r="C248" s="8" t="inlineStr">
        <is>
          <t>Transport</t>
        </is>
      </c>
      <c r="D248" s="8" t="inlineStr">
        <is>
          <t>Vehicles</t>
        </is>
      </c>
      <c r="E248" s="10" t="inlineStr">
        <is>
          <t>Check</t>
        </is>
      </c>
      <c r="F248" s="8" t="inlineStr">
        <is>
          <t>core</t>
        </is>
      </c>
      <c r="G248" s="8" t="inlineStr">
        <is>
          <t>Must-Have</t>
        </is>
      </c>
      <c r="H248" s="8" t="inlineStr">
        <is>
          <t>campus</t>
        </is>
      </c>
      <c r="I248" s="8" t="inlineStr">
        <is>
          <t>transport_manager.transport.vehicles</t>
        </is>
      </c>
      <c r="J248" s="8" t="inlineStr">
        <is>
          <t>web/src/features/operations/Transport.tsx</t>
        </is>
      </c>
      <c r="K248" s="8" t="inlineStr"/>
      <c r="L248" s="8" t="n">
        <v>8</v>
      </c>
      <c r="M248" s="8" t="inlineStr">
        <is>
          <t>/attendance/nudge
/attention
/ops/transport/routes
/ops/transport/routes/{}/stops
/ops/transport/vehicles
/transport/trackers
/transport/trackers/pair
/transport/trackers/{}/approve</t>
        </is>
      </c>
      <c r="N248" s="8" t="inlineStr">
        <is>
          <t>worker/src/routes/admin/loose.ts
worker/src/routes/daily.ts
worker/src/routes/ops/transport.ts
worker/src/routes/scheduling/office.ts</t>
        </is>
      </c>
      <c r="O248" s="8" t="n">
        <v>75</v>
      </c>
      <c r="P248" s="8" t="inlineStr">
        <is>
          <t>absence_followup_section_done
academic_years
api_keys
applications
attendance_corrections
bell_schedules
board_memberships
campuses
class_subjects
classes
… +65 more</t>
        </is>
      </c>
      <c r="Q248" s="8" t="inlineStr">
        <is>
          <t>degenerate_numbers.test.ts
edge.test.ts</t>
        </is>
      </c>
      <c r="R248" s="8" t="inlineStr">
        <is>
          <t>2 step(s) in its backend files answer "not ported" (see Not ported tab).</t>
        </is>
      </c>
      <c r="S248" s="8" t="inlineStr">
        <is>
          <t>The vehicle register: registration, capacity, permit, insurance and fitness expiry.</t>
        </is>
      </c>
    </row>
    <row r="249">
      <c r="A249" s="8" t="inlineStr">
        <is>
          <t>Transport Manager</t>
        </is>
      </c>
      <c r="B249" s="8" t="inlineStr">
        <is>
          <t>Transport</t>
        </is>
      </c>
      <c r="C249" s="8" t="inlineStr">
        <is>
          <t>Transport</t>
        </is>
      </c>
      <c r="D249" s="8" t="inlineStr">
        <is>
          <t>Drivers &amp; attendants</t>
        </is>
      </c>
      <c r="E249" s="11" t="inlineStr">
        <is>
          <t>Good</t>
        </is>
      </c>
      <c r="F249" s="8" t="inlineStr">
        <is>
          <t>core</t>
        </is>
      </c>
      <c r="G249" s="8" t="inlineStr">
        <is>
          <t>Must-Have</t>
        </is>
      </c>
      <c r="H249" s="8" t="inlineStr">
        <is>
          <t>campus</t>
        </is>
      </c>
      <c r="I249" s="8" t="inlineStr">
        <is>
          <t>transport_manager.transport.drivers_attendants</t>
        </is>
      </c>
      <c r="J249" s="8" t="inlineStr">
        <is>
          <t>web/src/features/operations/TransportOffice.tsx</t>
        </is>
      </c>
      <c r="K249" s="8" t="inlineStr"/>
      <c r="L249" s="8" t="n">
        <v>14</v>
      </c>
      <c r="M249" s="8" t="inlineStr">
        <is>
          <t>/ops/transport/allocations
/ops/transport/assignable-staff
/ops/transport/attendance
/ops/transport/checks
/ops/transport/incidents
/ops/transport/logs
/ops/transport/routes
/ops/transport/routes/{}
… +6 more</t>
        </is>
      </c>
      <c r="N249" s="8" t="inlineStr">
        <is>
          <t>worker/src/routes/ops/transport.ts
worker/src/routes/ops/transport_office.ts
worker/src/routes/setup/staff.ts</t>
        </is>
      </c>
      <c r="O249" s="8" t="n">
        <v>38</v>
      </c>
      <c r="P249" s="8" t="inlineStr">
        <is>
          <t>academic_years
biometric_devices
biometric_punches
campuses
class_subjects
classes
departments
designations
employee_documents
employees
… +28 more</t>
        </is>
      </c>
      <c r="Q249" s="8" t="inlineStr">
        <is>
          <t>degenerate_numbers.test.ts</t>
        </is>
      </c>
      <c r="R249" s="8" t="inlineStr"/>
      <c r="S249" s="8" t="inlineStr">
        <is>
          <t>Who drives what, with licence expiry and background verification.</t>
        </is>
      </c>
    </row>
    <row r="250">
      <c r="A250" s="8" t="inlineStr">
        <is>
          <t>Transport Manager</t>
        </is>
      </c>
      <c r="B250" s="8" t="inlineStr">
        <is>
          <t>Transport</t>
        </is>
      </c>
      <c r="C250" s="8" t="inlineStr">
        <is>
          <t>Transport</t>
        </is>
      </c>
      <c r="D250" s="8" t="inlineStr">
        <is>
          <t>Routes &amp; stops</t>
        </is>
      </c>
      <c r="E250" s="10" t="inlineStr">
        <is>
          <t>Check</t>
        </is>
      </c>
      <c r="F250" s="8" t="inlineStr">
        <is>
          <t>core</t>
        </is>
      </c>
      <c r="G250" s="8" t="inlineStr">
        <is>
          <t>Must-Have</t>
        </is>
      </c>
      <c r="H250" s="8" t="inlineStr">
        <is>
          <t>campus</t>
        </is>
      </c>
      <c r="I250" s="8" t="inlineStr">
        <is>
          <t>transport_manager.transport.routes_stops</t>
        </is>
      </c>
      <c r="J250" s="8" t="inlineStr">
        <is>
          <t>web/src/features/operations/Transport.tsx</t>
        </is>
      </c>
      <c r="K250" s="8" t="inlineStr"/>
      <c r="L250" s="8" t="n">
        <v>8</v>
      </c>
      <c r="M250" s="8" t="inlineStr">
        <is>
          <t>/attendance/nudge
/attention
/ops/transport/routes
/ops/transport/routes/{}/stops
/ops/transport/vehicles
/transport/trackers
/transport/trackers/pair
/transport/trackers/{}/approve</t>
        </is>
      </c>
      <c r="N250" s="8" t="inlineStr">
        <is>
          <t>worker/src/routes/admin/loose.ts
worker/src/routes/daily.ts
worker/src/routes/ops/transport.ts
worker/src/routes/scheduling/office.ts</t>
        </is>
      </c>
      <c r="O250" s="8" t="n">
        <v>75</v>
      </c>
      <c r="P250" s="8" t="inlineStr">
        <is>
          <t>absence_followup_section_done
academic_years
api_keys
applications
attendance_corrections
bell_schedules
board_memberships
campuses
class_subjects
classes
… +65 more</t>
        </is>
      </c>
      <c r="Q250" s="8" t="inlineStr">
        <is>
          <t>degenerate_numbers.test.ts
edge.test.ts</t>
        </is>
      </c>
      <c r="R250" s="8" t="inlineStr">
        <is>
          <t>2 step(s) in its backend files answer "not ported" (see Not ported tab).</t>
        </is>
      </c>
      <c r="S250" s="8" t="inlineStr">
        <is>
          <t>Route definitions, the stops on each and the timing between them.</t>
        </is>
      </c>
    </row>
    <row r="251">
      <c r="A251" s="8" t="inlineStr">
        <is>
          <t>Transport Manager</t>
        </is>
      </c>
      <c r="B251" s="8" t="inlineStr">
        <is>
          <t>Transport</t>
        </is>
      </c>
      <c r="C251" s="8" t="inlineStr">
        <is>
          <t>Transport</t>
        </is>
      </c>
      <c r="D251" s="8" t="inlineStr">
        <is>
          <t>Student allocation</t>
        </is>
      </c>
      <c r="E251" s="11" t="inlineStr">
        <is>
          <t>Good</t>
        </is>
      </c>
      <c r="F251" s="8" t="inlineStr">
        <is>
          <t>core</t>
        </is>
      </c>
      <c r="G251" s="8" t="inlineStr">
        <is>
          <t>Must-Have</t>
        </is>
      </c>
      <c r="H251" s="8" t="inlineStr">
        <is>
          <t>campus</t>
        </is>
      </c>
      <c r="I251" s="8" t="inlineStr">
        <is>
          <t>transport_manager.transport.student_allocation</t>
        </is>
      </c>
      <c r="J251" s="8" t="inlineStr">
        <is>
          <t>web/src/features/operations/TransportOffice.tsx</t>
        </is>
      </c>
      <c r="K251" s="8" t="inlineStr"/>
      <c r="L251" s="8" t="n">
        <v>14</v>
      </c>
      <c r="M251" s="8" t="inlineStr">
        <is>
          <t>/ops/transport/allocations
/ops/transport/assignable-staff
/ops/transport/attendance
/ops/transport/checks
/ops/transport/incidents
/ops/transport/logs
/ops/transport/routes
/ops/transport/routes/{}
… +6 more</t>
        </is>
      </c>
      <c r="N251" s="8" t="inlineStr">
        <is>
          <t>worker/src/routes/ops/transport.ts
worker/src/routes/ops/transport_office.ts
worker/src/routes/setup/staff.ts</t>
        </is>
      </c>
      <c r="O251" s="8" t="n">
        <v>38</v>
      </c>
      <c r="P251" s="8" t="inlineStr">
        <is>
          <t>academic_years
biometric_devices
biometric_punches
campuses
class_subjects
classes
departments
designations
employee_documents
employees
… +28 more</t>
        </is>
      </c>
      <c r="Q251" s="8" t="inlineStr">
        <is>
          <t>degenerate_numbers.test.ts</t>
        </is>
      </c>
      <c r="R251" s="8" t="inlineStr"/>
      <c r="S251" s="8" t="inlineStr">
        <is>
          <t>Which child boards at which stop on which route, and the fee slab that implies.</t>
        </is>
      </c>
    </row>
    <row r="252">
      <c r="A252" s="8" t="inlineStr">
        <is>
          <t>Transport Manager</t>
        </is>
      </c>
      <c r="B252" s="8" t="inlineStr">
        <is>
          <t>Transport</t>
        </is>
      </c>
      <c r="C252" s="8" t="inlineStr">
        <is>
          <t>Transport</t>
        </is>
      </c>
      <c r="D252" s="8" t="inlineStr">
        <is>
          <t>Route attendance</t>
        </is>
      </c>
      <c r="E252" s="11" t="inlineStr">
        <is>
          <t>Good</t>
        </is>
      </c>
      <c r="F252" s="8" t="inlineStr">
        <is>
          <t>core</t>
        </is>
      </c>
      <c r="G252" s="8" t="inlineStr">
        <is>
          <t>Must-Have</t>
        </is>
      </c>
      <c r="H252" s="8" t="inlineStr">
        <is>
          <t>campus</t>
        </is>
      </c>
      <c r="I252" s="8" t="inlineStr">
        <is>
          <t>transport_manager.transport.route_attendance</t>
        </is>
      </c>
      <c r="J252" s="8" t="inlineStr">
        <is>
          <t>web/src/features/operations/TransportOffice.tsx</t>
        </is>
      </c>
      <c r="K252" s="8" t="inlineStr"/>
      <c r="L252" s="8" t="n">
        <v>14</v>
      </c>
      <c r="M252" s="8" t="inlineStr">
        <is>
          <t>/ops/transport/allocations
/ops/transport/assignable-staff
/ops/transport/attendance
/ops/transport/checks
/ops/transport/incidents
/ops/transport/logs
/ops/transport/routes
/ops/transport/routes/{}
… +6 more</t>
        </is>
      </c>
      <c r="N252" s="8" t="inlineStr">
        <is>
          <t>worker/src/routes/ops/transport.ts
worker/src/routes/ops/transport_office.ts
worker/src/routes/setup/staff.ts</t>
        </is>
      </c>
      <c r="O252" s="8" t="n">
        <v>38</v>
      </c>
      <c r="P252" s="8" t="inlineStr">
        <is>
          <t>academic_years
biometric_devices
biometric_punches
campuses
class_subjects
classes
departments
designations
employee_documents
employees
… +28 more</t>
        </is>
      </c>
      <c r="Q252" s="8" t="inlineStr">
        <is>
          <t>degenerate_numbers.test.ts</t>
        </is>
      </c>
      <c r="R252" s="8" t="inlineStr"/>
      <c r="S252" s="8" t="inlineStr">
        <is>
          <t>Boarding and alighting scans for each route, morning and afternoon.</t>
        </is>
      </c>
    </row>
    <row r="253">
      <c r="A253" s="8" t="inlineStr">
        <is>
          <t>Transport Manager</t>
        </is>
      </c>
      <c r="B253" s="8" t="inlineStr">
        <is>
          <t>Transport</t>
        </is>
      </c>
      <c r="C253" s="8" t="inlineStr">
        <is>
          <t>Transport</t>
        </is>
      </c>
      <c r="D253" s="8" t="inlineStr">
        <is>
          <t>Delays &amp; exceptions</t>
        </is>
      </c>
      <c r="E253" s="11" t="inlineStr">
        <is>
          <t>Good</t>
        </is>
      </c>
      <c r="F253" s="8" t="inlineStr">
        <is>
          <t>core</t>
        </is>
      </c>
      <c r="G253" s="8" t="inlineStr">
        <is>
          <t>Must-Have</t>
        </is>
      </c>
      <c r="H253" s="8" t="inlineStr">
        <is>
          <t>campus</t>
        </is>
      </c>
      <c r="I253" s="8" t="inlineStr">
        <is>
          <t>transport_manager.transport.delays_exceptions</t>
        </is>
      </c>
      <c r="J253" s="8" t="inlineStr">
        <is>
          <t>web/src/features/operations/TransportOffice.tsx</t>
        </is>
      </c>
      <c r="K253" s="8" t="inlineStr"/>
      <c r="L253" s="8" t="n">
        <v>14</v>
      </c>
      <c r="M253" s="8" t="inlineStr">
        <is>
          <t>/ops/transport/allocations
/ops/transport/assignable-staff
/ops/transport/attendance
/ops/transport/checks
/ops/transport/incidents
/ops/transport/logs
/ops/transport/routes
/ops/transport/routes/{}
… +6 more</t>
        </is>
      </c>
      <c r="N253" s="8" t="inlineStr">
        <is>
          <t>worker/src/routes/ops/transport.ts
worker/src/routes/ops/transport_office.ts
worker/src/routes/setup/staff.ts</t>
        </is>
      </c>
      <c r="O253" s="8" t="n">
        <v>38</v>
      </c>
      <c r="P253" s="8" t="inlineStr">
        <is>
          <t>academic_years
biometric_devices
biometric_punches
campuses
class_subjects
classes
departments
designations
employee_documents
employees
… +28 more</t>
        </is>
      </c>
      <c r="Q253" s="8" t="inlineStr">
        <is>
          <t>degenerate_numbers.test.ts</t>
        </is>
      </c>
      <c r="R253" s="8" t="inlineStr"/>
      <c r="S253" s="8" t="inlineStr">
        <is>
          <t>Routes running late, breakdowns and any child not scanned.</t>
        </is>
      </c>
    </row>
    <row r="254">
      <c r="A254" s="8" t="inlineStr">
        <is>
          <t>Transport Manager</t>
        </is>
      </c>
      <c r="B254" s="8" t="inlineStr">
        <is>
          <t>Transport</t>
        </is>
      </c>
      <c r="C254" s="8" t="inlineStr">
        <is>
          <t>Transport</t>
        </is>
      </c>
      <c r="D254" s="8" t="inlineStr">
        <is>
          <t>Live vehicle tracking</t>
        </is>
      </c>
      <c r="E254" s="11" t="inlineStr">
        <is>
          <t>Good</t>
        </is>
      </c>
      <c r="F254" s="8" t="inlineStr">
        <is>
          <t>core</t>
        </is>
      </c>
      <c r="G254" s="8" t="inlineStr">
        <is>
          <t>Must-Have</t>
        </is>
      </c>
      <c r="H254" s="8" t="inlineStr">
        <is>
          <t>campus</t>
        </is>
      </c>
      <c r="I254" s="8" t="inlineStr">
        <is>
          <t>transport_manager.transport.live_vehicle_tracking</t>
        </is>
      </c>
      <c r="J254" s="8" t="inlineStr">
        <is>
          <t>web/src/features/operations/LiveVehicleMap.tsx</t>
        </is>
      </c>
      <c r="K254" s="8" t="inlineStr"/>
      <c r="L254" s="8" t="n">
        <v>3</v>
      </c>
      <c r="M254" s="8" t="inlineStr">
        <is>
          <t>/transport/live
/transport/map-stops
/transport/vehicles/{}/notices</t>
        </is>
      </c>
      <c r="N254" s="8" t="inlineStr">
        <is>
          <t>worker/src/routes/scheduling/office.ts</t>
        </is>
      </c>
      <c r="O254" s="8" t="n">
        <v>13</v>
      </c>
      <c r="P254" s="8" t="inlineStr">
        <is>
          <t>driver_notices
employees
route_stops
routes
transport_safety_events
transport_stop_events
transport_tracking_policy
users
vehicle_last_position
vehicle_tracker_pair_codes
… +3 more</t>
        </is>
      </c>
      <c r="Q254" s="8" t="inlineStr">
        <is>
          <t>degenerate_numbers.test.ts</t>
        </is>
      </c>
      <c r="R254" s="8" t="inlineStr"/>
      <c r="S254" s="8" t="inlineStr">
        <is>
          <t>Where every bus is now, against the route it should be running.</t>
        </is>
      </c>
    </row>
    <row r="255">
      <c r="A255" s="8" t="inlineStr">
        <is>
          <t>Transport Manager</t>
        </is>
      </c>
      <c r="B255" s="8" t="inlineStr">
        <is>
          <t>Communication</t>
        </is>
      </c>
      <c r="C255" s="8" t="inlineStr">
        <is>
          <t>Communication</t>
        </is>
      </c>
      <c r="D255" s="8" t="inlineStr">
        <is>
          <t>Messages</t>
        </is>
      </c>
      <c r="E255" s="11" t="inlineStr">
        <is>
          <t>Good</t>
        </is>
      </c>
      <c r="F255" s="8" t="inlineStr">
        <is>
          <t>core</t>
        </is>
      </c>
      <c r="G255" s="8" t="inlineStr">
        <is>
          <t>Must-Have</t>
        </is>
      </c>
      <c r="H255" s="8" t="inlineStr">
        <is>
          <t>institution</t>
        </is>
      </c>
      <c r="I255" s="8" t="inlineStr">
        <is>
          <t>transport_manager.communication.messages</t>
        </is>
      </c>
      <c r="J255" s="8" t="inlineStr">
        <is>
          <t>web/src/features/comms/StaffMessages.tsx</t>
        </is>
      </c>
      <c r="K255" s="8" t="inlineStr"/>
      <c r="L255" s="8" t="n">
        <v>12</v>
      </c>
      <c r="M255" s="8" t="inlineStr">
        <is>
          <t>/chat/messages/{}
/chat/parent-thread/read
/chat/staff-thread/read
/files
/files/{}
/portal/messages
/staff-messages
/staff-messages/threads
… +4 more</t>
        </is>
      </c>
      <c r="N255" s="8" t="inlineStr">
        <is>
          <t>worker/src/routes/misc/chat.ts
worker/src/routes/misc/files.ts
worker/src/routes/portal/requests.ts
worker/src/routes/teaching/dashboards.ts</t>
        </is>
      </c>
      <c r="O255" s="8" t="n">
        <v>60</v>
      </c>
      <c r="P255" s="8" t="inlineStr">
        <is>
          <t>academic_years
announcement_acks
announcements
application_documents
applications
certificate_types
class_subjects
classes
departments
designations
… +50 more</t>
        </is>
      </c>
      <c r="Q255" s="8" t="inlineStr">
        <is>
          <t>live.test.ts</t>
        </is>
      </c>
      <c r="R255" s="8" t="inlineStr"/>
      <c r="S255" s="8" t="inlineStr">
        <is>
          <t>One colleague at a time. The staff address book, every teacher and every member of staff, and the thread you have with each of them, for asking a class teacher or the office something rather than sending a notice to the school.</t>
        </is>
      </c>
    </row>
    <row r="256">
      <c r="A256" s="8" t="inlineStr">
        <is>
          <t>Transport Manager</t>
        </is>
      </c>
      <c r="B256" s="8" t="inlineStr">
        <is>
          <t>My Profile</t>
        </is>
      </c>
      <c r="C256" s="8" t="inlineStr">
        <is>
          <t>My Profile</t>
        </is>
      </c>
      <c r="D256" s="8" t="inlineStr">
        <is>
          <t>My pay</t>
        </is>
      </c>
      <c r="E256" s="10" t="inlineStr">
        <is>
          <t>Check</t>
        </is>
      </c>
      <c r="F256" s="8" t="inlineStr">
        <is>
          <t>core</t>
        </is>
      </c>
      <c r="G256" s="8" t="inlineStr">
        <is>
          <t>Must-Have</t>
        </is>
      </c>
      <c r="H256" s="8" t="inlineStr">
        <is>
          <t>self</t>
        </is>
      </c>
      <c r="I256" s="8" t="inlineStr">
        <is>
          <t>transport_manager.my_profile.my_pay</t>
        </is>
      </c>
      <c r="J256" s="8" t="inlineStr">
        <is>
          <t>web/src/features/me/MyPay.tsx</t>
        </is>
      </c>
      <c r="K256" s="8" t="inlineStr"/>
      <c r="L256" s="8" t="n">
        <v>1</v>
      </c>
      <c r="M256" s="8" t="inlineStr">
        <is>
          <t>/me/pay</t>
        </is>
      </c>
      <c r="N256" s="8" t="inlineStr">
        <is>
          <t>worker/src/routes/daily.ts</t>
        </is>
      </c>
      <c r="O256" s="8" t="n">
        <v>51</v>
      </c>
      <c r="P256" s="8" t="inlineStr">
        <is>
          <t>absence_followup_section_done
academic_years
applications
attendance_corrections
bell_schedules
board_memberships
campuses
class_subjects
classes
departments
… +41 more</t>
        </is>
      </c>
      <c r="Q256" s="8" t="inlineStr"/>
      <c r="R256" s="8" t="inlineStr">
        <is>
          <t>1 step(s) in its backend files answer "not ported" (see Not ported tab).</t>
        </is>
      </c>
      <c r="S256" s="8" t="inlineStr">
        <is>
          <t>Your own payslips month by month, what was taken off and how much of it was tax, the days you were marked present, and the leave you have left. Only ever your own.</t>
        </is>
      </c>
    </row>
    <row r="257">
      <c r="A257" s="8" t="inlineStr">
        <is>
          <t>Operations Staff</t>
        </is>
      </c>
      <c r="B257" s="8" t="inlineStr">
        <is>
          <t>Home</t>
        </is>
      </c>
      <c r="C257" s="8" t="inlineStr">
        <is>
          <t>Home</t>
        </is>
      </c>
      <c r="D257" s="8" t="inlineStr">
        <is>
          <t>Operations desk</t>
        </is>
      </c>
      <c r="E257" s="11" t="inlineStr">
        <is>
          <t>Good</t>
        </is>
      </c>
      <c r="F257" s="8" t="inlineStr">
        <is>
          <t>core</t>
        </is>
      </c>
      <c r="G257" s="8" t="inlineStr">
        <is>
          <t>Must-Have</t>
        </is>
      </c>
      <c r="H257" s="8" t="inlineStr">
        <is>
          <t>campus</t>
        </is>
      </c>
      <c r="I257" s="8" t="inlineStr">
        <is>
          <t>operations.home.operations_desk</t>
        </is>
      </c>
      <c r="J257" s="8" t="inlineStr">
        <is>
          <t>web/src/features/bento/OpsDesk.tsx</t>
        </is>
      </c>
      <c r="K257" s="8" t="inlineStr">
        <is>
          <t>web/src/features/bento/OpsDesk.tsx</t>
        </is>
      </c>
      <c r="L257" s="8" t="n">
        <v>9</v>
      </c>
      <c r="M257" s="8" t="inlineStr">
        <is>
          <t>/files/{}
/metrics
/metrics/{}
/ops/hostel/occupancy
/ops/inventory/stock
/ops/library/loans
/ops/transport/vehicles
/portal/attendance
… +1 more</t>
        </is>
      </c>
      <c r="N257" s="8" t="inlineStr">
        <is>
          <t>worker/src/routes/admin/metrics.ts
worker/src/routes/misc/files.ts
worker/src/routes/ops/hostel.ts
worker/src/routes/ops/inventory.ts
worker/src/routes/ops/library.ts
worker/src/routes/ops/transport.ts
… +2 more</t>
        </is>
      </c>
      <c r="O257" s="8" t="n">
        <v>91</v>
      </c>
      <c r="P257" s="8" t="inlineStr">
        <is>
          <t>academic_years
admission_form_versions
admission_forms
application_documents
applications
branding_profiles
campuses
class_subjects
classes
club_events
… +81 more</t>
        </is>
      </c>
      <c r="Q257" s="8" t="inlineStr">
        <is>
          <t>access.test.ts
attendance.test.ts
degenerate_numbers.test.ts
edge.test.ts
library_fines.test.ts
student_lms.test.ts</t>
        </is>
      </c>
      <c r="R257" s="8" t="inlineStr"/>
      <c r="S257" s="8" t="inlineStr">
        <is>
          <t>Stock below its reorder level, buses and the papers about to lapse, library books overdue, and hostel beds free.</t>
        </is>
      </c>
    </row>
    <row r="258">
      <c r="A258" s="8" t="inlineStr">
        <is>
          <t>Operations Staff</t>
        </is>
      </c>
      <c r="B258" s="8" t="inlineStr">
        <is>
          <t>Stores</t>
        </is>
      </c>
      <c r="C258" s="8" t="inlineStr">
        <is>
          <t>Stores</t>
        </is>
      </c>
      <c r="D258" s="8" t="inlineStr">
        <is>
          <t>Stock &amp; movements</t>
        </is>
      </c>
      <c r="E258" s="11" t="inlineStr">
        <is>
          <t>Good</t>
        </is>
      </c>
      <c r="F258" s="8" t="inlineStr">
        <is>
          <t>core</t>
        </is>
      </c>
      <c r="G258" s="8" t="inlineStr">
        <is>
          <t>Must-Have</t>
        </is>
      </c>
      <c r="H258" s="8" t="inlineStr">
        <is>
          <t>campus</t>
        </is>
      </c>
      <c r="I258" s="8" t="inlineStr">
        <is>
          <t>operations.stores.stock_movements</t>
        </is>
      </c>
      <c r="J258" s="8" t="inlineStr">
        <is>
          <t>web/src/features/operations/Stores.tsx</t>
        </is>
      </c>
      <c r="K258" s="8" t="inlineStr"/>
      <c r="L258" s="8" t="n">
        <v>3</v>
      </c>
      <c r="M258" s="8" t="inlineStr">
        <is>
          <t>/ops/inventory/items
/ops/inventory/movements
/ops/inventory/stock</t>
        </is>
      </c>
      <c r="N258" s="8" t="inlineStr">
        <is>
          <t>worker/src/routes/ops/inventory.ts</t>
        </is>
      </c>
      <c r="O258" s="8" t="n">
        <v>2</v>
      </c>
      <c r="P258" s="8" t="inlineStr">
        <is>
          <t>inventory_items
inventory_movements</t>
        </is>
      </c>
      <c r="Q258" s="8" t="inlineStr"/>
      <c r="R258" s="8" t="inlineStr"/>
      <c r="S258" s="8" t="inlineStr">
        <is>
          <t>What is on hand against its reorder level, and recording an issue or a receipt.</t>
        </is>
      </c>
    </row>
    <row r="259">
      <c r="A259" s="8" t="inlineStr">
        <is>
          <t>Operations Staff</t>
        </is>
      </c>
      <c r="B259" s="8" t="inlineStr">
        <is>
          <t>Transport</t>
        </is>
      </c>
      <c r="C259" s="8" t="inlineStr">
        <is>
          <t>Transport</t>
        </is>
      </c>
      <c r="D259" s="8" t="inlineStr">
        <is>
          <t>Vehicles &amp; routes</t>
        </is>
      </c>
      <c r="E259" s="10" t="inlineStr">
        <is>
          <t>Check</t>
        </is>
      </c>
      <c r="F259" s="8" t="inlineStr">
        <is>
          <t>core</t>
        </is>
      </c>
      <c r="G259" s="8" t="inlineStr">
        <is>
          <t>Must-Have</t>
        </is>
      </c>
      <c r="H259" s="8" t="inlineStr">
        <is>
          <t>campus</t>
        </is>
      </c>
      <c r="I259" s="8" t="inlineStr">
        <is>
          <t>operations.transport.vehicles_routes</t>
        </is>
      </c>
      <c r="J259" s="8" t="inlineStr">
        <is>
          <t>web/src/features/operations/Transport.tsx</t>
        </is>
      </c>
      <c r="K259" s="8" t="inlineStr"/>
      <c r="L259" s="8" t="n">
        <v>8</v>
      </c>
      <c r="M259" s="8" t="inlineStr">
        <is>
          <t>/attendance/nudge
/attention
/ops/transport/routes
/ops/transport/routes/{}/stops
/ops/transport/vehicles
/transport/trackers
/transport/trackers/pair
/transport/trackers/{}/approve</t>
        </is>
      </c>
      <c r="N259" s="8" t="inlineStr">
        <is>
          <t>worker/src/routes/admin/loose.ts
worker/src/routes/daily.ts
worker/src/routes/ops/transport.ts
worker/src/routes/scheduling/office.ts</t>
        </is>
      </c>
      <c r="O259" s="8" t="n">
        <v>75</v>
      </c>
      <c r="P259" s="8" t="inlineStr">
        <is>
          <t>absence_followup_section_done
academic_years
api_keys
applications
attendance_corrections
bell_schedules
board_memberships
campuses
class_subjects
classes
… +65 more</t>
        </is>
      </c>
      <c r="Q259" s="8" t="inlineStr">
        <is>
          <t>degenerate_numbers.test.ts
edge.test.ts</t>
        </is>
      </c>
      <c r="R259" s="8" t="inlineStr">
        <is>
          <t>2 step(s) in its backend files answer "not ported" (see Not ported tab).</t>
        </is>
      </c>
      <c r="S259" s="8" t="inlineStr">
        <is>
          <t>The vehicle register, the routes and their stops, and the driver phones paired as trackers.</t>
        </is>
      </c>
    </row>
    <row r="260">
      <c r="A260" s="8" t="inlineStr">
        <is>
          <t>Operations Staff</t>
        </is>
      </c>
      <c r="B260" s="8" t="inlineStr">
        <is>
          <t>Transport</t>
        </is>
      </c>
      <c r="C260" s="8" t="inlineStr">
        <is>
          <t>Transport</t>
        </is>
      </c>
      <c r="D260" s="8" t="inlineStr">
        <is>
          <t>Transport office</t>
        </is>
      </c>
      <c r="E260" s="11" t="inlineStr">
        <is>
          <t>Good</t>
        </is>
      </c>
      <c r="F260" s="8" t="inlineStr">
        <is>
          <t>core</t>
        </is>
      </c>
      <c r="G260" s="8" t="inlineStr">
        <is>
          <t>Must-Have</t>
        </is>
      </c>
      <c r="H260" s="8" t="inlineStr">
        <is>
          <t>campus</t>
        </is>
      </c>
      <c r="I260" s="8" t="inlineStr">
        <is>
          <t>operations.transport.transport_office</t>
        </is>
      </c>
      <c r="J260" s="8" t="inlineStr">
        <is>
          <t>web/src/features/operations/TransportOffice.tsx</t>
        </is>
      </c>
      <c r="K260" s="8" t="inlineStr"/>
      <c r="L260" s="8" t="n">
        <v>14</v>
      </c>
      <c r="M260" s="8" t="inlineStr">
        <is>
          <t>/ops/transport/allocations
/ops/transport/assignable-staff
/ops/transport/attendance
/ops/transport/checks
/ops/transport/incidents
/ops/transport/logs
/ops/transport/routes
/ops/transport/routes/{}
… +6 more</t>
        </is>
      </c>
      <c r="N260" s="8" t="inlineStr">
        <is>
          <t>worker/src/routes/ops/transport.ts
worker/src/routes/ops/transport_office.ts
worker/src/routes/setup/staff.ts</t>
        </is>
      </c>
      <c r="O260" s="8" t="n">
        <v>38</v>
      </c>
      <c r="P260" s="8" t="inlineStr">
        <is>
          <t>academic_years
biometric_devices
biometric_punches
campuses
class_subjects
classes
departments
designations
employee_documents
employees
… +28 more</t>
        </is>
      </c>
      <c r="Q260" s="8" t="inlineStr">
        <is>
          <t>degenerate_numbers.test.ts</t>
        </is>
      </c>
      <c r="R260" s="8" t="inlineStr"/>
      <c r="S260" s="8" t="inlineStr">
        <is>
          <t>Fuel and maintenance logs, pre-trip checks, incidents, student allocation and bus attendance.</t>
        </is>
      </c>
    </row>
    <row r="261">
      <c r="A261" s="8" t="inlineStr">
        <is>
          <t>Operations Staff</t>
        </is>
      </c>
      <c r="B261" s="8" t="inlineStr">
        <is>
          <t>Library</t>
        </is>
      </c>
      <c r="C261" s="8" t="inlineStr">
        <is>
          <t>Library</t>
        </is>
      </c>
      <c r="D261" s="8" t="inlineStr">
        <is>
          <t>Issue &amp; return</t>
        </is>
      </c>
      <c r="E261" s="10" t="inlineStr">
        <is>
          <t>Check</t>
        </is>
      </c>
      <c r="F261" s="8" t="inlineStr">
        <is>
          <t>core</t>
        </is>
      </c>
      <c r="G261" s="8" t="inlineStr">
        <is>
          <t>Must-Have</t>
        </is>
      </c>
      <c r="H261" s="8" t="inlineStr">
        <is>
          <t>campus</t>
        </is>
      </c>
      <c r="I261" s="8" t="inlineStr">
        <is>
          <t>operations.library.issue_return</t>
        </is>
      </c>
      <c r="J261" s="8" t="inlineStr">
        <is>
          <t>web/src/features/operations/Library.tsx</t>
        </is>
      </c>
      <c r="K261" s="8" t="inlineStr"/>
      <c r="L261" s="8" t="n">
        <v>7</v>
      </c>
      <c r="M261" s="8" t="inlineStr">
        <is>
          <t>/attendance/nudge
/attention
/ops/library/issue
/ops/library/loans
/ops/library/loans/{}/return
/ops/library/titles
/ops/library/titles/{}/copies</t>
        </is>
      </c>
      <c r="N261" s="8" t="inlineStr">
        <is>
          <t>worker/src/routes/admin/loose.ts
worker/src/routes/daily.ts
worker/src/routes/ops/library.ts</t>
        </is>
      </c>
      <c r="O261" s="8" t="n">
        <v>71</v>
      </c>
      <c r="P261" s="8" t="inlineStr">
        <is>
          <t>absence_followup_section_done
academic_years
api_keys
applications
attendance_corrections
bell_schedules
board_memberships
campuses
class_subjects
classes
… +61 more</t>
        </is>
      </c>
      <c r="Q261" s="8" t="inlineStr">
        <is>
          <t>edge.test.ts
library_fines.test.ts</t>
        </is>
      </c>
      <c r="R261" s="8" t="inlineStr">
        <is>
          <t>2 step(s) in its backend files answer "not ported" (see Not ported tab).</t>
        </is>
      </c>
      <c r="S261" s="8" t="inlineStr">
        <is>
          <t>The counter: scan a card, scan a book, issue or take it back.</t>
        </is>
      </c>
    </row>
    <row r="262">
      <c r="A262" s="8" t="inlineStr">
        <is>
          <t>Operations Staff</t>
        </is>
      </c>
      <c r="B262" s="8" t="inlineStr">
        <is>
          <t>Hostel</t>
        </is>
      </c>
      <c r="C262" s="8" t="inlineStr">
        <is>
          <t>Hostel</t>
        </is>
      </c>
      <c r="D262" s="8" t="inlineStr">
        <is>
          <t>Hostel &amp; rooms</t>
        </is>
      </c>
      <c r="E262" s="11" t="inlineStr">
        <is>
          <t>Good</t>
        </is>
      </c>
      <c r="F262" s="8" t="inlineStr">
        <is>
          <t>core</t>
        </is>
      </c>
      <c r="G262" s="8" t="inlineStr">
        <is>
          <t>Must-Have</t>
        </is>
      </c>
      <c r="H262" s="8" t="inlineStr">
        <is>
          <t>campus</t>
        </is>
      </c>
      <c r="I262" s="8" t="inlineStr">
        <is>
          <t>operations.hostel.hostel_rooms</t>
        </is>
      </c>
      <c r="J262" s="8" t="inlineStr">
        <is>
          <t>web/src/features/operations/Hostel.tsx</t>
        </is>
      </c>
      <c r="K262" s="8" t="inlineStr"/>
      <c r="L262" s="8" t="n">
        <v>4</v>
      </c>
      <c r="M262" s="8" t="inlineStr">
        <is>
          <t>/ops/hostel/allocate
/ops/hostel/occupancy
/ops/hostel/rooms/{}/boarders
/students</t>
        </is>
      </c>
      <c r="N262" s="8" t="inlineStr">
        <is>
          <t>worker/src/router.ts
worker/src/routes/ops/hostel.ts
worker/src/routes/students.ts</t>
        </is>
      </c>
      <c r="O262" s="8" t="n">
        <v>54</v>
      </c>
      <c r="P262" s="8" t="inlineStr">
        <is>
          <t>academic_years
activities
audit_log
certificate_types
class_subjects
classes
co_scholastic_areas
co_scholastic_grades
discipline_records
employees
… +44 more</t>
        </is>
      </c>
      <c r="Q262" s="8" t="inlineStr">
        <is>
          <t>access.test.ts
auth.test.ts
fees.test.ts
perf.test.ts
student_lms.test.ts
student_login_default.test.ts
… +1 more</t>
        </is>
      </c>
      <c r="R262" s="8" t="inlineStr"/>
      <c r="S262" s="8" t="inlineStr">
        <is>
          <t>Rooms, beds and who is in them; put a boarder in a free bed.</t>
        </is>
      </c>
    </row>
    <row r="263">
      <c r="A263" s="8" t="inlineStr">
        <is>
          <t>Operations Staff</t>
        </is>
      </c>
      <c r="B263" s="8" t="inlineStr">
        <is>
          <t>Communication</t>
        </is>
      </c>
      <c r="C263" s="8" t="inlineStr">
        <is>
          <t>Communication</t>
        </is>
      </c>
      <c r="D263" s="8" t="inlineStr">
        <is>
          <t>Messages</t>
        </is>
      </c>
      <c r="E263" s="11" t="inlineStr">
        <is>
          <t>Good</t>
        </is>
      </c>
      <c r="F263" s="8" t="inlineStr">
        <is>
          <t>core</t>
        </is>
      </c>
      <c r="G263" s="8" t="inlineStr">
        <is>
          <t>Must-Have</t>
        </is>
      </c>
      <c r="H263" s="8" t="inlineStr">
        <is>
          <t>institution</t>
        </is>
      </c>
      <c r="I263" s="8" t="inlineStr">
        <is>
          <t>operations.communication.messages</t>
        </is>
      </c>
      <c r="J263" s="8" t="inlineStr">
        <is>
          <t>web/src/features/comms/StaffMessages.tsx</t>
        </is>
      </c>
      <c r="K263" s="8" t="inlineStr"/>
      <c r="L263" s="8" t="n">
        <v>12</v>
      </c>
      <c r="M263" s="8" t="inlineStr">
        <is>
          <t>/chat/messages/{}
/chat/parent-thread/read
/chat/staff-thread/read
/files
/files/{}
/portal/messages
/staff-messages
/staff-messages/threads
… +4 more</t>
        </is>
      </c>
      <c r="N263" s="8" t="inlineStr">
        <is>
          <t>worker/src/routes/misc/chat.ts
worker/src/routes/misc/files.ts
worker/src/routes/portal/requests.ts
worker/src/routes/teaching/dashboards.ts</t>
        </is>
      </c>
      <c r="O263" s="8" t="n">
        <v>60</v>
      </c>
      <c r="P263" s="8" t="inlineStr">
        <is>
          <t>academic_years
announcement_acks
announcements
application_documents
applications
certificate_types
class_subjects
classes
departments
designations
… +50 more</t>
        </is>
      </c>
      <c r="Q263" s="8" t="inlineStr">
        <is>
          <t>live.test.ts</t>
        </is>
      </c>
      <c r="R263" s="8" t="inlineStr"/>
      <c r="S263" s="8" t="inlineStr">
        <is>
          <t>One colleague at a time. The staff address book, every teacher and every member of staff, and the thread you have with each of them, for asking a class teacher or the office something rather than sending a notice to the school.</t>
        </is>
      </c>
    </row>
    <row r="264">
      <c r="A264" s="8" t="inlineStr">
        <is>
          <t>Operations Staff</t>
        </is>
      </c>
      <c r="B264" s="8" t="inlineStr">
        <is>
          <t>My Profile</t>
        </is>
      </c>
      <c r="C264" s="8" t="inlineStr">
        <is>
          <t>My Profile</t>
        </is>
      </c>
      <c r="D264" s="8" t="inlineStr">
        <is>
          <t>Profile</t>
        </is>
      </c>
      <c r="E264" s="10" t="inlineStr">
        <is>
          <t>Check</t>
        </is>
      </c>
      <c r="F264" s="8" t="inlineStr">
        <is>
          <t>core</t>
        </is>
      </c>
      <c r="G264" s="8" t="inlineStr">
        <is>
          <t>Must-Have</t>
        </is>
      </c>
      <c r="H264" s="8" t="inlineStr">
        <is>
          <t>self</t>
        </is>
      </c>
      <c r="I264" s="8" t="inlineStr">
        <is>
          <t>operations.my_profile.profile</t>
        </is>
      </c>
      <c r="J264" s="8" t="inlineStr">
        <is>
          <t>web/src/features/shared/Profile.tsx</t>
        </is>
      </c>
      <c r="K264" s="8" t="inlineStr"/>
      <c r="L264" s="8" t="n">
        <v>19</v>
      </c>
      <c r="M264" s="8" t="inlineStr">
        <is>
          <t>/files
/files/{}
/hr-growth/me/appraisals
/hr-growth/me/appraisals/{}
/hr-growth/me/appraisals/{}/acknowledge
/hr-growth/me/appraisals/{}/self-assessment
/hr-growth/me/duties
/hr-growth/me/training
… +11 more</t>
        </is>
      </c>
      <c r="N264" s="8" t="inlineStr">
        <is>
          <t>worker/src/routes/daily.ts
worker/src/routes/growth/hr_appraisal.ts
worker/src/routes/growth/hr_training.ts
worker/src/routes/hr/concerns.ts
worker/src/routes/misc/files.ts
worker/src/routes/misc/profile.ts</t>
        </is>
      </c>
      <c r="O264" s="8" t="n">
        <v>75</v>
      </c>
      <c r="P264" s="8" t="inlineStr">
        <is>
          <t>absence_followup_section_done
academic_years
application_documents
applications
appraisal_cycles
appraisal_kpis
appraisal_ratings
appraisals
attendance_corrections
bell_schedules
… +65 more</t>
        </is>
      </c>
      <c r="Q264" s="8" t="inlineStr">
        <is>
          <t>access.test.ts
concerns.test.ts
lms_modules.test.ts
lms_nesting.test.ts
lms_progression.test.ts
lms_videos.test.ts
… +4 more</t>
        </is>
      </c>
      <c r="R264" s="8" t="inlineStr">
        <is>
          <t>1 step(s) in its backend files answer "not ported" (see Not ported tab).</t>
        </is>
      </c>
      <c r="S264" s="8" t="inlineStr">
        <is>
          <t>Your own name, phone, email and password.</t>
        </is>
      </c>
    </row>
    <row r="265">
      <c r="A265" s="8" t="inlineStr">
        <is>
          <t>Operations Staff</t>
        </is>
      </c>
      <c r="B265" s="8" t="inlineStr">
        <is>
          <t>My Profile</t>
        </is>
      </c>
      <c r="C265" s="8" t="inlineStr">
        <is>
          <t>My Profile</t>
        </is>
      </c>
      <c r="D265" s="8" t="inlineStr">
        <is>
          <t>My pay</t>
        </is>
      </c>
      <c r="E265" s="10" t="inlineStr">
        <is>
          <t>Check</t>
        </is>
      </c>
      <c r="F265" s="8" t="inlineStr">
        <is>
          <t>core</t>
        </is>
      </c>
      <c r="G265" s="8" t="inlineStr">
        <is>
          <t>Must-Have</t>
        </is>
      </c>
      <c r="H265" s="8" t="inlineStr">
        <is>
          <t>self</t>
        </is>
      </c>
      <c r="I265" s="8" t="inlineStr">
        <is>
          <t>operations.my_profile.my_pay</t>
        </is>
      </c>
      <c r="J265" s="8" t="inlineStr">
        <is>
          <t>web/src/features/me/MyPay.tsx</t>
        </is>
      </c>
      <c r="K265" s="8" t="inlineStr"/>
      <c r="L265" s="8" t="n">
        <v>1</v>
      </c>
      <c r="M265" s="8" t="inlineStr">
        <is>
          <t>/me/pay</t>
        </is>
      </c>
      <c r="N265" s="8" t="inlineStr">
        <is>
          <t>worker/src/routes/daily.ts</t>
        </is>
      </c>
      <c r="O265" s="8" t="n">
        <v>51</v>
      </c>
      <c r="P265" s="8" t="inlineStr">
        <is>
          <t>absence_followup_section_done
academic_years
applications
attendance_corrections
bell_schedules
board_memberships
campuses
class_subjects
classes
departments
… +41 more</t>
        </is>
      </c>
      <c r="Q265" s="8" t="inlineStr"/>
      <c r="R265" s="8" t="inlineStr">
        <is>
          <t>1 step(s) in its backend files answer "not ported" (see Not ported tab).</t>
        </is>
      </c>
      <c r="S265" s="8" t="inlineStr">
        <is>
          <t>Your own payslips month by month, what was taken off and how much of it was tax, the days you were marked present, and the leave you have left. Only ever your own.</t>
        </is>
      </c>
    </row>
    <row r="266">
      <c r="A266" s="8" t="inlineStr">
        <is>
          <t>Driver / Bus Attendant</t>
        </is>
      </c>
      <c r="B266" s="8" t="inlineStr">
        <is>
          <t>Home</t>
        </is>
      </c>
      <c r="C266" s="8" t="inlineStr">
        <is>
          <t>Home</t>
        </is>
      </c>
      <c r="D266" s="8" t="inlineStr">
        <is>
          <t>My run</t>
        </is>
      </c>
      <c r="E266" s="11" t="inlineStr">
        <is>
          <t>Good</t>
        </is>
      </c>
      <c r="F266" s="8" t="inlineStr">
        <is>
          <t>core</t>
        </is>
      </c>
      <c r="G266" s="8" t="inlineStr">
        <is>
          <t>Must-Have</t>
        </is>
      </c>
      <c r="H266" s="8" t="inlineStr">
        <is>
          <t>self</t>
        </is>
      </c>
      <c r="I266" s="8" t="inlineStr">
        <is>
          <t>driver.home.my_run</t>
        </is>
      </c>
      <c r="J266" s="8" t="inlineStr">
        <is>
          <t>web/src/features/bento/DriverDay.tsx</t>
        </is>
      </c>
      <c r="K266" s="8" t="inlineStr">
        <is>
          <t>web/src/features/bento/DriverDay.tsx</t>
        </is>
      </c>
      <c r="L266" s="8" t="n">
        <v>7</v>
      </c>
      <c r="M266" s="8" t="inlineStr">
        <is>
          <t>/files/{}
/metrics
/metrics/{}
/ops/transport/my-bus
/portal/attendance
/portal/preferences/display
/transport/live</t>
        </is>
      </c>
      <c r="N266" s="8" t="inlineStr">
        <is>
          <t>worker/src/routes/admin/metrics.ts
worker/src/routes/misc/files.ts
worker/src/routes/ops/transport.ts
worker/src/routes/portal/family.ts
worker/src/routes/portal/life.ts
worker/src/routes/scheduling/office.ts</t>
        </is>
      </c>
      <c r="O266" s="8" t="n">
        <v>82</v>
      </c>
      <c r="P266" s="8" t="inlineStr">
        <is>
          <t>academic_years
admission_form_versions
admission_forms
application_documents
applications
branding_profiles
campuses
class_subjects
classes
club_events
… +72 more</t>
        </is>
      </c>
      <c r="Q266" s="8" t="inlineStr">
        <is>
          <t>access.test.ts
attendance.test.ts
edge.test.ts
student_lms.test.ts</t>
        </is>
      </c>
      <c r="R266" s="8" t="inlineStr"/>
      <c r="S266" s="8" t="inlineStr">
        <is>
          <t>The bus you are on, the route and its stops, whether today's pre-trip check went in, and where to get the bus app.</t>
        </is>
      </c>
    </row>
    <row r="267">
      <c r="A267" s="8" t="inlineStr">
        <is>
          <t>Driver / Bus Attendant</t>
        </is>
      </c>
      <c r="B267" s="8" t="inlineStr">
        <is>
          <t>Transport</t>
        </is>
      </c>
      <c r="C267" s="8" t="inlineStr">
        <is>
          <t>Transport</t>
        </is>
      </c>
      <c r="D267" s="8" t="inlineStr">
        <is>
          <t>My bus &amp; route</t>
        </is>
      </c>
      <c r="E267" s="11" t="inlineStr">
        <is>
          <t>Good</t>
        </is>
      </c>
      <c r="F267" s="8" t="inlineStr">
        <is>
          <t>core</t>
        </is>
      </c>
      <c r="G267" s="8" t="inlineStr">
        <is>
          <t>Must-Have</t>
        </is>
      </c>
      <c r="H267" s="8" t="inlineStr">
        <is>
          <t>self</t>
        </is>
      </c>
      <c r="I267" s="8" t="inlineStr">
        <is>
          <t>driver.transport.my_bus_route</t>
        </is>
      </c>
      <c r="J267" s="8" t="inlineStr">
        <is>
          <t>web/src/features/operations/DriverRun.tsx</t>
        </is>
      </c>
      <c r="K267" s="8" t="inlineStr"/>
      <c r="L267" s="8" t="n">
        <v>2</v>
      </c>
      <c r="M267" s="8" t="inlineStr">
        <is>
          <t>/ops/transport/my-bus
/transport/live</t>
        </is>
      </c>
      <c r="N267" s="8" t="inlineStr">
        <is>
          <t>worker/src/routes/ops/transport.ts
worker/src/routes/scheduling/office.ts</t>
        </is>
      </c>
      <c r="O267" s="8" t="n">
        <v>16</v>
      </c>
      <c r="P267" s="8" t="inlineStr">
        <is>
          <t>campuses
driver_notices
employees
route_stops
routes
transport_allocations
transport_safety_events
transport_stop_events
transport_tracking_policy
trip_checks
… +6 more</t>
        </is>
      </c>
      <c r="Q267" s="8" t="inlineStr"/>
      <c r="R267" s="8" t="inlineStr"/>
      <c r="S267" s="8" t="inlineStr">
        <is>
          <t>Your bus, its papers, the stops in order with pickup and drop times, the riders at each, and the last fortnight's checks.</t>
        </is>
      </c>
    </row>
    <row r="268">
      <c r="A268" s="8" t="inlineStr">
        <is>
          <t>Driver / Bus Attendant</t>
        </is>
      </c>
      <c r="B268" s="8" t="inlineStr">
        <is>
          <t>My Profile</t>
        </is>
      </c>
      <c r="C268" s="8" t="inlineStr">
        <is>
          <t>My Profile</t>
        </is>
      </c>
      <c r="D268" s="8" t="inlineStr">
        <is>
          <t>Profile</t>
        </is>
      </c>
      <c r="E268" s="10" t="inlineStr">
        <is>
          <t>Check</t>
        </is>
      </c>
      <c r="F268" s="8" t="inlineStr">
        <is>
          <t>core</t>
        </is>
      </c>
      <c r="G268" s="8" t="inlineStr">
        <is>
          <t>Must-Have</t>
        </is>
      </c>
      <c r="H268" s="8" t="inlineStr">
        <is>
          <t>self</t>
        </is>
      </c>
      <c r="I268" s="8" t="inlineStr">
        <is>
          <t>driver.my_profile.profile</t>
        </is>
      </c>
      <c r="J268" s="8" t="inlineStr">
        <is>
          <t>web/src/features/shared/Profile.tsx</t>
        </is>
      </c>
      <c r="K268" s="8" t="inlineStr"/>
      <c r="L268" s="8" t="n">
        <v>19</v>
      </c>
      <c r="M268" s="8" t="inlineStr">
        <is>
          <t>/files
/files/{}
/hr-growth/me/appraisals
/hr-growth/me/appraisals/{}
/hr-growth/me/appraisals/{}/acknowledge
/hr-growth/me/appraisals/{}/self-assessment
/hr-growth/me/duties
/hr-growth/me/training
… +11 more</t>
        </is>
      </c>
      <c r="N268" s="8" t="inlineStr">
        <is>
          <t>worker/src/routes/daily.ts
worker/src/routes/growth/hr_appraisal.ts
worker/src/routes/growth/hr_training.ts
worker/src/routes/hr/concerns.ts
worker/src/routes/misc/files.ts
worker/src/routes/misc/profile.ts</t>
        </is>
      </c>
      <c r="O268" s="8" t="n">
        <v>75</v>
      </c>
      <c r="P268" s="8" t="inlineStr">
        <is>
          <t>absence_followup_section_done
academic_years
application_documents
applications
appraisal_cycles
appraisal_kpis
appraisal_ratings
appraisals
attendance_corrections
bell_schedules
… +65 more</t>
        </is>
      </c>
      <c r="Q268" s="8" t="inlineStr">
        <is>
          <t>access.test.ts
concerns.test.ts
lms_modules.test.ts
lms_nesting.test.ts
lms_progression.test.ts
lms_videos.test.ts
… +4 more</t>
        </is>
      </c>
      <c r="R268" s="8" t="inlineStr">
        <is>
          <t>1 step(s) in its backend files answer "not ported" (see Not ported tab).</t>
        </is>
      </c>
      <c r="S268" s="8" t="inlineStr">
        <is>
          <t>Your own name, phone, email and password.</t>
        </is>
      </c>
    </row>
    <row r="269">
      <c r="A269" s="8" t="inlineStr">
        <is>
          <t>Driver / Bus Attendant</t>
        </is>
      </c>
      <c r="B269" s="8" t="inlineStr">
        <is>
          <t>My Profile</t>
        </is>
      </c>
      <c r="C269" s="8" t="inlineStr">
        <is>
          <t>My Profile</t>
        </is>
      </c>
      <c r="D269" s="8" t="inlineStr">
        <is>
          <t>My pay</t>
        </is>
      </c>
      <c r="E269" s="10" t="inlineStr">
        <is>
          <t>Check</t>
        </is>
      </c>
      <c r="F269" s="8" t="inlineStr">
        <is>
          <t>core</t>
        </is>
      </c>
      <c r="G269" s="8" t="inlineStr">
        <is>
          <t>Must-Have</t>
        </is>
      </c>
      <c r="H269" s="8" t="inlineStr">
        <is>
          <t>self</t>
        </is>
      </c>
      <c r="I269" s="8" t="inlineStr">
        <is>
          <t>driver.my_profile.my_pay</t>
        </is>
      </c>
      <c r="J269" s="8" t="inlineStr">
        <is>
          <t>web/src/features/me/MyPay.tsx</t>
        </is>
      </c>
      <c r="K269" s="8" t="inlineStr"/>
      <c r="L269" s="8" t="n">
        <v>1</v>
      </c>
      <c r="M269" s="8" t="inlineStr">
        <is>
          <t>/me/pay</t>
        </is>
      </c>
      <c r="N269" s="8" t="inlineStr">
        <is>
          <t>worker/src/routes/daily.ts</t>
        </is>
      </c>
      <c r="O269" s="8" t="n">
        <v>51</v>
      </c>
      <c r="P269" s="8" t="inlineStr">
        <is>
          <t>absence_followup_section_done
academic_years
applications
attendance_corrections
bell_schedules
board_memberships
campuses
class_subjects
classes
departments
… +41 more</t>
        </is>
      </c>
      <c r="Q269" s="8" t="inlineStr"/>
      <c r="R269" s="8" t="inlineStr">
        <is>
          <t>1 step(s) in its backend files answer "not ported" (see Not ported tab).</t>
        </is>
      </c>
      <c r="S269" s="8" t="inlineStr">
        <is>
          <t>Your own payslips month by month, what was taken off and how much of it was tax, the days you were marked present, and the leave you have left. Only ever your own.</t>
        </is>
      </c>
    </row>
    <row r="270">
      <c r="A270" s="8" t="inlineStr">
        <is>
          <t>Nurse / Clinic</t>
        </is>
      </c>
      <c r="B270" s="8" t="inlineStr">
        <is>
          <t>Home</t>
        </is>
      </c>
      <c r="C270" s="8" t="inlineStr">
        <is>
          <t>Home</t>
        </is>
      </c>
      <c r="D270" s="8" t="inlineStr">
        <is>
          <t>Dashboard</t>
        </is>
      </c>
      <c r="E270" s="11" t="inlineStr">
        <is>
          <t>Good</t>
        </is>
      </c>
      <c r="F270" s="8" t="inlineStr">
        <is>
          <t>core</t>
        </is>
      </c>
      <c r="G270" s="8" t="inlineStr">
        <is>
          <t>Must-Have</t>
        </is>
      </c>
      <c r="H270" s="8" t="inlineStr">
        <is>
          <t>institution</t>
        </is>
      </c>
      <c r="I270" s="8" t="inlineStr">
        <is>
          <t>nurse.home.dashboard</t>
        </is>
      </c>
      <c r="J270" s="8" t="inlineStr">
        <is>
          <t>web/src/features/welfare/NurseDay.tsx</t>
        </is>
      </c>
      <c r="K270" s="8" t="inlineStr">
        <is>
          <t>web/src/features/welfare/NurseDay.tsx</t>
        </is>
      </c>
      <c r="L270" s="8" t="n">
        <v>6</v>
      </c>
      <c r="M270" s="8" t="inlineStr">
        <is>
          <t>/files/{}
/ops/health/students
/ops/infirmary/medications
/ops/infirmary/visits
/portal/attendance
/portal/preferences/display</t>
        </is>
      </c>
      <c r="N270" s="8" t="inlineStr">
        <is>
          <t>worker/src/routes/misc/files.ts
worker/src/routes/ops/infirmary.ts
worker/src/routes/portal/family.ts
worker/src/routes/portal/life.ts</t>
        </is>
      </c>
      <c r="O270" s="8" t="n">
        <v>78</v>
      </c>
      <c r="P270" s="8" t="inlineStr">
        <is>
          <t>academic_years
admission_form_versions
admission_forms
application_documents
applications
branding_profiles
class_subjects
classes
club_events
discipline_records
… +68 more</t>
        </is>
      </c>
      <c r="Q270" s="8" t="inlineStr">
        <is>
          <t>access.test.ts
attendance.test.ts
edge.test.ts
student_lms.test.ts</t>
        </is>
      </c>
      <c r="R270" s="8" t="inlineStr"/>
      <c r="S270" s="8" t="inlineStr">
        <is>
          <t>The clinic's day on one page: who has come in, what has been given, and the children whose file says something before anyone opens it.</t>
        </is>
      </c>
    </row>
    <row r="271">
      <c r="A271" s="8" t="inlineStr">
        <is>
          <t>Nurse / Clinic</t>
        </is>
      </c>
      <c r="B271" s="8" t="inlineStr">
        <is>
          <t>Clinic</t>
        </is>
      </c>
      <c r="C271" s="8" t="inlineStr">
        <is>
          <t>Clinic</t>
        </is>
      </c>
      <c r="D271" s="8" t="inlineStr">
        <is>
          <t>Visits &amp; medication</t>
        </is>
      </c>
      <c r="E271" s="11" t="inlineStr">
        <is>
          <t>Good</t>
        </is>
      </c>
      <c r="F271" s="8" t="inlineStr">
        <is>
          <t>core</t>
        </is>
      </c>
      <c r="G271" s="8" t="inlineStr">
        <is>
          <t>Must-Have</t>
        </is>
      </c>
      <c r="H271" s="8" t="inlineStr">
        <is>
          <t>institution</t>
        </is>
      </c>
      <c r="I271" s="8" t="inlineStr">
        <is>
          <t>nurse.clinic.visits_medication</t>
        </is>
      </c>
      <c r="J271" s="8" t="inlineStr">
        <is>
          <t>web/src/features/operations/InfirmaryClinic.tsx</t>
        </is>
      </c>
      <c r="K271" s="8" t="inlineStr"/>
      <c r="L271" s="8" t="n">
        <v>2</v>
      </c>
      <c r="M271" s="8" t="inlineStr">
        <is>
          <t>/ops/infirmary/medications
/ops/infirmary/visits</t>
        </is>
      </c>
      <c r="N271" s="8" t="inlineStr">
        <is>
          <t>worker/src/routes/ops/infirmary.ts</t>
        </is>
      </c>
      <c r="O271" s="8" t="n">
        <v>23</v>
      </c>
      <c r="P271" s="8" t="inlineStr">
        <is>
          <t>academic_years
classes
enrollments
health_camp_attendance
health_camps
health_checkups
hostel_allocations
hostel_blocks
hostel_laundry
hostel_outpasses
… +13 more</t>
        </is>
      </c>
      <c r="Q271" s="8" t="inlineStr"/>
      <c r="R271" s="8" t="inlineStr"/>
      <c r="S271" s="8" t="inlineStr">
        <is>
          <t>Today's register: each child who came in, what was wrong, what was done, and the medication register beside it, with who allowed each dose.</t>
        </is>
      </c>
    </row>
    <row r="272">
      <c r="A272" s="8" t="inlineStr">
        <is>
          <t>Nurse / Clinic</t>
        </is>
      </c>
      <c r="B272" s="8" t="inlineStr">
        <is>
          <t>Clinic</t>
        </is>
      </c>
      <c r="C272" s="8" t="inlineStr">
        <is>
          <t>Clinic</t>
        </is>
      </c>
      <c r="D272" s="8" t="inlineStr">
        <is>
          <t>Checkups &amp; camps</t>
        </is>
      </c>
      <c r="E272" s="11" t="inlineStr">
        <is>
          <t>Good</t>
        </is>
      </c>
      <c r="F272" s="8" t="inlineStr">
        <is>
          <t>core</t>
        </is>
      </c>
      <c r="G272" s="8" t="inlineStr">
        <is>
          <t>Must-Have</t>
        </is>
      </c>
      <c r="H272" s="8" t="inlineStr">
        <is>
          <t>institution</t>
        </is>
      </c>
      <c r="I272" s="8" t="inlineStr">
        <is>
          <t>nurse.clinic.checkups_camps</t>
        </is>
      </c>
      <c r="J272" s="8" t="inlineStr">
        <is>
          <t>web/src/features/operations/InfirmaryScreening.tsx</t>
        </is>
      </c>
      <c r="K272" s="8" t="inlineStr"/>
      <c r="L272" s="8" t="n">
        <v>3</v>
      </c>
      <c r="M272" s="8" t="inlineStr">
        <is>
          <t>/ops/infirmary/camps
/ops/infirmary/camps/{}/seen
/ops/infirmary/checkups</t>
        </is>
      </c>
      <c r="N272" s="8" t="inlineStr">
        <is>
          <t>worker/src/routes/ops/infirmary.ts</t>
        </is>
      </c>
      <c r="O272" s="8" t="n">
        <v>23</v>
      </c>
      <c r="P272" s="8" t="inlineStr">
        <is>
          <t>academic_years
classes
enrollments
health_camp_attendance
health_camps
health_checkups
hostel_allocations
hostel_blocks
hostel_laundry
hostel_outpasses
… +13 more</t>
        </is>
      </c>
      <c r="Q272" s="8" t="inlineStr"/>
      <c r="R272" s="8" t="inlineStr"/>
      <c r="S272" s="8" t="inlineStr">
        <is>
          <t>The yearly health checkup per child, and the camps a visiting doctor runs.</t>
        </is>
      </c>
    </row>
    <row r="273">
      <c r="A273" s="8" t="inlineStr">
        <is>
          <t>Nurse / Clinic</t>
        </is>
      </c>
      <c r="B273" s="8" t="inlineStr">
        <is>
          <t>Clinic</t>
        </is>
      </c>
      <c r="C273" s="8" t="inlineStr">
        <is>
          <t>Clinic</t>
        </is>
      </c>
      <c r="D273" s="8" t="inlineStr">
        <is>
          <t>Health records</t>
        </is>
      </c>
      <c r="E273" s="11" t="inlineStr">
        <is>
          <t>Good</t>
        </is>
      </c>
      <c r="F273" s="8" t="inlineStr">
        <is>
          <t>core</t>
        </is>
      </c>
      <c r="G273" s="8" t="inlineStr">
        <is>
          <t>Must-Have</t>
        </is>
      </c>
      <c r="H273" s="8" t="inlineStr">
        <is>
          <t>institution</t>
        </is>
      </c>
      <c r="I273" s="8" t="inlineStr">
        <is>
          <t>nurse.clinic.health_records</t>
        </is>
      </c>
      <c r="J273" s="8" t="inlineStr">
        <is>
          <t>web/src/features/operations/Infirmary.tsx</t>
        </is>
      </c>
      <c r="K273" s="8" t="inlineStr"/>
      <c r="L273" s="8" t="n">
        <v>1</v>
      </c>
      <c r="M273" s="8" t="inlineStr">
        <is>
          <t>/ops/health/students</t>
        </is>
      </c>
      <c r="N273" s="8" t="inlineStr">
        <is>
          <t>worker/src/routes/ops/infirmary.ts</t>
        </is>
      </c>
      <c r="O273" s="8" t="n">
        <v>23</v>
      </c>
      <c r="P273" s="8" t="inlineStr">
        <is>
          <t>academic_years
classes
enrollments
health_camp_attendance
health_camps
health_checkups
hostel_allocations
hostel_blocks
hostel_laundry
hostel_outpasses
… +13 more</t>
        </is>
      </c>
      <c r="Q273" s="8" t="inlineStr"/>
      <c r="R273" s="8" t="inlineStr"/>
      <c r="S273" s="8" t="inlineStr">
        <is>
          <t>Allergies, chronic conditions, blood group and the family doctor, for the moment somebody needs them quickly.</t>
        </is>
      </c>
    </row>
    <row r="274">
      <c r="A274" s="8" t="inlineStr">
        <is>
          <t>Nurse / Clinic</t>
        </is>
      </c>
      <c r="B274" s="8" t="inlineStr">
        <is>
          <t>Communication</t>
        </is>
      </c>
      <c r="C274" s="8" t="inlineStr">
        <is>
          <t>Communication</t>
        </is>
      </c>
      <c r="D274" s="8" t="inlineStr">
        <is>
          <t>Messages</t>
        </is>
      </c>
      <c r="E274" s="11" t="inlineStr">
        <is>
          <t>Good</t>
        </is>
      </c>
      <c r="F274" s="8" t="inlineStr">
        <is>
          <t>core</t>
        </is>
      </c>
      <c r="G274" s="8" t="inlineStr">
        <is>
          <t>Must-Have</t>
        </is>
      </c>
      <c r="H274" s="8" t="inlineStr">
        <is>
          <t>institution</t>
        </is>
      </c>
      <c r="I274" s="8" t="inlineStr">
        <is>
          <t>nurse.communication.messages</t>
        </is>
      </c>
      <c r="J274" s="8" t="inlineStr">
        <is>
          <t>web/src/features/comms/StaffMessages.tsx</t>
        </is>
      </c>
      <c r="K274" s="8" t="inlineStr"/>
      <c r="L274" s="8" t="n">
        <v>12</v>
      </c>
      <c r="M274" s="8" t="inlineStr">
        <is>
          <t>/chat/messages/{}
/chat/parent-thread/read
/chat/staff-thread/read
/files
/files/{}
/portal/messages
/staff-messages
/staff-messages/threads
… +4 more</t>
        </is>
      </c>
      <c r="N274" s="8" t="inlineStr">
        <is>
          <t>worker/src/routes/misc/chat.ts
worker/src/routes/misc/files.ts
worker/src/routes/portal/requests.ts
worker/src/routes/teaching/dashboards.ts</t>
        </is>
      </c>
      <c r="O274" s="8" t="n">
        <v>60</v>
      </c>
      <c r="P274" s="8" t="inlineStr">
        <is>
          <t>academic_years
announcement_acks
announcements
application_documents
applications
certificate_types
class_subjects
classes
departments
designations
… +50 more</t>
        </is>
      </c>
      <c r="Q274" s="8" t="inlineStr">
        <is>
          <t>live.test.ts</t>
        </is>
      </c>
      <c r="R274" s="8" t="inlineStr"/>
      <c r="S274" s="8" t="inlineStr">
        <is>
          <t>One colleague at a time. The staff address book, every teacher and every member of staff, and the thread you have with each of them, for asking a class teacher or the office something rather than sending a notice to the school.</t>
        </is>
      </c>
    </row>
    <row r="275">
      <c r="A275" s="8" t="inlineStr">
        <is>
          <t>Nurse / Clinic</t>
        </is>
      </c>
      <c r="B275" s="8" t="inlineStr">
        <is>
          <t>My Profile</t>
        </is>
      </c>
      <c r="C275" s="8" t="inlineStr">
        <is>
          <t>My Profile</t>
        </is>
      </c>
      <c r="D275" s="8" t="inlineStr">
        <is>
          <t>My pay</t>
        </is>
      </c>
      <c r="E275" s="10" t="inlineStr">
        <is>
          <t>Check</t>
        </is>
      </c>
      <c r="F275" s="8" t="inlineStr">
        <is>
          <t>core</t>
        </is>
      </c>
      <c r="G275" s="8" t="inlineStr">
        <is>
          <t>Must-Have</t>
        </is>
      </c>
      <c r="H275" s="8" t="inlineStr">
        <is>
          <t>self</t>
        </is>
      </c>
      <c r="I275" s="8" t="inlineStr">
        <is>
          <t>nurse.my_profile.my_pay</t>
        </is>
      </c>
      <c r="J275" s="8" t="inlineStr">
        <is>
          <t>web/src/features/me/MyPay.tsx</t>
        </is>
      </c>
      <c r="K275" s="8" t="inlineStr"/>
      <c r="L275" s="8" t="n">
        <v>1</v>
      </c>
      <c r="M275" s="8" t="inlineStr">
        <is>
          <t>/me/pay</t>
        </is>
      </c>
      <c r="N275" s="8" t="inlineStr">
        <is>
          <t>worker/src/routes/daily.ts</t>
        </is>
      </c>
      <c r="O275" s="8" t="n">
        <v>51</v>
      </c>
      <c r="P275" s="8" t="inlineStr">
        <is>
          <t>absence_followup_section_done
academic_years
applications
attendance_corrections
bell_schedules
board_memberships
campuses
class_subjects
classes
departments
… +41 more</t>
        </is>
      </c>
      <c r="Q275" s="8" t="inlineStr"/>
      <c r="R275" s="8" t="inlineStr">
        <is>
          <t>1 step(s) in its backend files answer "not ported" (see Not ported tab).</t>
        </is>
      </c>
      <c r="S275" s="8" t="inlineStr">
        <is>
          <t>Your own payslips month by month, what was taken off and how much of it was tax, the days you were marked present, and the leave you have left. Only ever your own.</t>
        </is>
      </c>
    </row>
    <row r="276">
      <c r="A276" s="8" t="inlineStr">
        <is>
          <t>Counsellor</t>
        </is>
      </c>
      <c r="B276" s="8" t="inlineStr">
        <is>
          <t>Home</t>
        </is>
      </c>
      <c r="C276" s="8" t="inlineStr">
        <is>
          <t>Home</t>
        </is>
      </c>
      <c r="D276" s="8" t="inlineStr">
        <is>
          <t>Dashboard</t>
        </is>
      </c>
      <c r="E276" s="11" t="inlineStr">
        <is>
          <t>Good</t>
        </is>
      </c>
      <c r="F276" s="8" t="inlineStr">
        <is>
          <t>core</t>
        </is>
      </c>
      <c r="G276" s="8" t="inlineStr">
        <is>
          <t>Must-Have</t>
        </is>
      </c>
      <c r="H276" s="8" t="inlineStr">
        <is>
          <t>institution</t>
        </is>
      </c>
      <c r="I276" s="8" t="inlineStr">
        <is>
          <t>counsellor.home.dashboard</t>
        </is>
      </c>
      <c r="J276" s="8" t="inlineStr">
        <is>
          <t>web/src/features/welfare/CounsellorDay.tsx</t>
        </is>
      </c>
      <c r="K276" s="8" t="inlineStr">
        <is>
          <t>web/src/features/welfare/CounsellorDay.tsx</t>
        </is>
      </c>
      <c r="L276" s="8" t="n">
        <v>6</v>
      </c>
      <c r="M276" s="8" t="inlineStr">
        <is>
          <t>/comms/counselor/threads
/files/{}
/ops/health/students
/portal/attendance
/portal/preferences/display
/students/notes</t>
        </is>
      </c>
      <c r="N276" s="8" t="inlineStr">
        <is>
          <t>worker/src/routes/comms/counselor.ts
worker/src/routes/misc/files.ts
worker/src/routes/ops/infirmary.ts
worker/src/routes/portal/family.ts
worker/src/routes/portal/life.ts
worker/src/routes/students.ts</t>
        </is>
      </c>
      <c r="O276" s="8" t="n">
        <v>105</v>
      </c>
      <c r="P276" s="8" t="inlineStr">
        <is>
          <t>academic_years
activities
admission_form_versions
admission_forms
application_documents
applications
audit_log
branding_profiles
certificate_types
class_subjects
… +95 more</t>
        </is>
      </c>
      <c r="Q276" s="8" t="inlineStr">
        <is>
          <t>access.test.ts
attendance.test.ts
edge.test.ts
student_lms.test.ts</t>
        </is>
      </c>
      <c r="R276" s="8" t="inlineStr"/>
      <c r="S276" s="8" t="inlineStr">
        <is>
          <t>The conversations open with families, the concerns teachers wrote this week, and the children whose health file flags something.</t>
        </is>
      </c>
    </row>
    <row r="277">
      <c r="A277" s="8" t="inlineStr">
        <is>
          <t>Counsellor</t>
        </is>
      </c>
      <c r="B277" s="8" t="inlineStr">
        <is>
          <t>Counselling</t>
        </is>
      </c>
      <c r="C277" s="8" t="inlineStr">
        <is>
          <t>Counselling</t>
        </is>
      </c>
      <c r="D277" s="8" t="inlineStr">
        <is>
          <t>Family conversations</t>
        </is>
      </c>
      <c r="E277" s="11" t="inlineStr">
        <is>
          <t>Good</t>
        </is>
      </c>
      <c r="F277" s="8" t="inlineStr">
        <is>
          <t>core</t>
        </is>
      </c>
      <c r="G277" s="8" t="inlineStr">
        <is>
          <t>Must-Have</t>
        </is>
      </c>
      <c r="H277" s="8" t="inlineStr">
        <is>
          <t>institution</t>
        </is>
      </c>
      <c r="I277" s="8" t="inlineStr">
        <is>
          <t>counsellor.counselling.family_conversations</t>
        </is>
      </c>
      <c r="J277" s="8" t="inlineStr">
        <is>
          <t>web/src/features/communication/CounselorChannel.tsx</t>
        </is>
      </c>
      <c r="K277" s="8" t="inlineStr"/>
      <c r="L277" s="8" t="n">
        <v>9</v>
      </c>
      <c r="M277" s="8" t="inlineStr">
        <is>
          <t>/comms/counselor/contacts
/comms/counselor/threads
/comms/counselor/threads/{}/close
/comms/counselor/threads/{}/messages
/comms/counselor/threads/{}/participants
/files
/files/{}
/portal/students
… +1 more</t>
        </is>
      </c>
      <c r="N277" s="8" t="inlineStr">
        <is>
          <t>worker/src/routes/comms/counselor.ts
worker/src/routes/misc/files.ts
worker/src/routes/portal/family.ts</t>
        </is>
      </c>
      <c r="O277" s="8" t="n">
        <v>52</v>
      </c>
      <c r="P277" s="8" t="inlineStr">
        <is>
          <t>academic_years
admission_form_versions
admission_forms
application_documents
applications
branding_profiles
class_subjects
classes
counselor_access_events
counselor_messages
… +42 more</t>
        </is>
      </c>
      <c r="Q277" s="8" t="inlineStr">
        <is>
          <t>access.test.ts</t>
        </is>
      </c>
      <c r="R277" s="8" t="inlineStr"/>
      <c r="S277" s="8" t="inlineStr">
        <is>
          <t>Private threads with a child's family. Who can read one is a named list and nothing else.</t>
        </is>
      </c>
    </row>
    <row r="278">
      <c r="A278" s="8" t="inlineStr">
        <is>
          <t>Counsellor</t>
        </is>
      </c>
      <c r="B278" s="8" t="inlineStr">
        <is>
          <t>Counselling</t>
        </is>
      </c>
      <c r="C278" s="8" t="inlineStr">
        <is>
          <t>Counselling</t>
        </is>
      </c>
      <c r="D278" s="8" t="inlineStr">
        <is>
          <t>Conduct notes</t>
        </is>
      </c>
      <c r="E278" s="11" t="inlineStr">
        <is>
          <t>Good</t>
        </is>
      </c>
      <c r="F278" s="8" t="inlineStr">
        <is>
          <t>core</t>
        </is>
      </c>
      <c r="G278" s="8" t="inlineStr">
        <is>
          <t>Must-Have</t>
        </is>
      </c>
      <c r="H278" s="8" t="inlineStr">
        <is>
          <t>institution</t>
        </is>
      </c>
      <c r="I278" s="8" t="inlineStr">
        <is>
          <t>counsellor.counselling.conduct_notes</t>
        </is>
      </c>
      <c r="J278" s="8" t="inlineStr">
        <is>
          <t>web/src/features/faculty/Behaviour.tsx</t>
        </is>
      </c>
      <c r="K278" s="8" t="inlineStr"/>
      <c r="L278" s="8" t="n">
        <v>2</v>
      </c>
      <c r="M278" s="8" t="inlineStr">
        <is>
          <t>/students/notes
/teaching/progress/options</t>
        </is>
      </c>
      <c r="N278" s="8" t="inlineStr">
        <is>
          <t>worker/src/routes/students.ts
worker/src/routes/teaching/dashboards.ts</t>
        </is>
      </c>
      <c r="O278" s="8" t="n">
        <v>67</v>
      </c>
      <c r="P278" s="8" t="inlineStr">
        <is>
          <t>academic_years
activities
announcement_acks
announcements
applications
audit_log
certificate_types
class_subjects
classes
co_scholastic_areas
… +57 more</t>
        </is>
      </c>
      <c r="Q278" s="8" t="inlineStr"/>
      <c r="R278" s="8" t="inlineStr"/>
      <c r="S278" s="8" t="inlineStr">
        <is>
          <t>Praise and concerns teachers have recorded, one record read in order.</t>
        </is>
      </c>
    </row>
    <row r="279">
      <c r="A279" s="8" t="inlineStr">
        <is>
          <t>Counsellor</t>
        </is>
      </c>
      <c r="B279" s="8" t="inlineStr">
        <is>
          <t>Counselling</t>
        </is>
      </c>
      <c r="C279" s="8" t="inlineStr">
        <is>
          <t>Counselling</t>
        </is>
      </c>
      <c r="D279" s="8" t="inlineStr">
        <is>
          <t>Health records</t>
        </is>
      </c>
      <c r="E279" s="11" t="inlineStr">
        <is>
          <t>Good</t>
        </is>
      </c>
      <c r="F279" s="8" t="inlineStr">
        <is>
          <t>core</t>
        </is>
      </c>
      <c r="G279" s="8" t="inlineStr">
        <is>
          <t>Must-Have</t>
        </is>
      </c>
      <c r="H279" s="8" t="inlineStr">
        <is>
          <t>institution</t>
        </is>
      </c>
      <c r="I279" s="8" t="inlineStr">
        <is>
          <t>counsellor.counselling.health_records</t>
        </is>
      </c>
      <c r="J279" s="8" t="inlineStr">
        <is>
          <t>web/src/features/operations/Infirmary.tsx</t>
        </is>
      </c>
      <c r="K279" s="8" t="inlineStr"/>
      <c r="L279" s="8" t="n">
        <v>1</v>
      </c>
      <c r="M279" s="8" t="inlineStr">
        <is>
          <t>/ops/health/students</t>
        </is>
      </c>
      <c r="N279" s="8" t="inlineStr">
        <is>
          <t>worker/src/routes/ops/infirmary.ts</t>
        </is>
      </c>
      <c r="O279" s="8" t="n">
        <v>23</v>
      </c>
      <c r="P279" s="8" t="inlineStr">
        <is>
          <t>academic_years
classes
enrollments
health_camp_attendance
health_camps
health_checkups
hostel_allocations
hostel_blocks
hostel_laundry
hostel_outpasses
… +13 more</t>
        </is>
      </c>
      <c r="Q279" s="8" t="inlineStr"/>
      <c r="R279" s="8" t="inlineStr"/>
      <c r="S279" s="8" t="inlineStr">
        <is>
          <t>Allergies, chronic conditions and the family doctor, read from the clinic's master file.</t>
        </is>
      </c>
    </row>
    <row r="280">
      <c r="A280" s="8" t="inlineStr">
        <is>
          <t>Counsellor</t>
        </is>
      </c>
      <c r="B280" s="8" t="inlineStr">
        <is>
          <t>Communication</t>
        </is>
      </c>
      <c r="C280" s="8" t="inlineStr">
        <is>
          <t>Communication</t>
        </is>
      </c>
      <c r="D280" s="8" t="inlineStr">
        <is>
          <t>Messages</t>
        </is>
      </c>
      <c r="E280" s="11" t="inlineStr">
        <is>
          <t>Good</t>
        </is>
      </c>
      <c r="F280" s="8" t="inlineStr">
        <is>
          <t>core</t>
        </is>
      </c>
      <c r="G280" s="8" t="inlineStr">
        <is>
          <t>Must-Have</t>
        </is>
      </c>
      <c r="H280" s="8" t="inlineStr">
        <is>
          <t>institution</t>
        </is>
      </c>
      <c r="I280" s="8" t="inlineStr">
        <is>
          <t>counsellor.communication.messages</t>
        </is>
      </c>
      <c r="J280" s="8" t="inlineStr">
        <is>
          <t>web/src/features/comms/StaffMessages.tsx</t>
        </is>
      </c>
      <c r="K280" s="8" t="inlineStr"/>
      <c r="L280" s="8" t="n">
        <v>12</v>
      </c>
      <c r="M280" s="8" t="inlineStr">
        <is>
          <t>/chat/messages/{}
/chat/parent-thread/read
/chat/staff-thread/read
/files
/files/{}
/portal/messages
/staff-messages
/staff-messages/threads
… +4 more</t>
        </is>
      </c>
      <c r="N280" s="8" t="inlineStr">
        <is>
          <t>worker/src/routes/misc/chat.ts
worker/src/routes/misc/files.ts
worker/src/routes/portal/requests.ts
worker/src/routes/teaching/dashboards.ts</t>
        </is>
      </c>
      <c r="O280" s="8" t="n">
        <v>60</v>
      </c>
      <c r="P280" s="8" t="inlineStr">
        <is>
          <t>academic_years
announcement_acks
announcements
application_documents
applications
certificate_types
class_subjects
classes
departments
designations
… +50 more</t>
        </is>
      </c>
      <c r="Q280" s="8" t="inlineStr">
        <is>
          <t>live.test.ts</t>
        </is>
      </c>
      <c r="R280" s="8" t="inlineStr"/>
      <c r="S280" s="8" t="inlineStr">
        <is>
          <t>One colleague at a time. The staff address book, every teacher and every member of staff, and the thread you have with each of them, for asking a class teacher or the office something rather than sending a notice to the school.</t>
        </is>
      </c>
    </row>
    <row r="281">
      <c r="A281" s="8" t="inlineStr">
        <is>
          <t>Counsellor</t>
        </is>
      </c>
      <c r="B281" s="8" t="inlineStr">
        <is>
          <t>My Profile</t>
        </is>
      </c>
      <c r="C281" s="8" t="inlineStr">
        <is>
          <t>My Profile</t>
        </is>
      </c>
      <c r="D281" s="8" t="inlineStr">
        <is>
          <t>My pay</t>
        </is>
      </c>
      <c r="E281" s="10" t="inlineStr">
        <is>
          <t>Check</t>
        </is>
      </c>
      <c r="F281" s="8" t="inlineStr">
        <is>
          <t>core</t>
        </is>
      </c>
      <c r="G281" s="8" t="inlineStr">
        <is>
          <t>Must-Have</t>
        </is>
      </c>
      <c r="H281" s="8" t="inlineStr">
        <is>
          <t>self</t>
        </is>
      </c>
      <c r="I281" s="8" t="inlineStr">
        <is>
          <t>counsellor.my_profile.my_pay</t>
        </is>
      </c>
      <c r="J281" s="8" t="inlineStr">
        <is>
          <t>web/src/features/me/MyPay.tsx</t>
        </is>
      </c>
      <c r="K281" s="8" t="inlineStr"/>
      <c r="L281" s="8" t="n">
        <v>1</v>
      </c>
      <c r="M281" s="8" t="inlineStr">
        <is>
          <t>/me/pay</t>
        </is>
      </c>
      <c r="N281" s="8" t="inlineStr">
        <is>
          <t>worker/src/routes/daily.ts</t>
        </is>
      </c>
      <c r="O281" s="8" t="n">
        <v>51</v>
      </c>
      <c r="P281" s="8" t="inlineStr">
        <is>
          <t>absence_followup_section_done
academic_years
applications
attendance_corrections
bell_schedules
board_memberships
campuses
class_subjects
classes
departments
… +41 more</t>
        </is>
      </c>
      <c r="Q281" s="8" t="inlineStr"/>
      <c r="R281" s="8" t="inlineStr">
        <is>
          <t>1 step(s) in its backend files answer "not ported" (see Not ported tab).</t>
        </is>
      </c>
      <c r="S281" s="8" t="inlineStr">
        <is>
          <t>Your own payslips month by month, what was taken off and how much of it was tax, the days you were marked present, and the leave you have left. Only ever your own.</t>
        </is>
      </c>
    </row>
    <row r="282">
      <c r="A282" s="8" t="inlineStr">
        <is>
          <t>Discipline Officer</t>
        </is>
      </c>
      <c r="B282" s="8" t="inlineStr">
        <is>
          <t>Home</t>
        </is>
      </c>
      <c r="C282" s="8" t="inlineStr">
        <is>
          <t>Home</t>
        </is>
      </c>
      <c r="D282" s="8" t="inlineStr">
        <is>
          <t>Dashboard</t>
        </is>
      </c>
      <c r="E282" s="11" t="inlineStr">
        <is>
          <t>Good</t>
        </is>
      </c>
      <c r="F282" s="8" t="inlineStr">
        <is>
          <t>core</t>
        </is>
      </c>
      <c r="G282" s="8" t="inlineStr">
        <is>
          <t>Must-Have</t>
        </is>
      </c>
      <c r="H282" s="8" t="inlineStr">
        <is>
          <t>institution</t>
        </is>
      </c>
      <c r="I282" s="8" t="inlineStr">
        <is>
          <t>discipline_officer.home.dashboard</t>
        </is>
      </c>
      <c r="J282" s="8" t="inlineStr">
        <is>
          <t>web/src/features/welfare/DisciplineDay.tsx</t>
        </is>
      </c>
      <c r="K282" s="8" t="inlineStr">
        <is>
          <t>web/src/features/welfare/DisciplineDay.tsx</t>
        </is>
      </c>
      <c r="L282" s="8" t="n">
        <v>5</v>
      </c>
      <c r="M282" s="8" t="inlineStr">
        <is>
          <t>/academics/admin/incidents
/files/{}
/portal/attendance
/portal/preferences/display
/students/notes</t>
        </is>
      </c>
      <c r="N282" s="8" t="inlineStr">
        <is>
          <t>worker/src/routes/academics/admin.ts
worker/src/routes/misc/files.ts
worker/src/routes/portal/family.ts
worker/src/routes/portal/life.ts
worker/src/routes/students.ts</t>
        </is>
      </c>
      <c r="O282" s="8" t="n">
        <v>104</v>
      </c>
      <c r="P282" s="8" t="inlineStr">
        <is>
          <t>academic_years
activities
admission_form_versions
admission_forms
alumni_contributions
alumni_event_rsvps
alumni_events
alumni_profiles
application_documents
applications
… +94 more</t>
        </is>
      </c>
      <c r="Q282" s="8" t="inlineStr">
        <is>
          <t>access.test.ts
attendance.test.ts
edge.test.ts
student_lms.test.ts</t>
        </is>
      </c>
      <c r="R282" s="8" t="inlineStr"/>
      <c r="S282" s="8" t="inlineStr">
        <is>
          <t>Incidents still open, the serious ones, and what was written about conduct this week.</t>
        </is>
      </c>
    </row>
    <row r="283">
      <c r="A283" s="8" t="inlineStr">
        <is>
          <t>Discipline Officer</t>
        </is>
      </c>
      <c r="B283" s="8" t="inlineStr">
        <is>
          <t>Discipline</t>
        </is>
      </c>
      <c r="C283" s="8" t="inlineStr">
        <is>
          <t>Discipline</t>
        </is>
      </c>
      <c r="D283" s="8" t="inlineStr">
        <is>
          <t>Conduct notes</t>
        </is>
      </c>
      <c r="E283" s="11" t="inlineStr">
        <is>
          <t>Good</t>
        </is>
      </c>
      <c r="F283" s="8" t="inlineStr">
        <is>
          <t>core</t>
        </is>
      </c>
      <c r="G283" s="8" t="inlineStr">
        <is>
          <t>Must-Have</t>
        </is>
      </c>
      <c r="H283" s="8" t="inlineStr">
        <is>
          <t>institution</t>
        </is>
      </c>
      <c r="I283" s="8" t="inlineStr">
        <is>
          <t>discipline_officer.discipline.conduct_notes</t>
        </is>
      </c>
      <c r="J283" s="8" t="inlineStr">
        <is>
          <t>web/src/features/faculty/Behaviour.tsx</t>
        </is>
      </c>
      <c r="K283" s="8" t="inlineStr"/>
      <c r="L283" s="8" t="n">
        <v>2</v>
      </c>
      <c r="M283" s="8" t="inlineStr">
        <is>
          <t>/students/notes
/teaching/progress/options</t>
        </is>
      </c>
      <c r="N283" s="8" t="inlineStr">
        <is>
          <t>worker/src/routes/students.ts
worker/src/routes/teaching/dashboards.ts</t>
        </is>
      </c>
      <c r="O283" s="8" t="n">
        <v>67</v>
      </c>
      <c r="P283" s="8" t="inlineStr">
        <is>
          <t>academic_years
activities
announcement_acks
announcements
applications
audit_log
certificate_types
class_subjects
classes
co_scholastic_areas
… +57 more</t>
        </is>
      </c>
      <c r="Q283" s="8" t="inlineStr"/>
      <c r="R283" s="8" t="inlineStr"/>
      <c r="S283" s="8" t="inlineStr">
        <is>
          <t>Badges and demerits: record praise or a concern against a child, and read what others have written.</t>
        </is>
      </c>
    </row>
    <row r="284">
      <c r="A284" s="8" t="inlineStr">
        <is>
          <t>Discipline Officer</t>
        </is>
      </c>
      <c r="B284" s="8" t="inlineStr">
        <is>
          <t>Discipline</t>
        </is>
      </c>
      <c r="C284" s="8" t="inlineStr">
        <is>
          <t>Discipline</t>
        </is>
      </c>
      <c r="D284" s="8" t="inlineStr">
        <is>
          <t>Incident log</t>
        </is>
      </c>
      <c r="E284" s="11" t="inlineStr">
        <is>
          <t>Good</t>
        </is>
      </c>
      <c r="F284" s="8" t="inlineStr">
        <is>
          <t>core</t>
        </is>
      </c>
      <c r="G284" s="8" t="inlineStr">
        <is>
          <t>Must-Have</t>
        </is>
      </c>
      <c r="H284" s="8" t="inlineStr">
        <is>
          <t>institution</t>
        </is>
      </c>
      <c r="I284" s="8" t="inlineStr">
        <is>
          <t>discipline_officer.discipline.incident_log</t>
        </is>
      </c>
      <c r="J284" s="8" t="inlineStr">
        <is>
          <t>web/src/features/students/DisciplineLog.tsx</t>
        </is>
      </c>
      <c r="K284" s="8" t="inlineStr"/>
      <c r="L284" s="8" t="n">
        <v>2</v>
      </c>
      <c r="M284" s="8" t="inlineStr">
        <is>
          <t>/academics/admin/incidents
/academics/admin/incidents/{}</t>
        </is>
      </c>
      <c r="N284" s="8" t="inlineStr">
        <is>
          <t>worker/src/routes/academics/admin.ts</t>
        </is>
      </c>
      <c r="O284" s="8" t="n">
        <v>42</v>
      </c>
      <c r="P284" s="8" t="inlineStr">
        <is>
          <t>academic_years
alumni_contributions
alumni_event_rsvps
alumni_events
alumni_profiles
campuses
certificate_types
class_subjects
classes
co_po_map
… +32 more</t>
        </is>
      </c>
      <c r="Q284" s="8" t="inlineStr"/>
      <c r="R284" s="8" t="inlineStr"/>
      <c r="S284" s="8" t="inlineStr">
        <is>
          <t>Conduct records escalated by the office: severity, counselling, the parent meeting, and any suspension.</t>
        </is>
      </c>
    </row>
    <row r="285">
      <c r="A285" s="8" t="inlineStr">
        <is>
          <t>Discipline Officer</t>
        </is>
      </c>
      <c r="B285" s="8" t="inlineStr">
        <is>
          <t>Communication</t>
        </is>
      </c>
      <c r="C285" s="8" t="inlineStr">
        <is>
          <t>Communication</t>
        </is>
      </c>
      <c r="D285" s="8" t="inlineStr">
        <is>
          <t>Messages</t>
        </is>
      </c>
      <c r="E285" s="11" t="inlineStr">
        <is>
          <t>Good</t>
        </is>
      </c>
      <c r="F285" s="8" t="inlineStr">
        <is>
          <t>core</t>
        </is>
      </c>
      <c r="G285" s="8" t="inlineStr">
        <is>
          <t>Must-Have</t>
        </is>
      </c>
      <c r="H285" s="8" t="inlineStr">
        <is>
          <t>institution</t>
        </is>
      </c>
      <c r="I285" s="8" t="inlineStr">
        <is>
          <t>discipline_officer.communication.messages</t>
        </is>
      </c>
      <c r="J285" s="8" t="inlineStr">
        <is>
          <t>web/src/features/comms/StaffMessages.tsx</t>
        </is>
      </c>
      <c r="K285" s="8" t="inlineStr"/>
      <c r="L285" s="8" t="n">
        <v>12</v>
      </c>
      <c r="M285" s="8" t="inlineStr">
        <is>
          <t>/chat/messages/{}
/chat/parent-thread/read
/chat/staff-thread/read
/files
/files/{}
/portal/messages
/staff-messages
/staff-messages/threads
… +4 more</t>
        </is>
      </c>
      <c r="N285" s="8" t="inlineStr">
        <is>
          <t>worker/src/routes/misc/chat.ts
worker/src/routes/misc/files.ts
worker/src/routes/portal/requests.ts
worker/src/routes/teaching/dashboards.ts</t>
        </is>
      </c>
      <c r="O285" s="8" t="n">
        <v>60</v>
      </c>
      <c r="P285" s="8" t="inlineStr">
        <is>
          <t>academic_years
announcement_acks
announcements
application_documents
applications
certificate_types
class_subjects
classes
departments
designations
… +50 more</t>
        </is>
      </c>
      <c r="Q285" s="8" t="inlineStr">
        <is>
          <t>live.test.ts</t>
        </is>
      </c>
      <c r="R285" s="8" t="inlineStr"/>
      <c r="S285" s="8" t="inlineStr">
        <is>
          <t>One colleague at a time. The staff address book, every teacher and every member of staff, and the thread you have with each of them, for asking a class teacher or the office something rather than sending a notice to the school.</t>
        </is>
      </c>
    </row>
    <row r="286">
      <c r="A286" s="8" t="inlineStr">
        <is>
          <t>Discipline Officer</t>
        </is>
      </c>
      <c r="B286" s="8" t="inlineStr">
        <is>
          <t>My Profile</t>
        </is>
      </c>
      <c r="C286" s="8" t="inlineStr">
        <is>
          <t>My Profile</t>
        </is>
      </c>
      <c r="D286" s="8" t="inlineStr">
        <is>
          <t>My pay</t>
        </is>
      </c>
      <c r="E286" s="10" t="inlineStr">
        <is>
          <t>Check</t>
        </is>
      </c>
      <c r="F286" s="8" t="inlineStr">
        <is>
          <t>core</t>
        </is>
      </c>
      <c r="G286" s="8" t="inlineStr">
        <is>
          <t>Must-Have</t>
        </is>
      </c>
      <c r="H286" s="8" t="inlineStr">
        <is>
          <t>self</t>
        </is>
      </c>
      <c r="I286" s="8" t="inlineStr">
        <is>
          <t>discipline_officer.my_profile.my_pay</t>
        </is>
      </c>
      <c r="J286" s="8" t="inlineStr">
        <is>
          <t>web/src/features/me/MyPay.tsx</t>
        </is>
      </c>
      <c r="K286" s="8" t="inlineStr"/>
      <c r="L286" s="8" t="n">
        <v>1</v>
      </c>
      <c r="M286" s="8" t="inlineStr">
        <is>
          <t>/me/pay</t>
        </is>
      </c>
      <c r="N286" s="8" t="inlineStr">
        <is>
          <t>worker/src/routes/daily.ts</t>
        </is>
      </c>
      <c r="O286" s="8" t="n">
        <v>51</v>
      </c>
      <c r="P286" s="8" t="inlineStr">
        <is>
          <t>absence_followup_section_done
academic_years
applications
attendance_corrections
bell_schedules
board_memberships
campuses
class_subjects
classes
departments
… +41 more</t>
        </is>
      </c>
      <c r="Q286" s="8" t="inlineStr"/>
      <c r="R286" s="8" t="inlineStr">
        <is>
          <t>1 step(s) in its backend files answer "not ported" (see Not ported tab).</t>
        </is>
      </c>
      <c r="S286" s="8" t="inlineStr">
        <is>
          <t>Your own payslips month by month, what was taken off and how much of it was tax, the days you were marked present, and the leave you have left. Only ever your own.</t>
        </is>
      </c>
    </row>
    <row r="287">
      <c r="A287" s="8" t="inlineStr">
        <is>
          <t>Hostel Warden</t>
        </is>
      </c>
      <c r="B287" s="8" t="inlineStr">
        <is>
          <t>Home</t>
        </is>
      </c>
      <c r="C287" s="8" t="inlineStr">
        <is>
          <t>Home</t>
        </is>
      </c>
      <c r="D287" s="8" t="inlineStr">
        <is>
          <t>Dashboard</t>
        </is>
      </c>
      <c r="E287" s="11" t="inlineStr">
        <is>
          <t>Good</t>
        </is>
      </c>
      <c r="F287" s="8" t="inlineStr">
        <is>
          <t>core</t>
        </is>
      </c>
      <c r="G287" s="8" t="inlineStr">
        <is>
          <t>Must-Have</t>
        </is>
      </c>
      <c r="H287" s="8" t="inlineStr">
        <is>
          <t>institution</t>
        </is>
      </c>
      <c r="I287" s="8" t="inlineStr">
        <is>
          <t>hostel_warden.home.dashboard</t>
        </is>
      </c>
      <c r="J287" s="8" t="inlineStr">
        <is>
          <t>web/src/features/welfare/WardenDay.tsx</t>
        </is>
      </c>
      <c r="K287" s="8" t="inlineStr">
        <is>
          <t>web/src/features/welfare/WardenDay.tsx</t>
        </is>
      </c>
      <c r="L287" s="8" t="n">
        <v>6</v>
      </c>
      <c r="M287" s="8" t="inlineStr">
        <is>
          <t>/files/{}
/ops/hostel/complaints
/ops/hostel/occupancy
/ops/hostel/outpasses
/portal/attendance
/portal/preferences/display</t>
        </is>
      </c>
      <c r="N287" s="8" t="inlineStr">
        <is>
          <t>worker/src/routes/misc/files.ts
worker/src/routes/ops/hostel.ts
worker/src/routes/portal/family.ts
worker/src/routes/portal/life.ts</t>
        </is>
      </c>
      <c r="O287" s="8" t="n">
        <v>67</v>
      </c>
      <c r="P287" s="8" t="inlineStr">
        <is>
          <t>academic_years
admission_form_versions
admission_forms
application_documents
applications
branding_profiles
class_subjects
classes
club_events
discipline_records
… +57 more</t>
        </is>
      </c>
      <c r="Q287" s="8" t="inlineStr">
        <is>
          <t>access.test.ts
attendance.test.ts
edge.test.ts
student_lms.test.ts</t>
        </is>
      </c>
      <c r="R287" s="8" t="inlineStr"/>
      <c r="S287" s="8" t="inlineStr">
        <is>
          <t>Passes waiting on you, who is out and late back, beds against boarders, and complaints still open.</t>
        </is>
      </c>
    </row>
    <row r="288">
      <c r="A288" s="8" t="inlineStr">
        <is>
          <t>Hostel Warden</t>
        </is>
      </c>
      <c r="B288" s="8" t="inlineStr">
        <is>
          <t>Hostel</t>
        </is>
      </c>
      <c r="C288" s="8" t="inlineStr">
        <is>
          <t>Hostel</t>
        </is>
      </c>
      <c r="D288" s="8" t="inlineStr">
        <is>
          <t>Hostel &amp; rooms</t>
        </is>
      </c>
      <c r="E288" s="11" t="inlineStr">
        <is>
          <t>Good</t>
        </is>
      </c>
      <c r="F288" s="8" t="inlineStr">
        <is>
          <t>core</t>
        </is>
      </c>
      <c r="G288" s="8" t="inlineStr">
        <is>
          <t>Must-Have</t>
        </is>
      </c>
      <c r="H288" s="8" t="inlineStr">
        <is>
          <t>institution</t>
        </is>
      </c>
      <c r="I288" s="8" t="inlineStr">
        <is>
          <t>hostel_warden.hostel.hostel_rooms</t>
        </is>
      </c>
      <c r="J288" s="8" t="inlineStr">
        <is>
          <t>web/src/features/operations/Hostel.tsx</t>
        </is>
      </c>
      <c r="K288" s="8" t="inlineStr"/>
      <c r="L288" s="8" t="n">
        <v>4</v>
      </c>
      <c r="M288" s="8" t="inlineStr">
        <is>
          <t>/ops/hostel/allocate
/ops/hostel/occupancy
/ops/hostel/rooms/{}/boarders
/students</t>
        </is>
      </c>
      <c r="N288" s="8" t="inlineStr">
        <is>
          <t>worker/src/router.ts
worker/src/routes/ops/hostel.ts
worker/src/routes/students.ts</t>
        </is>
      </c>
      <c r="O288" s="8" t="n">
        <v>54</v>
      </c>
      <c r="P288" s="8" t="inlineStr">
        <is>
          <t>academic_years
activities
audit_log
certificate_types
class_subjects
classes
co_scholastic_areas
co_scholastic_grades
discipline_records
employees
… +44 more</t>
        </is>
      </c>
      <c r="Q288" s="8" t="inlineStr">
        <is>
          <t>access.test.ts
auth.test.ts
fees.test.ts
perf.test.ts
student_lms.test.ts
student_login_default.test.ts
… +1 more</t>
        </is>
      </c>
      <c r="R288" s="8" t="inlineStr"/>
      <c r="S288" s="8" t="inlineStr">
        <is>
          <t>Blocks, rooms and who sleeps where, with a free bed to put a child in.</t>
        </is>
      </c>
    </row>
    <row r="289">
      <c r="A289" s="8" t="inlineStr">
        <is>
          <t>Hostel Warden</t>
        </is>
      </c>
      <c r="B289" s="8" t="inlineStr">
        <is>
          <t>Hostel</t>
        </is>
      </c>
      <c r="C289" s="8" t="inlineStr">
        <is>
          <t>Hostel</t>
        </is>
      </c>
      <c r="D289" s="8" t="inlineStr">
        <is>
          <t>Outpasses &amp; mess</t>
        </is>
      </c>
      <c r="E289" s="11" t="inlineStr">
        <is>
          <t>Good</t>
        </is>
      </c>
      <c r="F289" s="8" t="inlineStr">
        <is>
          <t>core</t>
        </is>
      </c>
      <c r="G289" s="8" t="inlineStr">
        <is>
          <t>Must-Have</t>
        </is>
      </c>
      <c r="H289" s="8" t="inlineStr">
        <is>
          <t>institution</t>
        </is>
      </c>
      <c r="I289" s="8" t="inlineStr">
        <is>
          <t>hostel_warden.hostel.outpasses_mess</t>
        </is>
      </c>
      <c r="J289" s="8" t="inlineStr">
        <is>
          <t>web/src/features/operations/HostelLife.tsx</t>
        </is>
      </c>
      <c r="K289" s="8" t="inlineStr"/>
      <c r="L289" s="8" t="n">
        <v>5</v>
      </c>
      <c r="M289" s="8" t="inlineStr">
        <is>
          <t>/ops/hostel/complaints
/ops/hostel/complaints/{}/resolve
/ops/hostel/mess
/ops/hostel/outpasses
/ops/hostel/outpasses/{}/decide</t>
        </is>
      </c>
      <c r="N289" s="8" t="inlineStr">
        <is>
          <t>worker/src/routes/ops/hostel.ts</t>
        </is>
      </c>
      <c r="O289" s="8" t="n">
        <v>11</v>
      </c>
      <c r="P289" s="8" t="inlineStr">
        <is>
          <t>classes
enrollments
hostel_allocations
hostel_blocks
hostel_complaints
hostel_outpasses
hostel_rooms
mess_menus
sections
students
… +1 more</t>
        </is>
      </c>
      <c r="Q289" s="8" t="inlineStr"/>
      <c r="R289" s="8" t="inlineStr"/>
      <c r="S289" s="8" t="inlineStr">
        <is>
          <t>Leave out of the hostel, complaints raised from it, and the week's mess menu.</t>
        </is>
      </c>
    </row>
    <row r="290">
      <c r="A290" s="8" t="inlineStr">
        <is>
          <t>Hostel Warden</t>
        </is>
      </c>
      <c r="B290" s="8" t="inlineStr">
        <is>
          <t>Hostel</t>
        </is>
      </c>
      <c r="C290" s="8" t="inlineStr">
        <is>
          <t>Hostel</t>
        </is>
      </c>
      <c r="D290" s="8" t="inlineStr">
        <is>
          <t>Night study</t>
        </is>
      </c>
      <c r="E290" s="11" t="inlineStr">
        <is>
          <t>Good</t>
        </is>
      </c>
      <c r="F290" s="8" t="inlineStr">
        <is>
          <t>core</t>
        </is>
      </c>
      <c r="G290" s="8" t="inlineStr">
        <is>
          <t>Must-Have</t>
        </is>
      </c>
      <c r="H290" s="8" t="inlineStr">
        <is>
          <t>institution</t>
        </is>
      </c>
      <c r="I290" s="8" t="inlineStr">
        <is>
          <t>hostel_warden.hostel.night_study</t>
        </is>
      </c>
      <c r="J290" s="8" t="inlineStr">
        <is>
          <t>web/src/features/operations/HostelNightStudy.tsx</t>
        </is>
      </c>
      <c r="K290" s="8" t="inlineStr"/>
      <c r="L290" s="8" t="n">
        <v>1</v>
      </c>
      <c r="M290" s="8" t="inlineStr">
        <is>
          <t>/ops/hostel/night-study</t>
        </is>
      </c>
      <c r="N290" s="8" t="inlineStr">
        <is>
          <t>worker/src/routes/ops/infirmary.ts</t>
        </is>
      </c>
      <c r="O290" s="8" t="n">
        <v>23</v>
      </c>
      <c r="P290" s="8" t="inlineStr">
        <is>
          <t>academic_years
classes
enrollments
health_camp_attendance
health_camps
health_checkups
hostel_allocations
hostel_blocks
hostel_laundry
hostel_outpasses
… +13 more</t>
        </is>
      </c>
      <c r="Q290" s="8" t="inlineStr"/>
      <c r="R290" s="8" t="inlineStr"/>
      <c r="S290" s="8" t="inlineStr">
        <is>
          <t>Who was in the study hall, taken the way the register is.</t>
        </is>
      </c>
    </row>
    <row r="291">
      <c r="A291" s="8" t="inlineStr">
        <is>
          <t>Hostel Warden</t>
        </is>
      </c>
      <c r="B291" s="8" t="inlineStr">
        <is>
          <t>Hostel</t>
        </is>
      </c>
      <c r="C291" s="8" t="inlineStr">
        <is>
          <t>Hostel</t>
        </is>
      </c>
      <c r="D291" s="8" t="inlineStr">
        <is>
          <t>Visitor log</t>
        </is>
      </c>
      <c r="E291" s="11" t="inlineStr">
        <is>
          <t>Good</t>
        </is>
      </c>
      <c r="F291" s="8" t="inlineStr">
        <is>
          <t>core</t>
        </is>
      </c>
      <c r="G291" s="8" t="inlineStr">
        <is>
          <t>Must-Have</t>
        </is>
      </c>
      <c r="H291" s="8" t="inlineStr">
        <is>
          <t>institution</t>
        </is>
      </c>
      <c r="I291" s="8" t="inlineStr">
        <is>
          <t>hostel_warden.hostel.visitor_log</t>
        </is>
      </c>
      <c r="J291" s="8" t="inlineStr">
        <is>
          <t>web/src/features/operations/HostelVisitors.tsx</t>
        </is>
      </c>
      <c r="K291" s="8" t="inlineStr"/>
      <c r="L291" s="8" t="n">
        <v>2</v>
      </c>
      <c r="M291" s="8" t="inlineStr">
        <is>
          <t>/ops/hostel/visits
/ops/hostel/visits/{}/out</t>
        </is>
      </c>
      <c r="N291" s="8" t="inlineStr">
        <is>
          <t>worker/src/routes/ops/infirmary.ts</t>
        </is>
      </c>
      <c r="O291" s="8" t="n">
        <v>23</v>
      </c>
      <c r="P291" s="8" t="inlineStr">
        <is>
          <t>academic_years
classes
enrollments
health_camp_attendance
health_camps
health_checkups
hostel_allocations
hostel_blocks
hostel_laundry
hostel_outpasses
… +13 more</t>
        </is>
      </c>
      <c r="Q291" s="8" t="inlineStr"/>
      <c r="R291" s="8" t="inlineStr"/>
      <c r="S291" s="8" t="inlineStr">
        <is>
          <t>Who came to see a boarder, when they arrived and when they left.</t>
        </is>
      </c>
    </row>
    <row r="292">
      <c r="A292" s="8" t="inlineStr">
        <is>
          <t>Hostel Warden</t>
        </is>
      </c>
      <c r="B292" s="8" t="inlineStr">
        <is>
          <t>Hostel</t>
        </is>
      </c>
      <c r="C292" s="8" t="inlineStr">
        <is>
          <t>Hostel</t>
        </is>
      </c>
      <c r="D292" s="8" t="inlineStr">
        <is>
          <t>Boarder laundry</t>
        </is>
      </c>
      <c r="E292" s="11" t="inlineStr">
        <is>
          <t>Good</t>
        </is>
      </c>
      <c r="F292" s="8" t="inlineStr">
        <is>
          <t>core</t>
        </is>
      </c>
      <c r="G292" s="8" t="inlineStr">
        <is>
          <t>Must-Have</t>
        </is>
      </c>
      <c r="H292" s="8" t="inlineStr">
        <is>
          <t>institution</t>
        </is>
      </c>
      <c r="I292" s="8" t="inlineStr">
        <is>
          <t>hostel_warden.hostel.boarder_laundry</t>
        </is>
      </c>
      <c r="J292" s="8" t="inlineStr">
        <is>
          <t>web/src/features/operations/HostelLaundry.tsx</t>
        </is>
      </c>
      <c r="K292" s="8" t="inlineStr"/>
      <c r="L292" s="8" t="n">
        <v>2</v>
      </c>
      <c r="M292" s="8" t="inlineStr">
        <is>
          <t>/ops/hostel/laundry
/ops/hostel/laundry/{}/return</t>
        </is>
      </c>
      <c r="N292" s="8" t="inlineStr">
        <is>
          <t>worker/src/routes/ops/infirmary.ts</t>
        </is>
      </c>
      <c r="O292" s="8" t="n">
        <v>23</v>
      </c>
      <c r="P292" s="8" t="inlineStr">
        <is>
          <t>academic_years
classes
enrollments
health_camp_attendance
health_camps
health_checkups
hostel_allocations
hostel_blocks
hostel_laundry
hostel_outpasses
… +13 more</t>
        </is>
      </c>
      <c r="Q292" s="8" t="inlineStr"/>
      <c r="R292" s="8" t="inlineStr"/>
      <c r="S292" s="8" t="inlineStr">
        <is>
          <t>Bundles out and back, so a missing shirt has a record rather than an argument.</t>
        </is>
      </c>
    </row>
    <row r="293">
      <c r="A293" s="8" t="inlineStr">
        <is>
          <t>Hostel Warden</t>
        </is>
      </c>
      <c r="B293" s="8" t="inlineStr">
        <is>
          <t>Communication</t>
        </is>
      </c>
      <c r="C293" s="8" t="inlineStr">
        <is>
          <t>Communication</t>
        </is>
      </c>
      <c r="D293" s="8" t="inlineStr">
        <is>
          <t>Messages</t>
        </is>
      </c>
      <c r="E293" s="11" t="inlineStr">
        <is>
          <t>Good</t>
        </is>
      </c>
      <c r="F293" s="8" t="inlineStr">
        <is>
          <t>core</t>
        </is>
      </c>
      <c r="G293" s="8" t="inlineStr">
        <is>
          <t>Must-Have</t>
        </is>
      </c>
      <c r="H293" s="8" t="inlineStr">
        <is>
          <t>institution</t>
        </is>
      </c>
      <c r="I293" s="8" t="inlineStr">
        <is>
          <t>hostel_warden.communication.messages</t>
        </is>
      </c>
      <c r="J293" s="8" t="inlineStr">
        <is>
          <t>web/src/features/comms/StaffMessages.tsx</t>
        </is>
      </c>
      <c r="K293" s="8" t="inlineStr"/>
      <c r="L293" s="8" t="n">
        <v>12</v>
      </c>
      <c r="M293" s="8" t="inlineStr">
        <is>
          <t>/chat/messages/{}
/chat/parent-thread/read
/chat/staff-thread/read
/files
/files/{}
/portal/messages
/staff-messages
/staff-messages/threads
… +4 more</t>
        </is>
      </c>
      <c r="N293" s="8" t="inlineStr">
        <is>
          <t>worker/src/routes/misc/chat.ts
worker/src/routes/misc/files.ts
worker/src/routes/portal/requests.ts
worker/src/routes/teaching/dashboards.ts</t>
        </is>
      </c>
      <c r="O293" s="8" t="n">
        <v>60</v>
      </c>
      <c r="P293" s="8" t="inlineStr">
        <is>
          <t>academic_years
announcement_acks
announcements
application_documents
applications
certificate_types
class_subjects
classes
departments
designations
… +50 more</t>
        </is>
      </c>
      <c r="Q293" s="8" t="inlineStr">
        <is>
          <t>live.test.ts</t>
        </is>
      </c>
      <c r="R293" s="8" t="inlineStr"/>
      <c r="S293" s="8" t="inlineStr">
        <is>
          <t>One colleague at a time. The staff address book, every teacher and every member of staff, and the thread you have with each of them, for asking a class teacher or the office something rather than sending a notice to the school.</t>
        </is>
      </c>
    </row>
    <row r="294">
      <c r="A294" s="8" t="inlineStr">
        <is>
          <t>Hostel Warden</t>
        </is>
      </c>
      <c r="B294" s="8" t="inlineStr">
        <is>
          <t>My Profile</t>
        </is>
      </c>
      <c r="C294" s="8" t="inlineStr">
        <is>
          <t>My Profile</t>
        </is>
      </c>
      <c r="D294" s="8" t="inlineStr">
        <is>
          <t>My pay</t>
        </is>
      </c>
      <c r="E294" s="10" t="inlineStr">
        <is>
          <t>Check</t>
        </is>
      </c>
      <c r="F294" s="8" t="inlineStr">
        <is>
          <t>core</t>
        </is>
      </c>
      <c r="G294" s="8" t="inlineStr">
        <is>
          <t>Must-Have</t>
        </is>
      </c>
      <c r="H294" s="8" t="inlineStr">
        <is>
          <t>self</t>
        </is>
      </c>
      <c r="I294" s="8" t="inlineStr">
        <is>
          <t>hostel_warden.my_profile.my_pay</t>
        </is>
      </c>
      <c r="J294" s="8" t="inlineStr">
        <is>
          <t>web/src/features/me/MyPay.tsx</t>
        </is>
      </c>
      <c r="K294" s="8" t="inlineStr"/>
      <c r="L294" s="8" t="n">
        <v>1</v>
      </c>
      <c r="M294" s="8" t="inlineStr">
        <is>
          <t>/me/pay</t>
        </is>
      </c>
      <c r="N294" s="8" t="inlineStr">
        <is>
          <t>worker/src/routes/daily.ts</t>
        </is>
      </c>
      <c r="O294" s="8" t="n">
        <v>51</v>
      </c>
      <c r="P294" s="8" t="inlineStr">
        <is>
          <t>absence_followup_section_done
academic_years
applications
attendance_corrections
bell_schedules
board_memberships
campuses
class_subjects
classes
departments
… +41 more</t>
        </is>
      </c>
      <c r="Q294" s="8" t="inlineStr"/>
      <c r="R294" s="8" t="inlineStr">
        <is>
          <t>1 step(s) in its backend files answer "not ported" (see Not ported tab).</t>
        </is>
      </c>
      <c r="S294" s="8" t="inlineStr">
        <is>
          <t>Your own payslips month by month, what was taken off and how much of it was tax, the days you were marked present, and the leave you have left. Only ever your own.</t>
        </is>
      </c>
    </row>
    <row r="295">
      <c r="A295" s="8" t="inlineStr">
        <is>
          <t>Activity / Sports Coordinator</t>
        </is>
      </c>
      <c r="B295" s="8" t="inlineStr">
        <is>
          <t>Home</t>
        </is>
      </c>
      <c r="C295" s="8" t="inlineStr">
        <is>
          <t>Home</t>
        </is>
      </c>
      <c r="D295" s="8" t="inlineStr">
        <is>
          <t>Dashboard</t>
        </is>
      </c>
      <c r="E295" s="11" t="inlineStr">
        <is>
          <t>Good</t>
        </is>
      </c>
      <c r="F295" s="8" t="inlineStr">
        <is>
          <t>core</t>
        </is>
      </c>
      <c r="G295" s="8" t="inlineStr">
        <is>
          <t>Must-Have</t>
        </is>
      </c>
      <c r="H295" s="8" t="inlineStr">
        <is>
          <t>institution</t>
        </is>
      </c>
      <c r="I295" s="8" t="inlineStr">
        <is>
          <t>activity_coord.home.dashboard</t>
        </is>
      </c>
      <c r="J295" s="8" t="inlineStr">
        <is>
          <t>web/src/features/welfare/ActivityDay.tsx</t>
        </is>
      </c>
      <c r="K295" s="8" t="inlineStr">
        <is>
          <t>web/src/features/welfare/ActivityDay.tsx</t>
        </is>
      </c>
      <c r="L295" s="8" t="n">
        <v>5</v>
      </c>
      <c r="M295" s="8" t="inlineStr">
        <is>
          <t>/academics/activities
/comms/achievements
/files/{}
/portal/attendance
/portal/preferences/display</t>
        </is>
      </c>
      <c r="N295" s="8" t="inlineStr">
        <is>
          <t>worker/src/routes/academics.ts
worker/src/routes/comms/showcase.ts
worker/src/routes/misc/files.ts
worker/src/routes/portal/family.ts
worker/src/routes/portal/life.ts</t>
        </is>
      </c>
      <c r="O295" s="8" t="n">
        <v>70</v>
      </c>
      <c r="P295" s="8" t="inlineStr">
        <is>
          <t>academic_years
achievement_media
activities
admission_form_versions
admission_forms
application_documents
applications
branding_profiles
class_subjects
classes
… +60 more</t>
        </is>
      </c>
      <c r="Q295" s="8" t="inlineStr">
        <is>
          <t>access.test.ts
attendance.test.ts
edge.test.ts
student_lms.test.ts</t>
        </is>
      </c>
      <c r="R295" s="8" t="inlineStr"/>
      <c r="S295" s="8" t="inlineStr">
        <is>
          <t>The clubs and teams running, how full each is, and the achievements waiting to be published.</t>
        </is>
      </c>
    </row>
    <row r="296">
      <c r="A296" s="8" t="inlineStr">
        <is>
          <t>Activity / Sports Coordinator</t>
        </is>
      </c>
      <c r="B296" s="8" t="inlineStr">
        <is>
          <t>Activities</t>
        </is>
      </c>
      <c r="C296" s="8" t="inlineStr">
        <is>
          <t>Activities</t>
        </is>
      </c>
      <c r="D296" s="8" t="inlineStr">
        <is>
          <t>Clubs &amp; activities</t>
        </is>
      </c>
      <c r="E296" s="11" t="inlineStr">
        <is>
          <t>Good</t>
        </is>
      </c>
      <c r="F296" s="8" t="inlineStr">
        <is>
          <t>core</t>
        </is>
      </c>
      <c r="G296" s="8" t="inlineStr">
        <is>
          <t>Must-Have</t>
        </is>
      </c>
      <c r="H296" s="8" t="inlineStr">
        <is>
          <t>institution</t>
        </is>
      </c>
      <c r="I296" s="8" t="inlineStr">
        <is>
          <t>activity_coord.activities.clubs_activities</t>
        </is>
      </c>
      <c r="J296" s="8" t="inlineStr">
        <is>
          <t>web/src/features/academics/ActivitiesSetup.tsx</t>
        </is>
      </c>
      <c r="K296" s="8" t="inlineStr"/>
      <c r="L296" s="8" t="n">
        <v>3</v>
      </c>
      <c r="M296" s="8" t="inlineStr">
        <is>
          <t>/academics/activities
/academics/houses
/academics/houses/{}</t>
        </is>
      </c>
      <c r="N296" s="8" t="inlineStr">
        <is>
          <t>worker/src/routes/academics.ts</t>
        </is>
      </c>
      <c r="O296" s="8" t="n">
        <v>18</v>
      </c>
      <c r="P296" s="8" t="inlineStr">
        <is>
          <t>academic_years
activities
class_subjects
classes
co_scholastic_areas
employees
enrollments
houses
lesson_plan_units
lesson_plans
… +8 more</t>
        </is>
      </c>
      <c r="Q296" s="8" t="inlineStr"/>
      <c r="R296" s="8" t="inlineStr"/>
      <c r="S296" s="8" t="inlineStr">
        <is>
          <t>The clubs, coaching and electives the school runs, when each meets, what it costs and who is in it.</t>
        </is>
      </c>
    </row>
    <row r="297">
      <c r="A297" s="8" t="inlineStr">
        <is>
          <t>Activity / Sports Coordinator</t>
        </is>
      </c>
      <c r="B297" s="8" t="inlineStr">
        <is>
          <t>Activities</t>
        </is>
      </c>
      <c r="C297" s="8" t="inlineStr">
        <is>
          <t>Activities</t>
        </is>
      </c>
      <c r="D297" s="8" t="inlineStr">
        <is>
          <t>Achievements showcase</t>
        </is>
      </c>
      <c r="E297" s="11" t="inlineStr">
        <is>
          <t>Good</t>
        </is>
      </c>
      <c r="F297" s="8" t="inlineStr">
        <is>
          <t>core</t>
        </is>
      </c>
      <c r="G297" s="8" t="inlineStr">
        <is>
          <t>Must-Have</t>
        </is>
      </c>
      <c r="H297" s="8" t="inlineStr">
        <is>
          <t>institution</t>
        </is>
      </c>
      <c r="I297" s="8" t="inlineStr">
        <is>
          <t>activity_coord.activities.achievements_showcase</t>
        </is>
      </c>
      <c r="J297" s="8" t="inlineStr">
        <is>
          <t>web/src/features/communication/AchievementsShowcase.tsx</t>
        </is>
      </c>
      <c r="K297" s="8" t="inlineStr"/>
      <c r="L297" s="8" t="n">
        <v>8</v>
      </c>
      <c r="M297" s="8" t="inlineStr">
        <is>
          <t>/comms/achievements
/comms/achievements/{}
/comms/achievements/{}/consent
/comms/achievements/{}/media
/comms/achievements/{}/media/{}
/comms/achievements/{}/publish
/comms/achievements/{}/unpublish
/students</t>
        </is>
      </c>
      <c r="N297" s="8" t="inlineStr">
        <is>
          <t>worker/src/router.ts
worker/src/routes/comms/showcase.ts
worker/src/routes/students.ts</t>
        </is>
      </c>
      <c r="O297" s="8" t="n">
        <v>50</v>
      </c>
      <c r="P297" s="8" t="inlineStr">
        <is>
          <t>academic_years
achievement_media
activities
audit_log
certificate_types
class_subjects
classes
co_scholastic_areas
co_scholastic_grades
discipline_records
… +40 more</t>
        </is>
      </c>
      <c r="Q297" s="8" t="inlineStr">
        <is>
          <t>access.test.ts
auth.test.ts
fees.test.ts
perf.test.ts
student_lms.test.ts
student_login_default.test.ts
… +1 more</t>
        </is>
      </c>
      <c r="R297" s="8" t="inlineStr"/>
      <c r="S297" s="8" t="inlineStr">
        <is>
          <t>Awards and sports results, and the family's consent before a child's name goes in front of the school.</t>
        </is>
      </c>
    </row>
    <row r="298">
      <c r="A298" s="8" t="inlineStr">
        <is>
          <t>Activity / Sports Coordinator</t>
        </is>
      </c>
      <c r="B298" s="8" t="inlineStr">
        <is>
          <t>Activities</t>
        </is>
      </c>
      <c r="C298" s="8" t="inlineStr">
        <is>
          <t>Activities</t>
        </is>
      </c>
      <c r="D298" s="8" t="inlineStr">
        <is>
          <t>Circulars</t>
        </is>
      </c>
      <c r="E298" s="11" t="inlineStr">
        <is>
          <t>Good</t>
        </is>
      </c>
      <c r="F298" s="8" t="inlineStr">
        <is>
          <t>core</t>
        </is>
      </c>
      <c r="G298" s="8" t="inlineStr">
        <is>
          <t>Must-Have</t>
        </is>
      </c>
      <c r="H298" s="8" t="inlineStr">
        <is>
          <t>institution</t>
        </is>
      </c>
      <c r="I298" s="8" t="inlineStr">
        <is>
          <t>activity_coord.activities.circulars</t>
        </is>
      </c>
      <c r="J298" s="8" t="inlineStr">
        <is>
          <t>web/src/features/comms/Circulars.tsx</t>
        </is>
      </c>
      <c r="K298" s="8" t="inlineStr"/>
      <c r="L298" s="8" t="n">
        <v>16</v>
      </c>
      <c r="M298" s="8" t="inlineStr">
        <is>
          <t>/academics/sections
/admin/messaging/estimate
/admin/messaging/health
/ai/briefs/principal
/ai/briefs/student/{}
/ai/draft
/ai/status
/ai/translate
… +8 more</t>
        </is>
      </c>
      <c r="N298" s="8" t="inlineStr">
        <is>
          <t>worker/src/routes/academics.ts
worker/src/routes/ai/briefs.ts
worker/src/routes/ai/drafting.ts
worker/src/routes/comms/delivery.ts
worker/src/routes/comms/sms_gateway.ts
worker/src/routes/misc/files.ts
… +2 more</t>
        </is>
      </c>
      <c r="O298" s="8" t="n">
        <v>76</v>
      </c>
      <c r="P298" s="8" t="inlineStr">
        <is>
          <t>academic_years
activities
announcement_acks
announcement_sections
announcement_students
announcements
application_documents
applications
class_subjects
classes
… +66 more</t>
        </is>
      </c>
      <c r="Q298" s="8" t="inlineStr">
        <is>
          <t>access.test.ts
admissions_crm.test.ts
admissions_rte.test.ts
ai_briefs.test.ts
auth.test.ts
edge.test.ts
… +1 more</t>
        </is>
      </c>
      <c r="R298" s="8" t="inlineStr"/>
      <c r="S298" s="8" t="inlineStr">
        <is>
          <t>A notice to the classes concerned, fixtures, practice times, a trip, with who has read it.</t>
        </is>
      </c>
    </row>
    <row r="299">
      <c r="A299" s="8" t="inlineStr">
        <is>
          <t>Activity / Sports Coordinator</t>
        </is>
      </c>
      <c r="B299" s="8" t="inlineStr">
        <is>
          <t>Communication</t>
        </is>
      </c>
      <c r="C299" s="8" t="inlineStr">
        <is>
          <t>Communication</t>
        </is>
      </c>
      <c r="D299" s="8" t="inlineStr">
        <is>
          <t>Messages</t>
        </is>
      </c>
      <c r="E299" s="11" t="inlineStr">
        <is>
          <t>Good</t>
        </is>
      </c>
      <c r="F299" s="8" t="inlineStr">
        <is>
          <t>core</t>
        </is>
      </c>
      <c r="G299" s="8" t="inlineStr">
        <is>
          <t>Must-Have</t>
        </is>
      </c>
      <c r="H299" s="8" t="inlineStr">
        <is>
          <t>institution</t>
        </is>
      </c>
      <c r="I299" s="8" t="inlineStr">
        <is>
          <t>activity_coord.communication.messages</t>
        </is>
      </c>
      <c r="J299" s="8" t="inlineStr">
        <is>
          <t>web/src/features/comms/StaffMessages.tsx</t>
        </is>
      </c>
      <c r="K299" s="8" t="inlineStr"/>
      <c r="L299" s="8" t="n">
        <v>12</v>
      </c>
      <c r="M299" s="8" t="inlineStr">
        <is>
          <t>/chat/messages/{}
/chat/parent-thread/read
/chat/staff-thread/read
/files
/files/{}
/portal/messages
/staff-messages
/staff-messages/threads
… +4 more</t>
        </is>
      </c>
      <c r="N299" s="8" t="inlineStr">
        <is>
          <t>worker/src/routes/misc/chat.ts
worker/src/routes/misc/files.ts
worker/src/routes/portal/requests.ts
worker/src/routes/teaching/dashboards.ts</t>
        </is>
      </c>
      <c r="O299" s="8" t="n">
        <v>60</v>
      </c>
      <c r="P299" s="8" t="inlineStr">
        <is>
          <t>academic_years
announcement_acks
announcements
application_documents
applications
certificate_types
class_subjects
classes
departments
designations
… +50 more</t>
        </is>
      </c>
      <c r="Q299" s="8" t="inlineStr">
        <is>
          <t>live.test.ts</t>
        </is>
      </c>
      <c r="R299" s="8" t="inlineStr"/>
      <c r="S299" s="8" t="inlineStr">
        <is>
          <t>One colleague at a time. The staff address book, every teacher and every member of staff, and the thread you have with each of them, for asking a class teacher or the office something rather than sending a notice to the school.</t>
        </is>
      </c>
    </row>
    <row r="300">
      <c r="A300" s="8" t="inlineStr">
        <is>
          <t>Activity / Sports Coordinator</t>
        </is>
      </c>
      <c r="B300" s="8" t="inlineStr">
        <is>
          <t>My Profile</t>
        </is>
      </c>
      <c r="C300" s="8" t="inlineStr">
        <is>
          <t>My Profile</t>
        </is>
      </c>
      <c r="D300" s="8" t="inlineStr">
        <is>
          <t>My pay</t>
        </is>
      </c>
      <c r="E300" s="10" t="inlineStr">
        <is>
          <t>Check</t>
        </is>
      </c>
      <c r="F300" s="8" t="inlineStr">
        <is>
          <t>core</t>
        </is>
      </c>
      <c r="G300" s="8" t="inlineStr">
        <is>
          <t>Must-Have</t>
        </is>
      </c>
      <c r="H300" s="8" t="inlineStr">
        <is>
          <t>self</t>
        </is>
      </c>
      <c r="I300" s="8" t="inlineStr">
        <is>
          <t>activity_coord.my_profile.my_pay</t>
        </is>
      </c>
      <c r="J300" s="8" t="inlineStr">
        <is>
          <t>web/src/features/me/MyPay.tsx</t>
        </is>
      </c>
      <c r="K300" s="8" t="inlineStr"/>
      <c r="L300" s="8" t="n">
        <v>1</v>
      </c>
      <c r="M300" s="8" t="inlineStr">
        <is>
          <t>/me/pay</t>
        </is>
      </c>
      <c r="N300" s="8" t="inlineStr">
        <is>
          <t>worker/src/routes/daily.ts</t>
        </is>
      </c>
      <c r="O300" s="8" t="n">
        <v>51</v>
      </c>
      <c r="P300" s="8" t="inlineStr">
        <is>
          <t>absence_followup_section_done
academic_years
applications
attendance_corrections
bell_schedules
board_memberships
campuses
class_subjects
classes
departments
… +41 more</t>
        </is>
      </c>
      <c r="Q300" s="8" t="inlineStr"/>
      <c r="R300" s="8" t="inlineStr">
        <is>
          <t>1 step(s) in its backend files answer "not ported" (see Not ported tab).</t>
        </is>
      </c>
      <c r="S300" s="8" t="inlineStr">
        <is>
          <t>Your own payslips month by month, what was taken off and how much of it was tax, the days you were marked present, and the leave you have left. Only ever your own.</t>
        </is>
      </c>
    </row>
    <row r="301">
      <c r="A301" s="8" t="inlineStr">
        <is>
          <t>Accounts &amp; Finance</t>
        </is>
      </c>
      <c r="B301" s="8" t="inlineStr">
        <is>
          <t>Home</t>
        </is>
      </c>
      <c r="C301" s="8" t="inlineStr">
        <is>
          <t>Home</t>
        </is>
      </c>
      <c r="D301" s="8" t="inlineStr">
        <is>
          <t>Dashboard</t>
        </is>
      </c>
      <c r="E301" s="11" t="inlineStr">
        <is>
          <t>Good</t>
        </is>
      </c>
      <c r="F301" s="8" t="inlineStr">
        <is>
          <t>core</t>
        </is>
      </c>
      <c r="G301" s="8" t="inlineStr">
        <is>
          <t>Must-Have</t>
        </is>
      </c>
      <c r="H301" s="8" t="inlineStr">
        <is>
          <t>institution</t>
        </is>
      </c>
      <c r="I301" s="8" t="inlineStr">
        <is>
          <t>finance.home.dashboard</t>
        </is>
      </c>
      <c r="J301" s="8" t="inlineStr">
        <is>
          <t>web/src/features/finance/Dashboard.tsx</t>
        </is>
      </c>
      <c r="K301" s="8" t="inlineStr">
        <is>
          <t>web/src/features/bento/FinanceDashboard.tsx</t>
        </is>
      </c>
      <c r="L301" s="8" t="n">
        <v>6</v>
      </c>
      <c r="M301" s="8" t="inlineStr">
        <is>
          <t>/date-ranges
/finance/dashboard
/finance/invoices
/metrics
/metrics/{}
/portal/preferences/display</t>
        </is>
      </c>
      <c r="N301" s="8" t="inlineStr">
        <is>
          <t>worker/src/routes/admin/metrics.ts
worker/src/routes/fees/backoffice.ts
worker/src/routes/misc/shell.ts
worker/src/routes/portal/life.ts</t>
        </is>
      </c>
      <c r="O301" s="8" t="n">
        <v>56</v>
      </c>
      <c r="P301" s="8" t="inlineStr">
        <is>
          <t>academic_years
applications
class_subjects
classes
club_events
discipline_records
employees
enquiries
enrollments
exam_subjects
… +46 more</t>
        </is>
      </c>
      <c r="Q301" s="8" t="inlineStr">
        <is>
          <t>access.test.ts
edge.test.ts
fees.test.ts</t>
        </is>
      </c>
      <c r="R301" s="8" t="inlineStr"/>
      <c r="S301" s="8" t="inlineStr">
        <is>
          <t>Collected today, collected this month, what is still outstanding, and the handful of things that need somebody this morning.</t>
        </is>
      </c>
    </row>
    <row r="302">
      <c r="A302" s="8" t="inlineStr">
        <is>
          <t>Accounts &amp; Finance</t>
        </is>
      </c>
      <c r="B302" s="8" t="inlineStr">
        <is>
          <t>Fees</t>
        </is>
      </c>
      <c r="C302" s="8" t="inlineStr">
        <is>
          <t>Fees</t>
        </is>
      </c>
      <c r="D302" s="8" t="inlineStr">
        <is>
          <t>Take fee payment</t>
        </is>
      </c>
      <c r="E302" s="11" t="inlineStr">
        <is>
          <t>Good</t>
        </is>
      </c>
      <c r="F302" s="8" t="inlineStr">
        <is>
          <t>core</t>
        </is>
      </c>
      <c r="G302" s="8" t="inlineStr">
        <is>
          <t>Must-Have</t>
        </is>
      </c>
      <c r="H302" s="8" t="inlineStr">
        <is>
          <t>institution</t>
        </is>
      </c>
      <c r="I302" s="8" t="inlineStr">
        <is>
          <t>finance.fees.take_fee_payment</t>
        </is>
      </c>
      <c r="J302" s="8" t="inlineStr">
        <is>
          <t>web/src/features/finance/FeeCounter.tsx</t>
        </is>
      </c>
      <c r="K302" s="8" t="inlineStr"/>
      <c r="L302" s="8" t="n">
        <v>14</v>
      </c>
      <c r="M302" s="8" t="inlineStr">
        <is>
          <t>/fees/invoices/{}/penalty
/fees/payments
/fees/receipts/{}
/fees/students/{}/ledger
/fees/upi-code
/files/{}
/setup/import/history
/setup/import/history/{}/content
… +6 more</t>
        </is>
      </c>
      <c r="N302" s="8" t="inlineStr">
        <is>
          <t>worker/src/router.ts
worker/src/routes/fees/counter.ts
worker/src/routes/fees/invoicing.ts
worker/src/routes/misc/files.ts
worker/src/routes/setup/imports.ts
worker/src/routes/setup/staff.ts
… +1 more</t>
        </is>
      </c>
      <c r="O302" s="8" t="n">
        <v>82</v>
      </c>
      <c r="P302" s="8" t="inlineStr">
        <is>
          <t>academic_years
activities
application_documents
audit_log
bell_schedules
biometric_devices
biometric_punches
certificate_types
class_subjects
classes
… +72 more</t>
        </is>
      </c>
      <c r="Q302" s="8" t="inlineStr">
        <is>
          <t>access.test.ts
auth.test.ts
fee_run.test.ts
fees.test.ts
lms_modules.test.ts
lms_nesting.test.ts
… +7 more</t>
        </is>
      </c>
      <c r="R302" s="8" t="inlineStr"/>
      <c r="S302" s="8" t="inlineStr">
        <is>
          <t>The counter. Find the student, take cash, card or cheque against what they owe, and print the receipt before they leave the window. Part payments and advances are the same screen.</t>
        </is>
      </c>
    </row>
    <row r="303">
      <c r="A303" s="8" t="inlineStr">
        <is>
          <t>Accounts &amp; Finance</t>
        </is>
      </c>
      <c r="B303" s="8" t="inlineStr">
        <is>
          <t>Fees</t>
        </is>
      </c>
      <c r="C303" s="8" t="inlineStr">
        <is>
          <t>Fees</t>
        </is>
      </c>
      <c r="D303" s="8" t="inlineStr">
        <is>
          <t>Student wallets</t>
        </is>
      </c>
      <c r="E303" s="11" t="inlineStr">
        <is>
          <t>Good</t>
        </is>
      </c>
      <c r="F303" s="8" t="inlineStr">
        <is>
          <t>core</t>
        </is>
      </c>
      <c r="G303" s="8" t="inlineStr">
        <is>
          <t>Must-Have</t>
        </is>
      </c>
      <c r="H303" s="8" t="inlineStr">
        <is>
          <t>institution</t>
        </is>
      </c>
      <c r="I303" s="8" t="inlineStr">
        <is>
          <t>finance.fees.student_wallets</t>
        </is>
      </c>
      <c r="J303" s="8" t="inlineStr">
        <is>
          <t>web/src/features/finance/StudentWallets.tsx</t>
        </is>
      </c>
      <c r="K303" s="8" t="inlineStr"/>
      <c r="L303" s="8" t="n">
        <v>4</v>
      </c>
      <c r="M303" s="8" t="inlineStr">
        <is>
          <t>/fees/students/{}/wallet
/fees/wallet/adjustments
/fees/wallet/topups
/students</t>
        </is>
      </c>
      <c r="N303" s="8" t="inlineStr">
        <is>
          <t>worker/src/router.ts
worker/src/routes/fees/counter.ts
worker/src/routes/students.ts</t>
        </is>
      </c>
      <c r="O303" s="8" t="n">
        <v>54</v>
      </c>
      <c r="P303" s="8" t="inlineStr">
        <is>
          <t>academic_years
activities
audit_log
certificate_types
class_subjects
classes
co_scholastic_areas
co_scholastic_grades
discipline_records
employees
… +44 more</t>
        </is>
      </c>
      <c r="Q303" s="8" t="inlineStr">
        <is>
          <t>access.test.ts
auth.test.ts
fees.test.ts
perf.test.ts
student_lms.test.ts
student_login_default.test.ts
… +1 more</t>
        </is>
      </c>
      <c r="R303" s="8" t="inlineStr"/>
      <c r="S303" s="8" t="inlineStr">
        <is>
          <t>Digital money. A prepaid balance the school holds for each child: record a top-up the family has paid in (cash, UPI, transfer), correct a balance with a reason, and read the full ledger of what went in and what was spent.</t>
        </is>
      </c>
    </row>
    <row r="304">
      <c r="A304" s="8" t="inlineStr">
        <is>
          <t>Accounts &amp; Finance</t>
        </is>
      </c>
      <c r="B304" s="8" t="inlineStr">
        <is>
          <t>Fees</t>
        </is>
      </c>
      <c r="C304" s="8" t="inlineStr">
        <is>
          <t>Fees</t>
        </is>
      </c>
      <c r="D304" s="8" t="inlineStr">
        <is>
          <t>Online fee portal</t>
        </is>
      </c>
      <c r="E304" s="10" t="inlineStr">
        <is>
          <t>Check</t>
        </is>
      </c>
      <c r="F304" s="8" t="inlineStr">
        <is>
          <t>core</t>
        </is>
      </c>
      <c r="G304" s="8" t="inlineStr">
        <is>
          <t>Must-Have</t>
        </is>
      </c>
      <c r="H304" s="8" t="inlineStr">
        <is>
          <t>institution</t>
        </is>
      </c>
      <c r="I304" s="8" t="inlineStr">
        <is>
          <t>finance.fees.online_fee_portal</t>
        </is>
      </c>
      <c r="J304" s="8" t="inlineStr">
        <is>
          <t>web/src/features/finance/Payments.tsx</t>
        </is>
      </c>
      <c r="K304" s="8" t="inlineStr"/>
      <c r="L304" s="8" t="n">
        <v>4</v>
      </c>
      <c r="M304" s="8" t="inlineStr">
        <is>
          <t>/attendance/nudge
/attention
/fees/payments/{}/{}
/finance/payments</t>
        </is>
      </c>
      <c r="N304" s="8" t="inlineStr">
        <is>
          <t>worker/src/index.ts
worker/src/routes/admin/loose.ts
worker/src/routes/daily.ts
worker/src/routes/fees/backoffice.ts</t>
        </is>
      </c>
      <c r="O304" s="8" t="n">
        <v>63</v>
      </c>
      <c r="P304" s="8" t="inlineStr">
        <is>
          <t>absence_followup_section_done
academic_years
api_keys
applications
attendance_corrections
bell_schedules
board_memberships
campuses
class_subjects
classes
… +53 more</t>
        </is>
      </c>
      <c r="Q304" s="8" t="inlineStr">
        <is>
          <t>access.test.ts
edge.test.ts
fees.test.ts</t>
        </is>
      </c>
      <c r="R304" s="8" t="inlineStr">
        <is>
          <t>2 step(s) in its backend files answer "not ported" (see Not ported tab).</t>
        </is>
      </c>
      <c r="S304" s="8" t="inlineStr">
        <is>
          <t>Fees paid from home through the parent app, as they arrive: what succeeded, what failed and what the gateway is still holding, so a parent who says they paid can be answered.</t>
        </is>
      </c>
    </row>
    <row r="305">
      <c r="A305" s="8" t="inlineStr">
        <is>
          <t>Accounts &amp; Finance</t>
        </is>
      </c>
      <c r="B305" s="8" t="inlineStr">
        <is>
          <t>Fees</t>
        </is>
      </c>
      <c r="C305" s="8" t="inlineStr">
        <is>
          <t>Fees</t>
        </is>
      </c>
      <c r="D305" s="8" t="inlineStr">
        <is>
          <t>Unpaid fees &amp; reminders</t>
        </is>
      </c>
      <c r="E305" s="10" t="inlineStr">
        <is>
          <t>Check</t>
        </is>
      </c>
      <c r="F305" s="8" t="inlineStr">
        <is>
          <t>core</t>
        </is>
      </c>
      <c r="G305" s="8" t="inlineStr">
        <is>
          <t>Must-Have</t>
        </is>
      </c>
      <c r="H305" s="8" t="inlineStr">
        <is>
          <t>institution</t>
        </is>
      </c>
      <c r="I305" s="8" t="inlineStr">
        <is>
          <t>finance.fees.unpaid_fees_reminders</t>
        </is>
      </c>
      <c r="J305" s="8" t="inlineStr">
        <is>
          <t>web/src/features/finance/bundles.tsx</t>
        </is>
      </c>
      <c r="K305" s="8" t="inlineStr"/>
      <c r="L305" s="8" t="n">
        <v>0</v>
      </c>
      <c r="M305" s="8" t="inlineStr"/>
      <c r="N305" s="8" t="inlineStr"/>
      <c r="O305" s="8" t="n">
        <v>0</v>
      </c>
      <c r="P305" s="8" t="inlineStr"/>
      <c r="Q305" s="8" t="inlineStr"/>
      <c r="R305" s="8" t="inlineStr">
        <is>
          <t>Screen found; its data calls are made in shared parts this scan did not follow. Open it to confirm.</t>
        </is>
      </c>
      <c r="S305" s="8" t="inlineStr">
        <is>
          <t>Who has not paid and how late they are, with the late fine applied by rule rather than by argument, and a reminder sent by WhatsApp, SMS or email. Post-dated and bounced cheques sit here too.</t>
        </is>
      </c>
    </row>
    <row r="306">
      <c r="A306" s="8" t="inlineStr">
        <is>
          <t>Accounts &amp; Finance</t>
        </is>
      </c>
      <c r="B306" s="8" t="inlineStr">
        <is>
          <t>Fees</t>
        </is>
      </c>
      <c r="C306" s="8" t="inlineStr">
        <is>
          <t>Fees</t>
        </is>
      </c>
      <c r="D306" s="8" t="inlineStr">
        <is>
          <t>Class &amp; transport fee setup</t>
        </is>
      </c>
      <c r="E306" s="10" t="inlineStr">
        <is>
          <t>Check</t>
        </is>
      </c>
      <c r="F306" s="8" t="inlineStr">
        <is>
          <t>core</t>
        </is>
      </c>
      <c r="G306" s="8" t="inlineStr">
        <is>
          <t>Must-Have</t>
        </is>
      </c>
      <c r="H306" s="8" t="inlineStr">
        <is>
          <t>institution</t>
        </is>
      </c>
      <c r="I306" s="8" t="inlineStr">
        <is>
          <t>finance.fees.class_transport_fee_setup</t>
        </is>
      </c>
      <c r="J306" s="8" t="inlineStr">
        <is>
          <t>web/src/features/finance/bundles.tsx</t>
        </is>
      </c>
      <c r="K306" s="8" t="inlineStr"/>
      <c r="L306" s="8" t="n">
        <v>0</v>
      </c>
      <c r="M306" s="8" t="inlineStr"/>
      <c r="N306" s="8" t="inlineStr"/>
      <c r="O306" s="8" t="n">
        <v>0</v>
      </c>
      <c r="P306" s="8" t="inlineStr"/>
      <c r="Q306" s="8" t="inlineStr"/>
      <c r="R306" s="8" t="inlineStr">
        <is>
          <t>Screen found; its data calls are made in shared parts this scan did not follow. Open it to confirm.</t>
        </is>
      </c>
      <c r="S306" s="8" t="inlineStr">
        <is>
          <t>What each class is charged for the year, tuition, lab, transport by distance, with concessions and refunds, the receipt series, and the one action that turns the structure into every parent's invoice.</t>
        </is>
      </c>
    </row>
    <row r="307">
      <c r="A307" s="8" t="inlineStr">
        <is>
          <t>Accounts &amp; Finance</t>
        </is>
      </c>
      <c r="B307" s="8" t="inlineStr">
        <is>
          <t>Campus Money</t>
        </is>
      </c>
      <c r="C307" s="8" t="inlineStr">
        <is>
          <t>Campus Money</t>
        </is>
      </c>
      <c r="D307" s="8" t="inlineStr">
        <is>
          <t>Cafeteria &amp; store sales</t>
        </is>
      </c>
      <c r="E307" s="10" t="inlineStr">
        <is>
          <t>Check</t>
        </is>
      </c>
      <c r="F307" s="8" t="inlineStr">
        <is>
          <t>core</t>
        </is>
      </c>
      <c r="G307" s="8" t="inlineStr">
        <is>
          <t>Must-Have</t>
        </is>
      </c>
      <c r="H307" s="8" t="inlineStr">
        <is>
          <t>institution</t>
        </is>
      </c>
      <c r="I307" s="8" t="inlineStr">
        <is>
          <t>finance.campus_money.cafeteria_store_sales</t>
        </is>
      </c>
      <c r="J307" s="8" t="inlineStr">
        <is>
          <t>web/src/features/finance/bundles.tsx</t>
        </is>
      </c>
      <c r="K307" s="8" t="inlineStr"/>
      <c r="L307" s="8" t="n">
        <v>0</v>
      </c>
      <c r="M307" s="8" t="inlineStr"/>
      <c r="N307" s="8" t="inlineStr"/>
      <c r="O307" s="8" t="n">
        <v>0</v>
      </c>
      <c r="P307" s="8" t="inlineStr"/>
      <c r="Q307" s="8" t="inlineStr"/>
      <c r="R307" s="8" t="inlineStr">
        <is>
          <t>Screen found; its data calls are made in shared parts this scan did not follow. Open it to confirm.</t>
        </is>
      </c>
      <c r="S307" s="8" t="inlineStr">
        <is>
          <t>A till for the canteen and one for the store: record what a student bought for lunch, a book or a uniform, and close the drawer at the end of the day against what it should hold.</t>
        </is>
      </c>
    </row>
    <row r="308">
      <c r="A308" s="8" t="inlineStr">
        <is>
          <t>Accounts &amp; Finance</t>
        </is>
      </c>
      <c r="B308" s="8" t="inlineStr">
        <is>
          <t>Campus Money</t>
        </is>
      </c>
      <c r="C308" s="8" t="inlineStr">
        <is>
          <t>Campus Money</t>
        </is>
      </c>
      <c r="D308" s="8" t="inlineStr">
        <is>
          <t>Donations &amp; aid</t>
        </is>
      </c>
      <c r="E308" s="10" t="inlineStr">
        <is>
          <t>Check</t>
        </is>
      </c>
      <c r="F308" s="8" t="inlineStr">
        <is>
          <t>core</t>
        </is>
      </c>
      <c r="G308" s="8" t="inlineStr">
        <is>
          <t>Must-Have</t>
        </is>
      </c>
      <c r="H308" s="8" t="inlineStr">
        <is>
          <t>institution</t>
        </is>
      </c>
      <c r="I308" s="8" t="inlineStr">
        <is>
          <t>finance.campus_money.donations_aid</t>
        </is>
      </c>
      <c r="J308" s="8" t="inlineStr">
        <is>
          <t>web/src/features/finance/bundles.tsx</t>
        </is>
      </c>
      <c r="K308" s="8" t="inlineStr"/>
      <c r="L308" s="8" t="n">
        <v>0</v>
      </c>
      <c r="M308" s="8" t="inlineStr"/>
      <c r="N308" s="8" t="inlineStr"/>
      <c r="O308" s="8" t="n">
        <v>0</v>
      </c>
      <c r="P308" s="8" t="inlineStr"/>
      <c r="Q308" s="8" t="inlineStr"/>
      <c r="R308" s="8" t="inlineStr">
        <is>
          <t>Screen found; its data calls are made in shared parts this scan did not follow. Open it to confirm.</t>
        </is>
      </c>
      <c r="S308" s="8" t="inlineStr">
        <is>
          <t>Money that comes from outside the school, grant-in-aid, government scholarships, alumni giving, education loans, tracked apart from tuition so it can be accounted for to whoever gave it.</t>
        </is>
      </c>
    </row>
    <row r="309">
      <c r="A309" s="8" t="inlineStr">
        <is>
          <t>Accounts &amp; Finance</t>
        </is>
      </c>
      <c r="B309" s="8" t="inlineStr">
        <is>
          <t>Campus Money</t>
        </is>
      </c>
      <c r="C309" s="8" t="inlineStr">
        <is>
          <t>Campus Money</t>
        </is>
      </c>
      <c r="D309" s="8" t="inlineStr">
        <is>
          <t>Store catalogue</t>
        </is>
      </c>
      <c r="E309" s="11" t="inlineStr">
        <is>
          <t>Good</t>
        </is>
      </c>
      <c r="F309" s="8" t="inlineStr">
        <is>
          <t>core</t>
        </is>
      </c>
      <c r="G309" s="8" t="inlineStr">
        <is>
          <t>Should-Have</t>
        </is>
      </c>
      <c r="H309" s="8" t="inlineStr">
        <is>
          <t>institution</t>
        </is>
      </c>
      <c r="I309" s="8" t="inlineStr">
        <is>
          <t>finance.campus_money.store_catalogue</t>
        </is>
      </c>
      <c r="J309" s="8" t="inlineStr">
        <is>
          <t>web/src/features/finance/StoreCatalogue.tsx</t>
        </is>
      </c>
      <c r="K309" s="8" t="inlineStr"/>
      <c r="L309" s="8" t="n">
        <v>3</v>
      </c>
      <c r="M309" s="8" t="inlineStr">
        <is>
          <t>/finance/collections
/finance/ledgers
/store/catalogue</t>
        </is>
      </c>
      <c r="N309" s="8" t="inlineStr">
        <is>
          <t>worker/src/routes/fees/collections.ts
worker/src/routes/fees/ledgers.ts
worker/src/routes/misc/shell.ts</t>
        </is>
      </c>
      <c r="O309" s="8" t="n">
        <v>57</v>
      </c>
      <c r="P309" s="8" t="inlineStr">
        <is>
          <t>academic_years
accounting_years
bank_accounts
budget_lines
budgets
cafeteria_purchase_items
cafeteria_purchases
class_subjects
classes
collections_settings
… +47 more</t>
        </is>
      </c>
      <c r="Q309" s="8" t="inlineStr"/>
      <c r="R309" s="8" t="inlineStr"/>
      <c r="S309" s="8" t="inlineStr">
        <is>
          <t>The store's price list as families see it, every active product, its price and stock, so the counter and a parent are looking at the same shelf.</t>
        </is>
      </c>
    </row>
    <row r="310">
      <c r="A310" s="8" t="inlineStr">
        <is>
          <t>Accounts &amp; Finance</t>
        </is>
      </c>
      <c r="B310" s="8" t="inlineStr">
        <is>
          <t>Accounts</t>
        </is>
      </c>
      <c r="C310" s="8" t="inlineStr">
        <is>
          <t>Accounts</t>
        </is>
      </c>
      <c r="D310" s="8" t="inlineStr">
        <is>
          <t>Approve &amp; pay salaries</t>
        </is>
      </c>
      <c r="E310" s="10" t="inlineStr">
        <is>
          <t>Check</t>
        </is>
      </c>
      <c r="F310" s="8" t="inlineStr">
        <is>
          <t>core</t>
        </is>
      </c>
      <c r="G310" s="8" t="inlineStr">
        <is>
          <t>Must-Have</t>
        </is>
      </c>
      <c r="H310" s="8" t="inlineStr">
        <is>
          <t>institution</t>
        </is>
      </c>
      <c r="I310" s="8" t="inlineStr">
        <is>
          <t>finance.accounts.approve_pay_salaries</t>
        </is>
      </c>
      <c r="J310" s="8" t="inlineStr">
        <is>
          <t>web/src/features/finance/bundles.tsx</t>
        </is>
      </c>
      <c r="K310" s="8" t="inlineStr"/>
      <c r="L310" s="8" t="n">
        <v>0</v>
      </c>
      <c r="M310" s="8" t="inlineStr"/>
      <c r="N310" s="8" t="inlineStr"/>
      <c r="O310" s="8" t="n">
        <v>0</v>
      </c>
      <c r="P310" s="8" t="inlineStr"/>
      <c r="Q310" s="8" t="inlineStr"/>
      <c r="R310" s="8" t="inlineStr">
        <is>
          <t>Screen found; its data calls are made in shared parts this scan did not follow. Open it to confirm.</t>
        </is>
      </c>
      <c r="S310" s="8" t="inlineStr">
        <is>
          <t>What HR calculated for the month, read before the money moves, and then the bank file that releases it. Finance approves and pays; HR decides the numbers.</t>
        </is>
      </c>
    </row>
    <row r="311">
      <c r="A311" s="8" t="inlineStr">
        <is>
          <t>Accounts &amp; Finance</t>
        </is>
      </c>
      <c r="B311" s="8" t="inlineStr">
        <is>
          <t>Accounts</t>
        </is>
      </c>
      <c r="C311" s="8" t="inlineStr">
        <is>
          <t>Accounts</t>
        </is>
      </c>
      <c r="D311" s="8" t="inlineStr">
        <is>
          <t>Vendor bills &amp; petty cash</t>
        </is>
      </c>
      <c r="E311" s="10" t="inlineStr">
        <is>
          <t>Check</t>
        </is>
      </c>
      <c r="F311" s="8" t="inlineStr">
        <is>
          <t>core</t>
        </is>
      </c>
      <c r="G311" s="8" t="inlineStr">
        <is>
          <t>Must-Have</t>
        </is>
      </c>
      <c r="H311" s="8" t="inlineStr">
        <is>
          <t>institution</t>
        </is>
      </c>
      <c r="I311" s="8" t="inlineStr">
        <is>
          <t>finance.accounts.vendor_bills_petty_cash</t>
        </is>
      </c>
      <c r="J311" s="8" t="inlineStr">
        <is>
          <t>web/src/features/finance/bundles.tsx</t>
        </is>
      </c>
      <c r="K311" s="8" t="inlineStr"/>
      <c r="L311" s="8" t="n">
        <v>0</v>
      </c>
      <c r="M311" s="8" t="inlineStr"/>
      <c r="N311" s="8" t="inlineStr"/>
      <c r="O311" s="8" t="n">
        <v>0</v>
      </c>
      <c r="P311" s="8" t="inlineStr"/>
      <c r="Q311" s="8" t="inlineStr"/>
      <c r="R311" s="8" t="inlineStr">
        <is>
          <t>Screen found; its data calls are made in shared parts this scan did not follow. Open it to confirm.</t>
        </is>
      </c>
      <c r="S311" s="8" t="inlineStr">
        <is>
          <t>Money leaving the school: supplier invoices for electricity and construction at one end, the tea and the minor repair at the other, and every expense in between.</t>
        </is>
      </c>
    </row>
    <row r="312">
      <c r="A312" s="8" t="inlineStr">
        <is>
          <t>Accounts &amp; Finance</t>
        </is>
      </c>
      <c r="B312" s="8" t="inlineStr">
        <is>
          <t>Accounts</t>
        </is>
      </c>
      <c r="C312" s="8" t="inlineStr">
        <is>
          <t>Accounts</t>
        </is>
      </c>
      <c r="D312" s="8" t="inlineStr">
        <is>
          <t>School property &amp; budgeting</t>
        </is>
      </c>
      <c r="E312" s="10" t="inlineStr">
        <is>
          <t>Check</t>
        </is>
      </c>
      <c r="F312" s="8" t="inlineStr">
        <is>
          <t>core</t>
        </is>
      </c>
      <c r="G312" s="8" t="inlineStr">
        <is>
          <t>Must-Have</t>
        </is>
      </c>
      <c r="H312" s="8" t="inlineStr">
        <is>
          <t>institution</t>
        </is>
      </c>
      <c r="I312" s="8" t="inlineStr">
        <is>
          <t>finance.accounts.school_property_budgeting</t>
        </is>
      </c>
      <c r="J312" s="8" t="inlineStr">
        <is>
          <t>web/src/features/finance/bundles.tsx</t>
        </is>
      </c>
      <c r="K312" s="8" t="inlineStr"/>
      <c r="L312" s="8" t="n">
        <v>0</v>
      </c>
      <c r="M312" s="8" t="inlineStr"/>
      <c r="N312" s="8" t="inlineStr"/>
      <c r="O312" s="8" t="n">
        <v>0</v>
      </c>
      <c r="P312" s="8" t="inlineStr"/>
      <c r="Q312" s="8" t="inlineStr"/>
      <c r="R312" s="8" t="inlineStr">
        <is>
          <t>Screen found; its data calls are made in shared parts this scan did not follow. Open it to confirm.</t>
        </is>
      </c>
      <c r="S312" s="8" t="inlineStr">
        <is>
          <t>Next year's spending limits against this year's actuals, and the register of what the school owns, buses, computers, desks, with what each is worth after depreciation.</t>
        </is>
      </c>
    </row>
    <row r="313">
      <c r="A313" s="8" t="inlineStr">
        <is>
          <t>Accounts &amp; Finance</t>
        </is>
      </c>
      <c r="B313" s="8" t="inlineStr">
        <is>
          <t>Banking &amp; Reports</t>
        </is>
      </c>
      <c r="C313" s="8" t="inlineStr">
        <is>
          <t>Banking &amp; Reports</t>
        </is>
      </c>
      <c r="D313" s="8" t="inlineStr">
        <is>
          <t>Match bank records</t>
        </is>
      </c>
      <c r="E313" s="10" t="inlineStr">
        <is>
          <t>Check</t>
        </is>
      </c>
      <c r="F313" s="8" t="inlineStr">
        <is>
          <t>core</t>
        </is>
      </c>
      <c r="G313" s="8" t="inlineStr">
        <is>
          <t>Must-Have</t>
        </is>
      </c>
      <c r="H313" s="8" t="inlineStr">
        <is>
          <t>institution</t>
        </is>
      </c>
      <c r="I313" s="8" t="inlineStr">
        <is>
          <t>finance.banking_reports.match_bank_records</t>
        </is>
      </c>
      <c r="J313" s="8" t="inlineStr">
        <is>
          <t>web/src/features/finance/bundles.tsx</t>
        </is>
      </c>
      <c r="K313" s="8" t="inlineStr"/>
      <c r="L313" s="8" t="n">
        <v>0</v>
      </c>
      <c r="M313" s="8" t="inlineStr"/>
      <c r="N313" s="8" t="inlineStr"/>
      <c r="O313" s="8" t="n">
        <v>0</v>
      </c>
      <c r="P313" s="8" t="inlineStr"/>
      <c r="Q313" s="8" t="inlineStr"/>
      <c r="R313" s="8" t="inlineStr">
        <is>
          <t>Screen found; its data calls are made in shared parts this scan did not follow. Open it to confirm.</t>
        </is>
      </c>
      <c r="S313" s="8" t="inlineStr">
        <is>
          <t>The bank statement against what the software recorded, cash and online together, so the month closes on one number rather than two. Student bank accounts for refunds and scholarships sit alongside.</t>
        </is>
      </c>
    </row>
    <row r="314">
      <c r="A314" s="8" t="inlineStr">
        <is>
          <t>Accounts &amp; Finance</t>
        </is>
      </c>
      <c r="B314" s="8" t="inlineStr">
        <is>
          <t>Banking &amp; Reports</t>
        </is>
      </c>
      <c r="C314" s="8" t="inlineStr">
        <is>
          <t>Banking &amp; Reports</t>
        </is>
      </c>
      <c r="D314" s="8" t="inlineStr">
        <is>
          <t>Accounting &amp; tax reports</t>
        </is>
      </c>
      <c r="E314" s="10" t="inlineStr">
        <is>
          <t>Check</t>
        </is>
      </c>
      <c r="F314" s="8" t="inlineStr">
        <is>
          <t>core</t>
        </is>
      </c>
      <c r="G314" s="8" t="inlineStr">
        <is>
          <t>Must-Have</t>
        </is>
      </c>
      <c r="H314" s="8" t="inlineStr">
        <is>
          <t>institution</t>
        </is>
      </c>
      <c r="I314" s="8" t="inlineStr">
        <is>
          <t>finance.banking_reports.accounting_tax_reports</t>
        </is>
      </c>
      <c r="J314" s="8" t="inlineStr">
        <is>
          <t>web/src/features/finance/bundles.tsx</t>
        </is>
      </c>
      <c r="K314" s="8" t="inlineStr"/>
      <c r="L314" s="8" t="n">
        <v>0</v>
      </c>
      <c r="M314" s="8" t="inlineStr"/>
      <c r="N314" s="8" t="inlineStr"/>
      <c r="O314" s="8" t="n">
        <v>0</v>
      </c>
      <c r="P314" s="8" t="inlineStr"/>
      <c r="Q314" s="8" t="inlineStr"/>
      <c r="R314" s="8" t="inlineStr">
        <is>
          <t>Screen found; its data calls are made in shared parts this scan did not follow. Open it to confirm.</t>
        </is>
      </c>
      <c r="S314" s="8" t="inlineStr">
        <is>
          <t>The daybook and cashbook, the ledger and trial balance, the chart of accounts, the year-end close, and the tax and audit statements, with a one-click export for the school's accountant.</t>
        </is>
      </c>
    </row>
    <row r="315">
      <c r="A315" s="8" t="inlineStr">
        <is>
          <t>Accounts &amp; Finance</t>
        </is>
      </c>
      <c r="B315" s="8" t="inlineStr">
        <is>
          <t>Communication</t>
        </is>
      </c>
      <c r="C315" s="8" t="inlineStr">
        <is>
          <t>Communication</t>
        </is>
      </c>
      <c r="D315" s="8" t="inlineStr">
        <is>
          <t>Messages</t>
        </is>
      </c>
      <c r="E315" s="11" t="inlineStr">
        <is>
          <t>Good</t>
        </is>
      </c>
      <c r="F315" s="8" t="inlineStr">
        <is>
          <t>core</t>
        </is>
      </c>
      <c r="G315" s="8" t="inlineStr">
        <is>
          <t>Must-Have</t>
        </is>
      </c>
      <c r="H315" s="8" t="inlineStr">
        <is>
          <t>institution</t>
        </is>
      </c>
      <c r="I315" s="8" t="inlineStr">
        <is>
          <t>finance.communication.messages</t>
        </is>
      </c>
      <c r="J315" s="8" t="inlineStr">
        <is>
          <t>web/src/features/comms/StaffMessages.tsx</t>
        </is>
      </c>
      <c r="K315" s="8" t="inlineStr"/>
      <c r="L315" s="8" t="n">
        <v>12</v>
      </c>
      <c r="M315" s="8" t="inlineStr">
        <is>
          <t>/chat/messages/{}
/chat/parent-thread/read
/chat/staff-thread/read
/files
/files/{}
/portal/messages
/staff-messages
/staff-messages/threads
… +4 more</t>
        </is>
      </c>
      <c r="N315" s="8" t="inlineStr">
        <is>
          <t>worker/src/routes/misc/chat.ts
worker/src/routes/misc/files.ts
worker/src/routes/portal/requests.ts
worker/src/routes/teaching/dashboards.ts</t>
        </is>
      </c>
      <c r="O315" s="8" t="n">
        <v>60</v>
      </c>
      <c r="P315" s="8" t="inlineStr">
        <is>
          <t>academic_years
announcement_acks
announcements
application_documents
applications
certificate_types
class_subjects
classes
departments
designations
… +50 more</t>
        </is>
      </c>
      <c r="Q315" s="8" t="inlineStr">
        <is>
          <t>live.test.ts</t>
        </is>
      </c>
      <c r="R315" s="8" t="inlineStr"/>
      <c r="S315" s="8" t="inlineStr">
        <is>
          <t>One colleague at a time. The staff address book, every teacher and every member of staff, and the thread you have with each of them, for asking a class teacher or the office something rather than sending a notice to the school.</t>
        </is>
      </c>
    </row>
    <row r="316">
      <c r="A316" s="8" t="inlineStr">
        <is>
          <t>Accounts &amp; Finance</t>
        </is>
      </c>
      <c r="B316" s="8" t="inlineStr">
        <is>
          <t>My Profile</t>
        </is>
      </c>
      <c r="C316" s="8" t="inlineStr">
        <is>
          <t>My Profile</t>
        </is>
      </c>
      <c r="D316" s="8" t="inlineStr">
        <is>
          <t>My pay</t>
        </is>
      </c>
      <c r="E316" s="10" t="inlineStr">
        <is>
          <t>Check</t>
        </is>
      </c>
      <c r="F316" s="8" t="inlineStr">
        <is>
          <t>core</t>
        </is>
      </c>
      <c r="G316" s="8" t="inlineStr">
        <is>
          <t>Must-Have</t>
        </is>
      </c>
      <c r="H316" s="8" t="inlineStr">
        <is>
          <t>self</t>
        </is>
      </c>
      <c r="I316" s="8" t="inlineStr">
        <is>
          <t>finance.my_profile.my_pay</t>
        </is>
      </c>
      <c r="J316" s="8" t="inlineStr">
        <is>
          <t>web/src/features/me/MyPay.tsx</t>
        </is>
      </c>
      <c r="K316" s="8" t="inlineStr"/>
      <c r="L316" s="8" t="n">
        <v>1</v>
      </c>
      <c r="M316" s="8" t="inlineStr">
        <is>
          <t>/me/pay</t>
        </is>
      </c>
      <c r="N316" s="8" t="inlineStr">
        <is>
          <t>worker/src/routes/daily.ts</t>
        </is>
      </c>
      <c r="O316" s="8" t="n">
        <v>51</v>
      </c>
      <c r="P316" s="8" t="inlineStr">
        <is>
          <t>absence_followup_section_done
academic_years
applications
attendance_corrections
bell_schedules
board_memberships
campuses
class_subjects
classes
departments
… +41 more</t>
        </is>
      </c>
      <c r="Q316" s="8" t="inlineStr"/>
      <c r="R316" s="8" t="inlineStr">
        <is>
          <t>1 step(s) in its backend files answer "not ported" (see Not ported tab).</t>
        </is>
      </c>
      <c r="S316" s="8" t="inlineStr">
        <is>
          <t>Your own payslips month by month, what was taken off and how much of it was tax, the days you were marked present, and the leave you have left. Only ever your own.</t>
        </is>
      </c>
    </row>
    <row r="317">
      <c r="A317" s="8" t="inlineStr">
        <is>
          <t>Accounts &amp; Finance</t>
        </is>
      </c>
      <c r="B317" s="8" t="inlineStr">
        <is>
          <t>Fees</t>
        </is>
      </c>
      <c r="C317" s="8" t="inlineStr">
        <is>
          <t>Student Dues</t>
        </is>
      </c>
      <c r="D317" s="8" t="inlineStr">
        <is>
          <t>Automated Fee Reminders</t>
        </is>
      </c>
      <c r="E317" s="11" t="inlineStr">
        <is>
          <t>Good</t>
        </is>
      </c>
      <c r="F317" s="8" t="inlineStr">
        <is>
          <t>advanced</t>
        </is>
      </c>
      <c r="G317" s="8" t="inlineStr">
        <is>
          <t>Should-Have</t>
        </is>
      </c>
      <c r="H317" s="8" t="inlineStr">
        <is>
          <t>institution</t>
        </is>
      </c>
      <c r="I317" s="8" t="inlineStr">
        <is>
          <t>finance.student_dues.automated_fee_reminders</t>
        </is>
      </c>
      <c r="J317" s="8" t="inlineStr">
        <is>
          <t>web/src/features/communication/FeeReminders.tsx</t>
        </is>
      </c>
      <c r="K317" s="8" t="inlineStr"/>
      <c r="L317" s="8" t="n">
        <v>1</v>
      </c>
      <c r="M317" s="8" t="inlineStr">
        <is>
          <t>/admin/messaging/plans</t>
        </is>
      </c>
      <c r="N317" s="8" t="inlineStr">
        <is>
          <t>worker/src/routes/admin/msg_plans.ts</t>
        </is>
      </c>
      <c r="O317" s="8" t="n">
        <v>14</v>
      </c>
      <c r="P317" s="8" t="inlineStr">
        <is>
          <t>classes
enrollments
guardians
institutions
invoices
leave_requests
message_log
message_templates
message_trigger_rules
sections
… +4 more</t>
        </is>
      </c>
      <c r="Q317" s="8" t="inlineStr"/>
      <c r="R317" s="8" t="inlineStr"/>
      <c r="S317" s="8" t="inlineStr">
        <is>
          <t>Plans that remind parents of unpaid fees by WhatsApp, SMS or email on a schedule, with a dry run showing who would be sent what and the reason a plan is not sending.</t>
        </is>
      </c>
    </row>
    <row r="318">
      <c r="A318" s="8" t="inlineStr">
        <is>
          <t>Admissions &amp; Front Office</t>
        </is>
      </c>
      <c r="B318" s="8" t="inlineStr">
        <is>
          <t>Home</t>
        </is>
      </c>
      <c r="C318" s="8" t="inlineStr">
        <is>
          <t>Home</t>
        </is>
      </c>
      <c r="D318" s="8" t="inlineStr">
        <is>
          <t>Dashboard</t>
        </is>
      </c>
      <c r="E318" s="11" t="inlineStr">
        <is>
          <t>Good</t>
        </is>
      </c>
      <c r="F318" s="8" t="inlineStr">
        <is>
          <t>core</t>
        </is>
      </c>
      <c r="G318" s="8" t="inlineStr">
        <is>
          <t>Must-Have</t>
        </is>
      </c>
      <c r="H318" s="8" t="inlineStr">
        <is>
          <t>institution</t>
        </is>
      </c>
      <c r="I318" s="8" t="inlineStr">
        <is>
          <t>admissions.home.dashboard</t>
        </is>
      </c>
      <c r="J318" s="8" t="inlineStr">
        <is>
          <t>web/src/features/admissions/Dashboard.tsx</t>
        </is>
      </c>
      <c r="K318" s="8" t="inlineStr">
        <is>
          <t>web/src/features/bento/AdmissionsDesk.tsx</t>
        </is>
      </c>
      <c r="L318" s="8" t="n">
        <v>5</v>
      </c>
      <c r="M318" s="8" t="inlineStr">
        <is>
          <t>/admissions/dashboard
/admissions/enquiries
/metrics
/metrics/{}
/portal/preferences/display</t>
        </is>
      </c>
      <c r="N318" s="8" t="inlineStr">
        <is>
          <t>worker/src/routes/admin/metrics.ts
worker/src/routes/admissions/funnel.ts
worker/src/routes/portal/life.ts</t>
        </is>
      </c>
      <c r="O318" s="8" t="n">
        <v>57</v>
      </c>
      <c r="P318" s="8" t="inlineStr">
        <is>
          <t>academic_years
admission_event_bookings
admission_event_slots
admission_events
admission_forms
admission_sessions
application_documents
applications
campuses
class_subjects
… +47 more</t>
        </is>
      </c>
      <c r="Q318" s="8" t="inlineStr">
        <is>
          <t>admissions_crm.test.ts
edge.test.ts</t>
        </is>
      </c>
      <c r="R318" s="8" t="inlineStr"/>
      <c r="S318" s="8" t="inlineStr">
        <is>
          <t>New enquiries, applications received, offers pending and enrolment conversion, with the follow-ups due today underneath.</t>
        </is>
      </c>
    </row>
    <row r="319">
      <c r="A319" s="8" t="inlineStr">
        <is>
          <t>Admissions &amp; Front Office</t>
        </is>
      </c>
      <c r="B319" s="8" t="inlineStr">
        <is>
          <t>Admissions</t>
        </is>
      </c>
      <c r="C319" s="8" t="inlineStr">
        <is>
          <t>Enquiries</t>
        </is>
      </c>
      <c r="D319" s="8" t="inlineStr">
        <is>
          <t>Enquiries</t>
        </is>
      </c>
      <c r="E319" s="10" t="inlineStr">
        <is>
          <t>Check</t>
        </is>
      </c>
      <c r="F319" s="8" t="inlineStr">
        <is>
          <t>core</t>
        </is>
      </c>
      <c r="G319" s="8" t="inlineStr">
        <is>
          <t>Must-Have</t>
        </is>
      </c>
      <c r="H319" s="8" t="inlineStr">
        <is>
          <t>institution</t>
        </is>
      </c>
      <c r="I319" s="8" t="inlineStr">
        <is>
          <t>admissions.enquiries.enquiries</t>
        </is>
      </c>
      <c r="J319" s="8" t="inlineStr">
        <is>
          <t>web/src/features/admissions/Enquiries.tsx</t>
        </is>
      </c>
      <c r="K319" s="8" t="inlineStr"/>
      <c r="L319" s="8" t="n">
        <v>17</v>
      </c>
      <c r="M319" s="8" t="inlineStr">
        <is>
          <t>/academics/classes
/admissions/enquiries
/admissions/leads/{}/lost
/admissions/leads/{}/reopen
/admissions/lost-leads/reasons
/admissions/workflow/enquiries
/admissions/workflow/enquiries/duplicates
/admissions/workflow/enquiries/{}
… +9 more</t>
        </is>
      </c>
      <c r="N319" s="8" t="inlineStr">
        <is>
          <t>worker/src/routes/academics.ts
worker/src/routes/admin/loose.ts
worker/src/routes/admissions/campaigns.ts
worker/src/routes/admissions/crm.ts
worker/src/routes/admissions/funnel.ts
worker/src/routes/admissions/workflow.ts
… +3 more</t>
        </is>
      </c>
      <c r="O319" s="8" t="n">
        <v>91</v>
      </c>
      <c r="P319" s="8" t="inlineStr">
        <is>
          <t>absence_followup_section_done
academic_years
activities
admission_assessments
admission_campaign_enrolments
admission_campaign_sends
admission_campaign_steps
admission_campaigns
admission_event_bookings
admission_event_slots
… +81 more</t>
        </is>
      </c>
      <c r="Q319" s="8" t="inlineStr">
        <is>
          <t>admissions_crm.test.ts
admissions_rte.test.ts
ai_briefs.test.ts
degenerate_numbers.test.ts
edge.test.ts</t>
        </is>
      </c>
      <c r="R319" s="8" t="inlineStr">
        <is>
          <t>2 step(s) in its backend files answer "not ported" (see Not ported tab).</t>
        </is>
      </c>
      <c r="S319" s="8" t="inlineStr">
        <is>
          <t>Every enquiry the school has taken, walk-in, telephone, website or referral, with the child, the class sought, the parent's number, how warm it is and who is chasing it. Add one at the counter while the parent is still standing there.</t>
        </is>
      </c>
    </row>
    <row r="320">
      <c r="A320" s="8" t="inlineStr">
        <is>
          <t>Admissions &amp; Front Office</t>
        </is>
      </c>
      <c r="B320" s="8" t="inlineStr">
        <is>
          <t>Admissions</t>
        </is>
      </c>
      <c r="C320" s="8" t="inlineStr">
        <is>
          <t>Enquiries</t>
        </is>
      </c>
      <c r="D320" s="8" t="inlineStr">
        <is>
          <t>Assign Leads</t>
        </is>
      </c>
      <c r="E320" s="11" t="inlineStr">
        <is>
          <t>Good</t>
        </is>
      </c>
      <c r="F320" s="8" t="inlineStr">
        <is>
          <t>core</t>
        </is>
      </c>
      <c r="G320" s="8" t="inlineStr">
        <is>
          <t>Must-Have</t>
        </is>
      </c>
      <c r="H320" s="8" t="inlineStr">
        <is>
          <t>institution</t>
        </is>
      </c>
      <c r="I320" s="8" t="inlineStr">
        <is>
          <t>admissions.enquiries.assign_leads</t>
        </is>
      </c>
      <c r="J320" s="8" t="inlineStr">
        <is>
          <t>web/src/features/admissions/Funnel.tsx</t>
        </is>
      </c>
      <c r="K320" s="8" t="inlineStr"/>
      <c r="L320" s="8" t="n">
        <v>17</v>
      </c>
      <c r="M320" s="8" t="inlineStr">
        <is>
          <t>/academics/classes
/academics/years
/admin/users
/admissions/applications/patch
/admissions/leads
/admissions/leads/assign
/admissions/open-days
/admissions/open-days/book
… +9 more</t>
        </is>
      </c>
      <c r="N320" s="8" t="inlineStr">
        <is>
          <t>worker/src/routes/academics.ts
worker/src/routes/admin/users.ts
worker/src/routes/admissions/funnel.ts</t>
        </is>
      </c>
      <c r="O320" s="8" t="n">
        <v>47</v>
      </c>
      <c r="P320" s="8" t="inlineStr">
        <is>
          <t>academic_years
activities
admission_event_bookings
admission_event_slots
admission_events
admission_forms
admission_sessions
application_documents
applications
campuses
… +37 more</t>
        </is>
      </c>
      <c r="Q320" s="8" t="inlineStr">
        <is>
          <t>admissions_crm.test.ts
admissions_rte.test.ts
degenerate_numbers.test.ts
edge.test.ts
feature_grants.test.ts
student_lms.test.ts</t>
        </is>
      </c>
      <c r="R320" s="8" t="inlineStr"/>
      <c r="S320" s="8" t="inlineStr">
        <is>
          <t>Enquiries nobody is chasing yet. Tick several, pick the counsellor, and they are told at once, so a Monday morning's forty enquiries are shared out in one action rather than opened one at a time.</t>
        </is>
      </c>
    </row>
    <row r="321">
      <c r="A321" s="8" t="inlineStr">
        <is>
          <t>Admissions &amp; Front Office</t>
        </is>
      </c>
      <c r="B321" s="8" t="inlineStr">
        <is>
          <t>Admissions</t>
        </is>
      </c>
      <c r="C321" s="8" t="inlineStr">
        <is>
          <t>Enquiries</t>
        </is>
      </c>
      <c r="D321" s="8" t="inlineStr">
        <is>
          <t>Follow-up Calls</t>
        </is>
      </c>
      <c r="E321" s="10" t="inlineStr">
        <is>
          <t>Check</t>
        </is>
      </c>
      <c r="F321" s="8" t="inlineStr">
        <is>
          <t>core</t>
        </is>
      </c>
      <c r="G321" s="8" t="inlineStr">
        <is>
          <t>Must-Have</t>
        </is>
      </c>
      <c r="H321" s="8" t="inlineStr">
        <is>
          <t>institution</t>
        </is>
      </c>
      <c r="I321" s="8" t="inlineStr">
        <is>
          <t>admissions.enquiries.follow_up_calls</t>
        </is>
      </c>
      <c r="J321" s="8" t="inlineStr">
        <is>
          <t>web/src/features/admissions/Enquiries.tsx</t>
        </is>
      </c>
      <c r="K321" s="8" t="inlineStr"/>
      <c r="L321" s="8" t="n">
        <v>17</v>
      </c>
      <c r="M321" s="8" t="inlineStr">
        <is>
          <t>/academics/classes
/admissions/enquiries
/admissions/leads/{}/lost
/admissions/leads/{}/reopen
/admissions/lost-leads/reasons
/admissions/workflow/enquiries
/admissions/workflow/enquiries/duplicates
/admissions/workflow/enquiries/{}
… +9 more</t>
        </is>
      </c>
      <c r="N321" s="8" t="inlineStr">
        <is>
          <t>worker/src/routes/academics.ts
worker/src/routes/admin/loose.ts
worker/src/routes/admissions/campaigns.ts
worker/src/routes/admissions/crm.ts
worker/src/routes/admissions/funnel.ts
worker/src/routes/admissions/workflow.ts
… +3 more</t>
        </is>
      </c>
      <c r="O321" s="8" t="n">
        <v>91</v>
      </c>
      <c r="P321" s="8" t="inlineStr">
        <is>
          <t>absence_followup_section_done
academic_years
activities
admission_assessments
admission_campaign_enrolments
admission_campaign_sends
admission_campaign_steps
admission_campaigns
admission_event_bookings
admission_event_slots
… +81 more</t>
        </is>
      </c>
      <c r="Q321" s="8" t="inlineStr">
        <is>
          <t>admissions_crm.test.ts
admissions_rte.test.ts
ai_briefs.test.ts
degenerate_numbers.test.ts
edge.test.ts</t>
        </is>
      </c>
      <c r="R321" s="8" t="inlineStr">
        <is>
          <t>2 step(s) in its backend files answer "not ported" (see Not ported tab).</t>
        </is>
      </c>
      <c r="S321" s="8" t="inlineStr">
        <is>
          <t>The calls you owe parents today about their enquiry: who to ring, what was said last time, and what you promised. Write the remark and set the next date without leaving the row.</t>
        </is>
      </c>
    </row>
    <row r="322">
      <c r="A322" s="8" t="inlineStr">
        <is>
          <t>Admissions &amp; Front Office</t>
        </is>
      </c>
      <c r="B322" s="8" t="inlineStr">
        <is>
          <t>Admissions</t>
        </is>
      </c>
      <c r="C322" s="8" t="inlineStr">
        <is>
          <t>Enquiries</t>
        </is>
      </c>
      <c r="D322" s="8" t="inlineStr">
        <is>
          <t>24/7 Admission Chatbot</t>
        </is>
      </c>
      <c r="E322" s="12" t="inlineStr">
        <is>
          <t>Planned</t>
        </is>
      </c>
      <c r="F322" s="8" t="inlineStr">
        <is>
          <t>optional</t>
        </is>
      </c>
      <c r="G322" s="8" t="inlineStr">
        <is>
          <t>Nice-to-Have</t>
        </is>
      </c>
      <c r="H322" s="8" t="inlineStr">
        <is>
          <t>institution</t>
        </is>
      </c>
      <c r="I322" s="8" t="inlineStr">
        <is>
          <t>admissions.enquiries.24_7_admission_chatbot</t>
        </is>
      </c>
      <c r="J322" s="8" t="inlineStr"/>
      <c r="K322" s="8" t="inlineStr"/>
      <c r="L322" s="8" t="n">
        <v>0</v>
      </c>
      <c r="M322" s="8" t="inlineStr"/>
      <c r="N322" s="8" t="inlineStr"/>
      <c r="O322" s="8" t="n">
        <v>0</v>
      </c>
      <c r="P322" s="8" t="inlineStr"/>
      <c r="Q322" s="8" t="inlineStr"/>
      <c r="R322" s="8" t="inlineStr">
        <is>
          <t>In the catalogue, no screen built yet.</t>
        </is>
      </c>
      <c r="S322" s="8" t="inlineStr">
        <is>
          <t>Not buildable here: answering tuition and syllabus questions needs a language model this deployment does not have; the public enquiry form already captures leads. Web widget chatbot.</t>
        </is>
      </c>
    </row>
    <row r="323">
      <c r="A323" s="8" t="inlineStr">
        <is>
          <t>Admissions &amp; Front Office</t>
        </is>
      </c>
      <c r="B323" s="8" t="inlineStr">
        <is>
          <t>Admissions</t>
        </is>
      </c>
      <c r="C323" s="8" t="inlineStr">
        <is>
          <t>Enquiries</t>
        </is>
      </c>
      <c r="D323" s="8" t="inlineStr">
        <is>
          <t>AI Voice Agent Integration</t>
        </is>
      </c>
      <c r="E323" s="12" t="inlineStr">
        <is>
          <t>Planned</t>
        </is>
      </c>
      <c r="F323" s="8" t="inlineStr">
        <is>
          <t>optional</t>
        </is>
      </c>
      <c r="G323" s="8" t="inlineStr">
        <is>
          <t>Nice-to-Have</t>
        </is>
      </c>
      <c r="H323" s="8" t="inlineStr">
        <is>
          <t>institution</t>
        </is>
      </c>
      <c r="I323" s="8" t="inlineStr">
        <is>
          <t>admissions.enquiries.ai_voice_agent_integration</t>
        </is>
      </c>
      <c r="J323" s="8" t="inlineStr"/>
      <c r="K323" s="8" t="inlineStr"/>
      <c r="L323" s="8" t="n">
        <v>0</v>
      </c>
      <c r="M323" s="8" t="inlineStr"/>
      <c r="N323" s="8" t="inlineStr"/>
      <c r="O323" s="8" t="n">
        <v>0</v>
      </c>
      <c r="P323" s="8" t="inlineStr"/>
      <c r="Q323" s="8" t="inlineStr"/>
      <c r="R323" s="8" t="inlineStr">
        <is>
          <t>In the catalogue, no screen built yet.</t>
        </is>
      </c>
      <c r="S323" s="8" t="inlineStr">
        <is>
          <t>Not buildable here: outbound voice calls need a telephony vendor and a speech model, neither of which this deployment holds. Confirm entrance exam attendance or follow up by call.</t>
        </is>
      </c>
    </row>
    <row r="324">
      <c r="A324" s="8" t="inlineStr">
        <is>
          <t>Admissions &amp; Front Office</t>
        </is>
      </c>
      <c r="B324" s="8" t="inlineStr">
        <is>
          <t>Admissions</t>
        </is>
      </c>
      <c r="C324" s="8" t="inlineStr">
        <is>
          <t>Enquiries</t>
        </is>
      </c>
      <c r="D324" s="8" t="inlineStr">
        <is>
          <t>Campus Visits</t>
        </is>
      </c>
      <c r="E324" s="11" t="inlineStr">
        <is>
          <t>Good</t>
        </is>
      </c>
      <c r="F324" s="8" t="inlineStr">
        <is>
          <t>core</t>
        </is>
      </c>
      <c r="G324" s="8" t="inlineStr">
        <is>
          <t>Must-Have</t>
        </is>
      </c>
      <c r="H324" s="8" t="inlineStr">
        <is>
          <t>institution</t>
        </is>
      </c>
      <c r="I324" s="8" t="inlineStr">
        <is>
          <t>admissions.enquiries.campus_visits</t>
        </is>
      </c>
      <c r="J324" s="8" t="inlineStr">
        <is>
          <t>web/src/features/admissions/Funnel.tsx</t>
        </is>
      </c>
      <c r="K324" s="8" t="inlineStr"/>
      <c r="L324" s="8" t="n">
        <v>17</v>
      </c>
      <c r="M324" s="8" t="inlineStr">
        <is>
          <t>/academics/classes
/academics/years
/admin/users
/admissions/applications/patch
/admissions/leads
/admissions/leads/assign
/admissions/open-days
/admissions/open-days/book
… +9 more</t>
        </is>
      </c>
      <c r="N324" s="8" t="inlineStr">
        <is>
          <t>worker/src/routes/academics.ts
worker/src/routes/admin/users.ts
worker/src/routes/admissions/funnel.ts</t>
        </is>
      </c>
      <c r="O324" s="8" t="n">
        <v>47</v>
      </c>
      <c r="P324" s="8" t="inlineStr">
        <is>
          <t>academic_years
activities
admission_event_bookings
admission_event_slots
admission_events
admission_forms
admission_sessions
application_documents
applications
campuses
… +37 more</t>
        </is>
      </c>
      <c r="Q324" s="8" t="inlineStr">
        <is>
          <t>admissions_crm.test.ts
admissions_rte.test.ts
degenerate_numbers.test.ts
edge.test.ts
feature_grants.test.ts
student_lms.test.ts</t>
        </is>
      </c>
      <c r="R324" s="8" t="inlineStr"/>
      <c r="S324" s="8" t="inlineStr">
        <is>
          <t>Open houses, campus tours and counselling days: the slots on offer, who has booked one, who is showing them round, and who actually turned up. A slot that is full cannot be booked twice.</t>
        </is>
      </c>
    </row>
    <row r="325">
      <c r="A325" s="8" t="inlineStr">
        <is>
          <t>Admissions &amp; Front Office</t>
        </is>
      </c>
      <c r="B325" s="8" t="inlineStr">
        <is>
          <t>Admissions</t>
        </is>
      </c>
      <c r="C325" s="8" t="inlineStr">
        <is>
          <t>Applications</t>
        </is>
      </c>
      <c r="D325" s="8" t="inlineStr">
        <is>
          <t>Application Forms</t>
        </is>
      </c>
      <c r="E325" s="10" t="inlineStr">
        <is>
          <t>Check</t>
        </is>
      </c>
      <c r="F325" s="8" t="inlineStr">
        <is>
          <t>core</t>
        </is>
      </c>
      <c r="G325" s="8" t="inlineStr">
        <is>
          <t>Must-Have</t>
        </is>
      </c>
      <c r="H325" s="8" t="inlineStr">
        <is>
          <t>institution</t>
        </is>
      </c>
      <c r="I325" s="8" t="inlineStr">
        <is>
          <t>admissions.applications.application_forms</t>
        </is>
      </c>
      <c r="J325" s="8" t="inlineStr">
        <is>
          <t>web/src/features/admissions/Applications.tsx</t>
        </is>
      </c>
      <c r="K325" s="8" t="inlineStr"/>
      <c r="L325" s="8" t="n">
        <v>20</v>
      </c>
      <c r="M325" s="8" t="inlineStr">
        <is>
          <t>/academics/classes
/admissions/applications
/admissions/applications/{}/answers
/admissions/message
/admissions/workflow/applications
/admissions/workflow/applications/{}/assessment
/admissions/workflow/applications/{}/decision
/admissions/workflow/applications/{}/documents
… +12 more</t>
        </is>
      </c>
      <c r="N325" s="8" t="inlineStr">
        <is>
          <t>worker/src/routes/academics.ts
worker/src/routes/admin/loose.ts
worker/src/routes/admissions/forms.ts
worker/src/routes/admissions/funnel.ts
worker/src/routes/admissions/workflow.ts
worker/src/routes/ai/briefs.ts
… +3 more</t>
        </is>
      </c>
      <c r="O325" s="8" t="n">
        <v>91</v>
      </c>
      <c r="P325" s="8" t="inlineStr">
        <is>
          <t>absence_followup_section_done
academic_years
activities
admission_assessments
admission_event_bookings
admission_event_slots
admission_events
admission_form_fields
admission_form_sections
admission_form_versions
… +81 more</t>
        </is>
      </c>
      <c r="Q325" s="8" t="inlineStr">
        <is>
          <t>admissions_crm.test.ts
admissions_rte.test.ts
ai_briefs.test.ts
edge.test.ts</t>
        </is>
      </c>
      <c r="R325" s="8" t="inlineStr">
        <is>
          <t>2 step(s) in its backend files answer "not ported" (see Not ported tab).</t>
        </is>
      </c>
      <c r="S325" s="8" t="inlineStr">
        <is>
          <t>Every form submitted, searchable by class and by whether the form fee is paid, with the filled form printable as it was answered.</t>
        </is>
      </c>
    </row>
    <row r="326">
      <c r="A326" s="8" t="inlineStr">
        <is>
          <t>Admissions &amp; Front Office</t>
        </is>
      </c>
      <c r="B326" s="8" t="inlineStr">
        <is>
          <t>Admissions</t>
        </is>
      </c>
      <c r="C326" s="8" t="inlineStr">
        <is>
          <t>Applications</t>
        </is>
      </c>
      <c r="D326" s="8" t="inlineStr">
        <is>
          <t>Document Verification</t>
        </is>
      </c>
      <c r="E326" s="10" t="inlineStr">
        <is>
          <t>Check</t>
        </is>
      </c>
      <c r="F326" s="8" t="inlineStr">
        <is>
          <t>core</t>
        </is>
      </c>
      <c r="G326" s="8" t="inlineStr">
        <is>
          <t>Must-Have</t>
        </is>
      </c>
      <c r="H326" s="8" t="inlineStr">
        <is>
          <t>institution</t>
        </is>
      </c>
      <c r="I326" s="8" t="inlineStr">
        <is>
          <t>admissions.applications.document_verification</t>
        </is>
      </c>
      <c r="J326" s="8" t="inlineStr">
        <is>
          <t>web/src/features/admissions/Applications.tsx</t>
        </is>
      </c>
      <c r="K326" s="8" t="inlineStr"/>
      <c r="L326" s="8" t="n">
        <v>20</v>
      </c>
      <c r="M326" s="8" t="inlineStr">
        <is>
          <t>/academics/classes
/admissions/applications
/admissions/applications/{}/answers
/admissions/message
/admissions/workflow/applications
/admissions/workflow/applications/{}/assessment
/admissions/workflow/applications/{}/decision
/admissions/workflow/applications/{}/documents
… +12 more</t>
        </is>
      </c>
      <c r="N326" s="8" t="inlineStr">
        <is>
          <t>worker/src/routes/academics.ts
worker/src/routes/admin/loose.ts
worker/src/routes/admissions/forms.ts
worker/src/routes/admissions/funnel.ts
worker/src/routes/admissions/workflow.ts
worker/src/routes/ai/briefs.ts
… +3 more</t>
        </is>
      </c>
      <c r="O326" s="8" t="n">
        <v>91</v>
      </c>
      <c r="P326" s="8" t="inlineStr">
        <is>
          <t>absence_followup_section_done
academic_years
activities
admission_assessments
admission_event_bookings
admission_event_slots
admission_events
admission_form_fields
admission_form_sections
admission_form_versions
… +81 more</t>
        </is>
      </c>
      <c r="Q326" s="8" t="inlineStr">
        <is>
          <t>admissions_crm.test.ts
admissions_rte.test.ts
ai_briefs.test.ts
edge.test.ts</t>
        </is>
      </c>
      <c r="R326" s="8" t="inlineStr">
        <is>
          <t>2 step(s) in its backend files answer "not ported" (see Not ported tab).</t>
        </is>
      </c>
      <c r="S326" s="8" t="inlineStr">
        <is>
          <t>Birth certificate, Aadhaar, transfer certificate and the last report card, each one marked verified, rejected or to be resubmitted, with the reason the parent is told.</t>
        </is>
      </c>
    </row>
    <row r="327">
      <c r="A327" s="8" t="inlineStr">
        <is>
          <t>Admissions &amp; Front Office</t>
        </is>
      </c>
      <c r="B327" s="8" t="inlineStr">
        <is>
          <t>Admissions</t>
        </is>
      </c>
      <c r="C327" s="8" t="inlineStr">
        <is>
          <t>Applications</t>
        </is>
      </c>
      <c r="D327" s="8" t="inlineStr">
        <is>
          <t>Form Builder</t>
        </is>
      </c>
      <c r="E327" s="11" t="inlineStr">
        <is>
          <t>Good</t>
        </is>
      </c>
      <c r="F327" s="8" t="inlineStr">
        <is>
          <t>core</t>
        </is>
      </c>
      <c r="G327" s="8" t="inlineStr">
        <is>
          <t>Should-Have</t>
        </is>
      </c>
      <c r="H327" s="8" t="inlineStr">
        <is>
          <t>institution</t>
        </is>
      </c>
      <c r="I327" s="8" t="inlineStr">
        <is>
          <t>admissions.applications.form_builder</t>
        </is>
      </c>
      <c r="J327" s="8" t="inlineStr">
        <is>
          <t>web/src/features/admissions/FormBuilder.tsx</t>
        </is>
      </c>
      <c r="K327" s="8" t="inlineStr"/>
      <c r="L327" s="8" t="n">
        <v>1</v>
      </c>
      <c r="M327" s="8" t="inlineStr">
        <is>
          <t>/admissions</t>
        </is>
      </c>
      <c r="N327" s="8" t="inlineStr">
        <is>
          <t>worker/src/routes/admissions/campaigns.ts
worker/src/routes/admissions/crm.ts
worker/src/routes/admissions/forms.ts
worker/src/routes/admissions/funnel.ts
worker/src/routes/admissions/workflow.ts</t>
        </is>
      </c>
      <c r="O327" s="8" t="n">
        <v>40</v>
      </c>
      <c r="P327" s="8" t="inlineStr">
        <is>
          <t>academic_years
admission_assessments
admission_campaign_enrolments
admission_campaign_sends
admission_campaign_steps
admission_campaigns
admission_event_bookings
admission_event_slots
admission_events
admission_form_fields
… +30 more</t>
        </is>
      </c>
      <c r="Q327" s="8" t="inlineStr">
        <is>
          <t>admissions_crm.test.ts
admissions_rte.test.ts
degenerate_numbers.test.ts</t>
        </is>
      </c>
      <c r="R327" s="8" t="inlineStr"/>
      <c r="S327" s="8" t="inlineStr">
        <is>
          <t>Build the online application form the whole city fills in, add and order the fields, save drafts and publish a version, and open or close admissions for the season.</t>
        </is>
      </c>
    </row>
    <row r="328">
      <c r="A328" s="8" t="inlineStr">
        <is>
          <t>Admissions &amp; Front Office</t>
        </is>
      </c>
      <c r="B328" s="8" t="inlineStr">
        <is>
          <t>Admissions</t>
        </is>
      </c>
      <c r="C328" s="8" t="inlineStr">
        <is>
          <t>Applications</t>
        </is>
      </c>
      <c r="D328" s="8" t="inlineStr">
        <is>
          <t>Student 360</t>
        </is>
      </c>
      <c r="E328" s="10" t="inlineStr">
        <is>
          <t>Check</t>
        </is>
      </c>
      <c r="F328" s="8" t="inlineStr">
        <is>
          <t>core</t>
        </is>
      </c>
      <c r="G328" s="8" t="inlineStr">
        <is>
          <t>Must-Have</t>
        </is>
      </c>
      <c r="H328" s="8" t="inlineStr">
        <is>
          <t>institution</t>
        </is>
      </c>
      <c r="I328" s="8" t="inlineStr">
        <is>
          <t>admissions.applications.student_360</t>
        </is>
      </c>
      <c r="J328" s="8" t="inlineStr">
        <is>
          <t>web/src/features/shared/StudentProfile.tsx</t>
        </is>
      </c>
      <c r="K328" s="8" t="inlineStr"/>
      <c r="L328" s="8" t="n">
        <v>54</v>
      </c>
      <c r="M328" s="8" t="inlineStr">
        <is>
          <t>/academics/activities
/academics/classes
/academics/houses
/academics/sections
/ai/briefs/principal
/ai/briefs/student/{}
/ai/draft
/ai/import/analyze
… +46 more</t>
        </is>
      </c>
      <c r="N328" s="8" t="inlineStr">
        <is>
          <t>worker/src/router.ts
worker/src/routes/academics.ts
worker/src/routes/admin/export.ts
worker/src/routes/admin/loose.ts
worker/src/routes/ai/briefs.ts
worker/src/routes/ai/drafting.ts
… +9 more</t>
        </is>
      </c>
      <c r="O328" s="8" t="n">
        <v>114</v>
      </c>
      <c r="P328" s="8" t="inlineStr">
        <is>
          <t>absence_followup_section_done
academic_years
activities
ai_warning_dismissals
ai_warnings
announcement_acks
announcement_sections
announcement_students
announcements
api_keys
… +104 more</t>
        </is>
      </c>
      <c r="Q328" s="8" t="inlineStr">
        <is>
          <t>access.test.ts
admissions_crm.test.ts
ai.test.ts
ai_briefs.test.ts
ai_warnings_import.test.ts
auth.test.ts
… +8 more</t>
        </is>
      </c>
      <c r="R328" s="8" t="inlineStr">
        <is>
          <t>2 step(s) in its backend files answer "not ported" (see Not ported tab).</t>
        </is>
      </c>
      <c r="S328" s="8" t="inlineStr">
        <is>
          <t>One child, whole: who to ring, the guardians on record, attendance, fees and conduct. The screen the admissions desk opens to add a parent to a child and hand the family their login.</t>
        </is>
      </c>
    </row>
    <row r="329">
      <c r="A329" s="8" t="inlineStr">
        <is>
          <t>Admissions &amp; Front Office</t>
        </is>
      </c>
      <c r="B329" s="8" t="inlineStr">
        <is>
          <t>Admissions</t>
        </is>
      </c>
      <c r="C329" s="8" t="inlineStr">
        <is>
          <t>Applications</t>
        </is>
      </c>
      <c r="D329" s="8" t="inlineStr">
        <is>
          <t>Certificates &amp; transfers</t>
        </is>
      </c>
      <c r="E329" s="11" t="inlineStr">
        <is>
          <t>Good</t>
        </is>
      </c>
      <c r="F329" s="8" t="inlineStr">
        <is>
          <t>core</t>
        </is>
      </c>
      <c r="G329" s="8" t="inlineStr">
        <is>
          <t>Must-Have</t>
        </is>
      </c>
      <c r="H329" s="8" t="inlineStr">
        <is>
          <t>institution</t>
        </is>
      </c>
      <c r="I329" s="8" t="inlineStr">
        <is>
          <t>admissions.applications.certificates_transfers</t>
        </is>
      </c>
      <c r="J329" s="8" t="inlineStr">
        <is>
          <t>web/src/features/lifecycle/Certificates.tsx</t>
        </is>
      </c>
      <c r="K329" s="8" t="inlineStr"/>
      <c r="L329" s="8" t="n">
        <v>23</v>
      </c>
      <c r="M329" s="8" t="inlineStr">
        <is>
          <t>/ai/import/analyze
/ai/import/commit
/ai/import/preview
/ai/import/propose
/ai/warnings
/ai/warnings/digest
/ai/warnings/dismiss-all
/ai/warnings/run
… +15 more</t>
        </is>
      </c>
      <c r="N329" s="8" t="inlineStr">
        <is>
          <t>worker/src/router.ts
worker/src/routes/ai/import.ts
worker/src/routes/ai/warnings.ts
worker/src/routes/exams.ts
worker/src/routes/setup/imports.ts
worker/src/routes/setup/staff.ts
… +1 more</t>
        </is>
      </c>
      <c r="O329" s="8" t="n">
        <v>84</v>
      </c>
      <c r="P329" s="8" t="inlineStr">
        <is>
          <t>academic_years
activities
ai_warning_dismissals
ai_warnings
audit_log
bell_schedules
biometric_devices
biometric_punches
branding_profiles
campuses
… +74 more</t>
        </is>
      </c>
      <c r="Q329" s="8" t="inlineStr">
        <is>
          <t>access.test.ts
ai.test.ts
ai_warnings_import.test.ts
auth.test.ts
documents.test.ts
fees.test.ts
… +9 more</t>
        </is>
      </c>
      <c r="R329" s="8" t="inlineStr"/>
      <c r="S329" s="8" t="inlineStr">
        <is>
          <t>Issue a transfer, bonafide, conduct or study certificate, and read the register of every one the school has issued. The desk that admits a child is the desk a family comes back to when the child leaves, so the leaving paperwork is here and not only in the principal's workspace.</t>
        </is>
      </c>
    </row>
    <row r="330">
      <c r="A330" s="8" t="inlineStr">
        <is>
          <t>Admissions &amp; Front Office</t>
        </is>
      </c>
      <c r="B330" s="8" t="inlineStr">
        <is>
          <t>Reports</t>
        </is>
      </c>
      <c r="C330" s="8" t="inlineStr">
        <is>
          <t>Reports</t>
        </is>
      </c>
      <c r="D330" s="8" t="inlineStr">
        <is>
          <t>Admission reports</t>
        </is>
      </c>
      <c r="E330" s="10" t="inlineStr">
        <is>
          <t>Check</t>
        </is>
      </c>
      <c r="F330" s="8" t="inlineStr">
        <is>
          <t>core</t>
        </is>
      </c>
      <c r="G330" s="8" t="inlineStr">
        <is>
          <t>Must-Have</t>
        </is>
      </c>
      <c r="H330" s="8" t="inlineStr">
        <is>
          <t>institution</t>
        </is>
      </c>
      <c r="I330" s="8" t="inlineStr">
        <is>
          <t>admissions.reports.admission_reports</t>
        </is>
      </c>
      <c r="J330" s="8" t="inlineStr">
        <is>
          <t>web/src/features/admissions/Pipeline.tsx</t>
        </is>
      </c>
      <c r="K330" s="8" t="inlineStr"/>
      <c r="L330" s="8" t="n">
        <v>11</v>
      </c>
      <c r="M330" s="8" t="inlineStr">
        <is>
          <t>/academics/sections
/academics/years
/admissions/workflow/applications/{}/decision
/admissions/workflow/applications/{}/enrol
/admissions/workflow/applications/{}/fees
/admissions/workflow/funnel
/admissions/workflow/merit
/admissions/workflow/seats
… +3 more</t>
        </is>
      </c>
      <c r="N330" s="8" t="inlineStr">
        <is>
          <t>worker/src/routes/academics.ts
worker/src/routes/admin/loose.ts
worker/src/routes/admissions/workflow.ts
worker/src/routes/daily.ts
worker/src/routes/fees/counter.ts</t>
        </is>
      </c>
      <c r="O330" s="8" t="n">
        <v>84</v>
      </c>
      <c r="P330" s="8" t="inlineStr">
        <is>
          <t>absence_followup_section_done
academic_years
activities
admission_assessments
admission_form_versions
admission_forms
admission_sessions
api_keys
application_documents
applications
… +74 more</t>
        </is>
      </c>
      <c r="Q330" s="8" t="inlineStr">
        <is>
          <t>access.test.ts
admissions_crm.test.ts
admissions_rte.test.ts
edge.test.ts
fees.test.ts</t>
        </is>
      </c>
      <c r="R330" s="8" t="inlineStr">
        <is>
          <t>2 step(s) in its backend files answer "not ported" (see Not ported tab).</t>
        </is>
      </c>
      <c r="S330" s="8" t="inlineStr">
        <is>
          <t>Enquiries, applications and admissions with the conversion between them, the numbers a management committee asks for. Exports to a spreadsheet.</t>
        </is>
      </c>
    </row>
    <row r="331">
      <c r="A331" s="8" t="inlineStr">
        <is>
          <t>Admissions &amp; Front Office</t>
        </is>
      </c>
      <c r="B331" s="8" t="inlineStr">
        <is>
          <t>Reports</t>
        </is>
      </c>
      <c r="C331" s="8" t="inlineStr">
        <is>
          <t>Reports</t>
        </is>
      </c>
      <c r="D331" s="8" t="inlineStr">
        <is>
          <t>Dropped leads</t>
        </is>
      </c>
      <c r="E331" s="11" t="inlineStr">
        <is>
          <t>Good</t>
        </is>
      </c>
      <c r="F331" s="8" t="inlineStr">
        <is>
          <t>core</t>
        </is>
      </c>
      <c r="G331" s="8" t="inlineStr">
        <is>
          <t>Must-Have</t>
        </is>
      </c>
      <c r="H331" s="8" t="inlineStr">
        <is>
          <t>institution</t>
        </is>
      </c>
      <c r="I331" s="8" t="inlineStr">
        <is>
          <t>admissions.reports.dropped_leads</t>
        </is>
      </c>
      <c r="J331" s="8" t="inlineStr">
        <is>
          <t>web/src/features/admissions/LostLeads.tsx</t>
        </is>
      </c>
      <c r="K331" s="8" t="inlineStr"/>
      <c r="L331" s="8" t="n">
        <v>2</v>
      </c>
      <c r="M331" s="8" t="inlineStr">
        <is>
          <t>/admissions
/date-ranges</t>
        </is>
      </c>
      <c r="N331" s="8" t="inlineStr">
        <is>
          <t>worker/src/routes/admissions/campaigns.ts
worker/src/routes/admissions/crm.ts
worker/src/routes/admissions/forms.ts
worker/src/routes/admissions/funnel.ts
worker/src/routes/admissions/workflow.ts
worker/src/routes/misc/shell.ts</t>
        </is>
      </c>
      <c r="O331" s="8" t="n">
        <v>51</v>
      </c>
      <c r="P331" s="8" t="inlineStr">
        <is>
          <t>academic_years
admission_assessments
admission_campaign_enrolments
admission_campaign_sends
admission_campaign_steps
admission_campaigns
admission_event_bookings
admission_event_slots
admission_events
admission_form_fields
… +41 more</t>
        </is>
      </c>
      <c r="Q331" s="8" t="inlineStr">
        <is>
          <t>admissions_crm.test.ts
admissions_rte.test.ts
degenerate_numbers.test.ts</t>
        </is>
      </c>
      <c r="R331" s="8" t="inlineStr"/>
      <c r="S331" s="8" t="inlineStr">
        <is>
          <t>Why parents did not join, counted: fees, distance, chose another school. The reason is asked for when an enquiry is marked lost, so this is built from what was actually recorded.</t>
        </is>
      </c>
    </row>
    <row r="332">
      <c r="A332" s="8" t="inlineStr">
        <is>
          <t>Admissions &amp; Front Office</t>
        </is>
      </c>
      <c r="B332" s="8" t="inlineStr">
        <is>
          <t>Communication</t>
        </is>
      </c>
      <c r="C332" s="8" t="inlineStr">
        <is>
          <t>Communication</t>
        </is>
      </c>
      <c r="D332" s="8" t="inlineStr">
        <is>
          <t>Messages</t>
        </is>
      </c>
      <c r="E332" s="11" t="inlineStr">
        <is>
          <t>Good</t>
        </is>
      </c>
      <c r="F332" s="8" t="inlineStr">
        <is>
          <t>core</t>
        </is>
      </c>
      <c r="G332" s="8" t="inlineStr">
        <is>
          <t>Must-Have</t>
        </is>
      </c>
      <c r="H332" s="8" t="inlineStr">
        <is>
          <t>institution</t>
        </is>
      </c>
      <c r="I332" s="8" t="inlineStr">
        <is>
          <t>admissions.communication.messages</t>
        </is>
      </c>
      <c r="J332" s="8" t="inlineStr">
        <is>
          <t>web/src/features/comms/StaffMessages.tsx</t>
        </is>
      </c>
      <c r="K332" s="8" t="inlineStr"/>
      <c r="L332" s="8" t="n">
        <v>12</v>
      </c>
      <c r="M332" s="8" t="inlineStr">
        <is>
          <t>/chat/messages/{}
/chat/parent-thread/read
/chat/staff-thread/read
/files
/files/{}
/portal/messages
/staff-messages
/staff-messages/threads
… +4 more</t>
        </is>
      </c>
      <c r="N332" s="8" t="inlineStr">
        <is>
          <t>worker/src/routes/misc/chat.ts
worker/src/routes/misc/files.ts
worker/src/routes/portal/requests.ts
worker/src/routes/teaching/dashboards.ts</t>
        </is>
      </c>
      <c r="O332" s="8" t="n">
        <v>60</v>
      </c>
      <c r="P332" s="8" t="inlineStr">
        <is>
          <t>academic_years
announcement_acks
announcements
application_documents
applications
certificate_types
class_subjects
classes
departments
designations
… +50 more</t>
        </is>
      </c>
      <c r="Q332" s="8" t="inlineStr">
        <is>
          <t>live.test.ts</t>
        </is>
      </c>
      <c r="R332" s="8" t="inlineStr"/>
      <c r="S332" s="8" t="inlineStr">
        <is>
          <t>One colleague at a time. The staff address book, and the thread you have with each of them, for asking the office or a class teacher something, rather than sending a notice to the school.</t>
        </is>
      </c>
    </row>
    <row r="333">
      <c r="A333" s="8" t="inlineStr">
        <is>
          <t>Admissions &amp; Front Office</t>
        </is>
      </c>
      <c r="B333" s="8" t="inlineStr">
        <is>
          <t>Communication</t>
        </is>
      </c>
      <c r="C333" s="8" t="inlineStr">
        <is>
          <t>Communication</t>
        </is>
      </c>
      <c r="D333" s="8" t="inlineStr">
        <is>
          <t>Applicant communication</t>
        </is>
      </c>
      <c r="E333" s="11" t="inlineStr">
        <is>
          <t>Good</t>
        </is>
      </c>
      <c r="F333" s="8" t="inlineStr">
        <is>
          <t>core</t>
        </is>
      </c>
      <c r="G333" s="8" t="inlineStr">
        <is>
          <t>Must-Have</t>
        </is>
      </c>
      <c r="H333" s="8" t="inlineStr">
        <is>
          <t>institution</t>
        </is>
      </c>
      <c r="I333" s="8" t="inlineStr">
        <is>
          <t>admissions.communication.applicant_communication</t>
        </is>
      </c>
      <c r="J333" s="8" t="inlineStr">
        <is>
          <t>web/src/features/admissions/ApplicantMessages.tsx</t>
        </is>
      </c>
      <c r="K333" s="8" t="inlineStr"/>
      <c r="L333" s="8" t="n">
        <v>2</v>
      </c>
      <c r="M333" s="8" t="inlineStr">
        <is>
          <t>/admissions/applications
/admissions/workflow/applicant-messages</t>
        </is>
      </c>
      <c r="N333" s="8" t="inlineStr">
        <is>
          <t>worker/src/routes/admissions/funnel.ts
worker/src/routes/admissions/workflow.ts</t>
        </is>
      </c>
      <c r="O333" s="8" t="n">
        <v>31</v>
      </c>
      <c r="P333" s="8" t="inlineStr">
        <is>
          <t>academic_years
admission_assessments
admission_event_bookings
admission_event_slots
admission_events
admission_form_versions
admission_forms
admission_sessions
application_documents
applications
… +21 more</t>
        </is>
      </c>
      <c r="Q333" s="8" t="inlineStr">
        <is>
          <t>admissions_rte.test.ts</t>
        </is>
      </c>
      <c r="R333" s="8" t="inlineStr"/>
      <c r="S333" s="8" t="inlineStr">
        <is>
          <t>Tell a family their offer is out, what paperwork is still missing, or when the entrance test is, by SMS, WhatsApp or email, to the families behind the applications you choose.</t>
        </is>
      </c>
    </row>
    <row r="334">
      <c r="A334" s="8" t="inlineStr">
        <is>
          <t>Admissions &amp; Front Office</t>
        </is>
      </c>
      <c r="B334" s="8" t="inlineStr">
        <is>
          <t>My Profile</t>
        </is>
      </c>
      <c r="C334" s="8" t="inlineStr">
        <is>
          <t>My Profile</t>
        </is>
      </c>
      <c r="D334" s="8" t="inlineStr">
        <is>
          <t>My pay</t>
        </is>
      </c>
      <c r="E334" s="10" t="inlineStr">
        <is>
          <t>Check</t>
        </is>
      </c>
      <c r="F334" s="8" t="inlineStr">
        <is>
          <t>core</t>
        </is>
      </c>
      <c r="G334" s="8" t="inlineStr">
        <is>
          <t>Must-Have</t>
        </is>
      </c>
      <c r="H334" s="8" t="inlineStr">
        <is>
          <t>self</t>
        </is>
      </c>
      <c r="I334" s="8" t="inlineStr">
        <is>
          <t>admissions.my_profile.my_pay</t>
        </is>
      </c>
      <c r="J334" s="8" t="inlineStr">
        <is>
          <t>web/src/features/me/MyPay.tsx</t>
        </is>
      </c>
      <c r="K334" s="8" t="inlineStr"/>
      <c r="L334" s="8" t="n">
        <v>1</v>
      </c>
      <c r="M334" s="8" t="inlineStr">
        <is>
          <t>/me/pay</t>
        </is>
      </c>
      <c r="N334" s="8" t="inlineStr">
        <is>
          <t>worker/src/routes/daily.ts</t>
        </is>
      </c>
      <c r="O334" s="8" t="n">
        <v>51</v>
      </c>
      <c r="P334" s="8" t="inlineStr">
        <is>
          <t>absence_followup_section_done
academic_years
applications
attendance_corrections
bell_schedules
board_memberships
campuses
class_subjects
classes
departments
… +41 more</t>
        </is>
      </c>
      <c r="Q334" s="8" t="inlineStr"/>
      <c r="R334" s="8" t="inlineStr">
        <is>
          <t>1 step(s) in its backend files answer "not ported" (see Not ported tab).</t>
        </is>
      </c>
      <c r="S334" s="8" t="inlineStr">
        <is>
          <t>Your own payslips month by month, what was taken off and how much of it was tax, the days you were marked present, and the leave you have left. Only ever your own.</t>
        </is>
      </c>
    </row>
    <row r="335">
      <c r="A335" s="8" t="inlineStr">
        <is>
          <t>Admissions &amp; Front Office</t>
        </is>
      </c>
      <c r="B335" s="8" t="inlineStr">
        <is>
          <t>Admissions</t>
        </is>
      </c>
      <c r="C335" s="8" t="inlineStr">
        <is>
          <t>Admissions</t>
        </is>
      </c>
      <c r="D335" s="8" t="inlineStr">
        <is>
          <t>Fee &amp; Enrollment</t>
        </is>
      </c>
      <c r="E335" s="11" t="inlineStr">
        <is>
          <t>Good</t>
        </is>
      </c>
      <c r="F335" s="8" t="inlineStr">
        <is>
          <t>core</t>
        </is>
      </c>
      <c r="G335" s="8" t="inlineStr">
        <is>
          <t>Must-Have</t>
        </is>
      </c>
      <c r="H335" s="8" t="inlineStr">
        <is>
          <t>institution</t>
        </is>
      </c>
      <c r="I335" s="8" t="inlineStr">
        <is>
          <t>admissions.admissions.fee_enrollment</t>
        </is>
      </c>
      <c r="J335" s="8" t="inlineStr">
        <is>
          <t>web/src/features/admissions/FeeEnrolment.tsx</t>
        </is>
      </c>
      <c r="K335" s="8" t="inlineStr"/>
      <c r="L335" s="8" t="n">
        <v>7</v>
      </c>
      <c r="M335" s="8" t="inlineStr">
        <is>
          <t>/academics/sections
/admissions/workflow/applications/{}/enrol
/admissions/workflow/pending-admissions
/admissions/workflow/pending-admissions/{}/decide
/fees/concessions
/ops/transport/routes
/ops/transport/routes/{}/stops</t>
        </is>
      </c>
      <c r="N335" s="8" t="inlineStr">
        <is>
          <t>worker/src/routes/academics.ts
worker/src/routes/admissions/workflow.ts
worker/src/routes/fees/refunds.ts
worker/src/routes/ops/transport.ts</t>
        </is>
      </c>
      <c r="O335" s="8" t="n">
        <v>46</v>
      </c>
      <c r="P335" s="8" t="inlineStr">
        <is>
          <t>academic_years
activities
admission_assessments
admission_form_versions
admission_forms
admission_sessions
application_documents
applications
campuses
class_subjects
… +36 more</t>
        </is>
      </c>
      <c r="Q335" s="8" t="inlineStr">
        <is>
          <t>admissions_crm.test.ts
admissions_rte.test.ts</t>
        </is>
      </c>
      <c r="R335" s="8" t="inlineStr"/>
      <c r="S335" s="8" t="inlineStr">
        <is>
          <t>The admitted queue, and the money that settles before a child becomes a student: what the class costs, the concession agreed at the desk, the principal's decision on it, and the demand raised once that is settled.</t>
        </is>
      </c>
    </row>
    <row r="336">
      <c r="A336" s="8" t="inlineStr">
        <is>
          <t>Admissions &amp; Front Office</t>
        </is>
      </c>
      <c r="B336" s="8" t="inlineStr">
        <is>
          <t>Admissions</t>
        </is>
      </c>
      <c r="C336" s="8" t="inlineStr">
        <is>
          <t>Admissions</t>
        </is>
      </c>
      <c r="D336" s="8" t="inlineStr">
        <is>
          <t>RTE Quota</t>
        </is>
      </c>
      <c r="E336" s="10" t="inlineStr">
        <is>
          <t>Check</t>
        </is>
      </c>
      <c r="F336" s="8" t="inlineStr">
        <is>
          <t>core</t>
        </is>
      </c>
      <c r="G336" s="8" t="inlineStr">
        <is>
          <t>Must-Have</t>
        </is>
      </c>
      <c r="H336" s="8" t="inlineStr">
        <is>
          <t>institution</t>
        </is>
      </c>
      <c r="I336" s="8" t="inlineStr">
        <is>
          <t>admissions.admissions.rte_quota</t>
        </is>
      </c>
      <c r="J336" s="8" t="inlineStr">
        <is>
          <t>web/src/features/admissions/Pipeline.tsx</t>
        </is>
      </c>
      <c r="K336" s="8" t="inlineStr"/>
      <c r="L336" s="8" t="n">
        <v>11</v>
      </c>
      <c r="M336" s="8" t="inlineStr">
        <is>
          <t>/academics/sections
/academics/years
/admissions/workflow/applications/{}/decision
/admissions/workflow/applications/{}/enrol
/admissions/workflow/applications/{}/fees
/admissions/workflow/funnel
/admissions/workflow/merit
/admissions/workflow/seats
… +3 more</t>
        </is>
      </c>
      <c r="N336" s="8" t="inlineStr">
        <is>
          <t>worker/src/routes/academics.ts
worker/src/routes/admin/loose.ts
worker/src/routes/admissions/workflow.ts
worker/src/routes/daily.ts
worker/src/routes/fees/counter.ts</t>
        </is>
      </c>
      <c r="O336" s="8" t="n">
        <v>84</v>
      </c>
      <c r="P336" s="8" t="inlineStr">
        <is>
          <t>absence_followup_section_done
academic_years
activities
admission_assessments
admission_form_versions
admission_forms
admission_sessions
api_keys
application_documents
applications
… +74 more</t>
        </is>
      </c>
      <c r="Q336" s="8" t="inlineStr">
        <is>
          <t>access.test.ts
admissions_crm.test.ts
admissions_rte.test.ts
edge.test.ts
fees.test.ts</t>
        </is>
      </c>
      <c r="R336" s="8" t="inlineStr">
        <is>
          <t>2 step(s) in its backend files answer "not ported" (see Not ported tab).</t>
        </is>
      </c>
      <c r="S336" s="8" t="inlineStr">
        <is>
          <t>The 25% the Act requires: applicants claiming it, the state portal reference against each, seats filled against seats mandated, and the zero-fee tag that keeps them out of the fee run while staying on the government return.</t>
        </is>
      </c>
    </row>
    <row r="337">
      <c r="A337" s="8" t="inlineStr">
        <is>
          <t>Admissions &amp; Front Office</t>
        </is>
      </c>
      <c r="B337" s="8" t="inlineStr">
        <is>
          <t>Admissions</t>
        </is>
      </c>
      <c r="C337" s="8" t="inlineStr">
        <is>
          <t>Admissions</t>
        </is>
      </c>
      <c r="D337" s="8" t="inlineStr">
        <is>
          <t>Waitlist</t>
        </is>
      </c>
      <c r="E337" s="11" t="inlineStr">
        <is>
          <t>Good</t>
        </is>
      </c>
      <c r="F337" s="8" t="inlineStr">
        <is>
          <t>core</t>
        </is>
      </c>
      <c r="G337" s="8" t="inlineStr">
        <is>
          <t>Must-Have</t>
        </is>
      </c>
      <c r="H337" s="8" t="inlineStr">
        <is>
          <t>institution</t>
        </is>
      </c>
      <c r="I337" s="8" t="inlineStr">
        <is>
          <t>admissions.admissions.waitlist</t>
        </is>
      </c>
      <c r="J337" s="8" t="inlineStr">
        <is>
          <t>web/src/features/admissions/Funnel.tsx</t>
        </is>
      </c>
      <c r="K337" s="8" t="inlineStr"/>
      <c r="L337" s="8" t="n">
        <v>17</v>
      </c>
      <c r="M337" s="8" t="inlineStr">
        <is>
          <t>/academics/classes
/academics/years
/admin/users
/admissions/applications/patch
/admissions/leads
/admissions/leads/assign
/admissions/open-days
/admissions/open-days/book
… +9 more</t>
        </is>
      </c>
      <c r="N337" s="8" t="inlineStr">
        <is>
          <t>worker/src/routes/academics.ts
worker/src/routes/admin/users.ts
worker/src/routes/admissions/funnel.ts</t>
        </is>
      </c>
      <c r="O337" s="8" t="n">
        <v>47</v>
      </c>
      <c r="P337" s="8" t="inlineStr">
        <is>
          <t>academic_years
activities
admission_event_bookings
admission_event_slots
admission_events
admission_forms
admission_sessions
application_documents
applications
campuses
… +37 more</t>
        </is>
      </c>
      <c r="Q337" s="8" t="inlineStr">
        <is>
          <t>admissions_crm.test.ts
admissions_rte.test.ts
degenerate_numbers.test.ts
edge.test.ts
feature_grants.test.ts
student_lms.test.ts</t>
        </is>
      </c>
      <c r="R337" s="8" t="inlineStr"/>
      <c r="S337" s="8" t="inlineStr">
        <is>
          <t>Who is next if a seat is given up, in order, with the date they went on.</t>
        </is>
      </c>
    </row>
    <row r="338">
      <c r="A338" s="8" t="inlineStr">
        <is>
          <t>Admissions &amp; Front Office</t>
        </is>
      </c>
      <c r="B338" s="8" t="inlineStr">
        <is>
          <t>Front Desk</t>
        </is>
      </c>
      <c r="C338" s="8" t="inlineStr">
        <is>
          <t>Front Desk</t>
        </is>
      </c>
      <c r="D338" s="8" t="inlineStr">
        <is>
          <t>Front desk</t>
        </is>
      </c>
      <c r="E338" s="11" t="inlineStr">
        <is>
          <t>Good</t>
        </is>
      </c>
      <c r="F338" s="8" t="inlineStr">
        <is>
          <t>core</t>
        </is>
      </c>
      <c r="G338" s="8" t="inlineStr">
        <is>
          <t>Must-Have</t>
        </is>
      </c>
      <c r="H338" s="8" t="inlineStr">
        <is>
          <t>institution</t>
        </is>
      </c>
      <c r="I338" s="8" t="inlineStr">
        <is>
          <t>admissions.front_desk.front_desk</t>
        </is>
      </c>
      <c r="J338" s="8" t="inlineStr">
        <is>
          <t>web/src/features/admissions/FrontDesk.tsx</t>
        </is>
      </c>
      <c r="K338" s="8" t="inlineStr"/>
      <c r="L338" s="8" t="n">
        <v>7</v>
      </c>
      <c r="M338" s="8" t="inlineStr">
        <is>
          <t>/office/appointments
/office/blocklist
/office/calls
/office/courier
/office/staff
/office/visitors
/office/visitors/{}/out</t>
        </is>
      </c>
      <c r="N338" s="8" t="inlineStr">
        <is>
          <t>worker/src/routes/hr/office.ts</t>
        </is>
      </c>
      <c r="O338" s="8" t="n">
        <v>9</v>
      </c>
      <c r="P338" s="8" t="inlineStr">
        <is>
          <t>appointments
call_log
courier_log
designations
employees
students
users
visitor_blocklist
visitors</t>
        </is>
      </c>
      <c r="Q338" s="8" t="inlineStr"/>
      <c r="R338" s="8" t="inlineStr"/>
      <c r="S338" s="8" t="inlineStr">
        <is>
          <t>Visitors on the premises, appointments booked, calls taken and post in and out, the four registers the front desk keeps, on one screen.</t>
        </is>
      </c>
    </row>
    <row r="339">
      <c r="A339" s="8" t="inlineStr">
        <is>
          <t>Receptionist / Front Office</t>
        </is>
      </c>
      <c r="B339" s="8" t="inlineStr">
        <is>
          <t>Front Desk</t>
        </is>
      </c>
      <c r="C339" s="8" t="inlineStr">
        <is>
          <t>Front Desk</t>
        </is>
      </c>
      <c r="D339" s="8" t="inlineStr">
        <is>
          <t>Front desk</t>
        </is>
      </c>
      <c r="E339" s="11" t="inlineStr">
        <is>
          <t>Good</t>
        </is>
      </c>
      <c r="F339" s="8" t="inlineStr">
        <is>
          <t>core</t>
        </is>
      </c>
      <c r="G339" s="8" t="inlineStr">
        <is>
          <t>Must-Have</t>
        </is>
      </c>
      <c r="H339" s="8" t="inlineStr">
        <is>
          <t>institution</t>
        </is>
      </c>
      <c r="I339" s="8" t="inlineStr">
        <is>
          <t>front_office.front_desk.front_desk</t>
        </is>
      </c>
      <c r="J339" s="8" t="inlineStr">
        <is>
          <t>web/src/features/admissions/FrontDesk.tsx</t>
        </is>
      </c>
      <c r="K339" s="8" t="inlineStr"/>
      <c r="L339" s="8" t="n">
        <v>7</v>
      </c>
      <c r="M339" s="8" t="inlineStr">
        <is>
          <t>/office/appointments
/office/blocklist
/office/calls
/office/courier
/office/staff
/office/visitors
/office/visitors/{}/out</t>
        </is>
      </c>
      <c r="N339" s="8" t="inlineStr">
        <is>
          <t>worker/src/routes/hr/office.ts</t>
        </is>
      </c>
      <c r="O339" s="8" t="n">
        <v>9</v>
      </c>
      <c r="P339" s="8" t="inlineStr">
        <is>
          <t>appointments
call_log
courier_log
designations
employees
students
users
visitor_blocklist
visitors</t>
        </is>
      </c>
      <c r="Q339" s="8" t="inlineStr"/>
      <c r="R339" s="8" t="inlineStr"/>
      <c r="S339" s="8" t="inlineStr">
        <is>
          <t>Visitors on the premises, appointments booked, calls taken and post in and out, the four registers the front desk keeps, on one screen.</t>
        </is>
      </c>
    </row>
    <row r="340">
      <c r="A340" s="8" t="inlineStr">
        <is>
          <t>Receptionist / Front Office</t>
        </is>
      </c>
      <c r="B340" s="8" t="inlineStr">
        <is>
          <t>Communication</t>
        </is>
      </c>
      <c r="C340" s="8" t="inlineStr">
        <is>
          <t>Communication</t>
        </is>
      </c>
      <c r="D340" s="8" t="inlineStr">
        <is>
          <t>Messages</t>
        </is>
      </c>
      <c r="E340" s="11" t="inlineStr">
        <is>
          <t>Good</t>
        </is>
      </c>
      <c r="F340" s="8" t="inlineStr">
        <is>
          <t>core</t>
        </is>
      </c>
      <c r="G340" s="8" t="inlineStr">
        <is>
          <t>Must-Have</t>
        </is>
      </c>
      <c r="H340" s="8" t="inlineStr">
        <is>
          <t>institution</t>
        </is>
      </c>
      <c r="I340" s="8" t="inlineStr">
        <is>
          <t>front_office.communication.messages</t>
        </is>
      </c>
      <c r="J340" s="8" t="inlineStr">
        <is>
          <t>web/src/features/comms/StaffMessages.tsx</t>
        </is>
      </c>
      <c r="K340" s="8" t="inlineStr"/>
      <c r="L340" s="8" t="n">
        <v>12</v>
      </c>
      <c r="M340" s="8" t="inlineStr">
        <is>
          <t>/chat/messages/{}
/chat/parent-thread/read
/chat/staff-thread/read
/files
/files/{}
/portal/messages
/staff-messages
/staff-messages/threads
… +4 more</t>
        </is>
      </c>
      <c r="N340" s="8" t="inlineStr">
        <is>
          <t>worker/src/routes/misc/chat.ts
worker/src/routes/misc/files.ts
worker/src/routes/portal/requests.ts
worker/src/routes/teaching/dashboards.ts</t>
        </is>
      </c>
      <c r="O340" s="8" t="n">
        <v>60</v>
      </c>
      <c r="P340" s="8" t="inlineStr">
        <is>
          <t>academic_years
announcement_acks
announcements
application_documents
applications
certificate_types
class_subjects
classes
departments
designations
… +50 more</t>
        </is>
      </c>
      <c r="Q340" s="8" t="inlineStr">
        <is>
          <t>live.test.ts</t>
        </is>
      </c>
      <c r="R340" s="8" t="inlineStr"/>
      <c r="S340" s="8" t="inlineStr">
        <is>
          <t>One colleague at a time. The staff address book, and the thread you have with each of them, for asking the office or a class teacher something, rather than sending a notice to the school.</t>
        </is>
      </c>
    </row>
    <row r="341">
      <c r="A341" s="8" t="inlineStr">
        <is>
          <t>Receptionist / Front Office</t>
        </is>
      </c>
      <c r="B341" s="8" t="inlineStr">
        <is>
          <t>My Profile</t>
        </is>
      </c>
      <c r="C341" s="8" t="inlineStr">
        <is>
          <t>My Profile</t>
        </is>
      </c>
      <c r="D341" s="8" t="inlineStr">
        <is>
          <t>My pay</t>
        </is>
      </c>
      <c r="E341" s="10" t="inlineStr">
        <is>
          <t>Check</t>
        </is>
      </c>
      <c r="F341" s="8" t="inlineStr">
        <is>
          <t>core</t>
        </is>
      </c>
      <c r="G341" s="8" t="inlineStr">
        <is>
          <t>Must-Have</t>
        </is>
      </c>
      <c r="H341" s="8" t="inlineStr">
        <is>
          <t>self</t>
        </is>
      </c>
      <c r="I341" s="8" t="inlineStr">
        <is>
          <t>front_office.my_profile.my_pay</t>
        </is>
      </c>
      <c r="J341" s="8" t="inlineStr">
        <is>
          <t>web/src/features/me/MyPay.tsx</t>
        </is>
      </c>
      <c r="K341" s="8" t="inlineStr"/>
      <c r="L341" s="8" t="n">
        <v>1</v>
      </c>
      <c r="M341" s="8" t="inlineStr">
        <is>
          <t>/me/pay</t>
        </is>
      </c>
      <c r="N341" s="8" t="inlineStr">
        <is>
          <t>worker/src/routes/daily.ts</t>
        </is>
      </c>
      <c r="O341" s="8" t="n">
        <v>51</v>
      </c>
      <c r="P341" s="8" t="inlineStr">
        <is>
          <t>absence_followup_section_done
academic_years
applications
attendance_corrections
bell_schedules
board_memberships
campuses
class_subjects
classes
departments
… +41 more</t>
        </is>
      </c>
      <c r="Q341" s="8" t="inlineStr"/>
      <c r="R341" s="8" t="inlineStr">
        <is>
          <t>1 step(s) in its backend files answer "not ported" (see Not ported tab).</t>
        </is>
      </c>
      <c r="S341" s="8" t="inlineStr">
        <is>
          <t>Your own payslips month by month, what was taken off and how much of it was tax, the days you were marked present, and the leave you have left. Only ever your own.</t>
        </is>
      </c>
    </row>
    <row r="342">
      <c r="A342" s="8" t="inlineStr">
        <is>
          <t>HR &amp; Payroll</t>
        </is>
      </c>
      <c r="B342" s="8" t="inlineStr">
        <is>
          <t>Home</t>
        </is>
      </c>
      <c r="C342" s="8" t="inlineStr">
        <is>
          <t>Home</t>
        </is>
      </c>
      <c r="D342" s="8" t="inlineStr">
        <is>
          <t>Dashboard</t>
        </is>
      </c>
      <c r="E342" s="11" t="inlineStr">
        <is>
          <t>Good</t>
        </is>
      </c>
      <c r="F342" s="8" t="inlineStr">
        <is>
          <t>core</t>
        </is>
      </c>
      <c r="G342" s="8" t="inlineStr">
        <is>
          <t>Must-Have</t>
        </is>
      </c>
      <c r="H342" s="8" t="inlineStr">
        <is>
          <t>institution</t>
        </is>
      </c>
      <c r="I342" s="8" t="inlineStr">
        <is>
          <t>hr.home.dashboard</t>
        </is>
      </c>
      <c r="J342" s="8" t="inlineStr">
        <is>
          <t>web/src/features/hr/Dashboard.tsx</t>
        </is>
      </c>
      <c r="K342" s="8" t="inlineStr">
        <is>
          <t>web/src/features/bento/HRMorning.tsx</t>
        </is>
      </c>
      <c r="L342" s="8" t="n">
        <v>4</v>
      </c>
      <c r="M342" s="8" t="inlineStr">
        <is>
          <t>/hr/dashboard
/metrics
/metrics/{}
/portal/preferences/display</t>
        </is>
      </c>
      <c r="N342" s="8" t="inlineStr">
        <is>
          <t>worker/src/routes/admin/metrics.ts
worker/src/routes/hr/staff.ts
worker/src/routes/portal/life.ts</t>
        </is>
      </c>
      <c r="O342" s="8" t="n">
        <v>65</v>
      </c>
      <c r="P342" s="8" t="inlineStr">
        <is>
          <t>academic_years
applications
audit_log
biometric_devices
branding_profiles
certificate_types
class_subjects
classes
club_events
departments
… +55 more</t>
        </is>
      </c>
      <c r="Q342" s="8" t="inlineStr">
        <is>
          <t>edge.test.ts</t>
        </is>
      </c>
      <c r="R342" s="8" t="inlineStr"/>
      <c r="S342" s="8" t="inlineStr">
        <is>
          <t>Who is away today and whose classes need covering, what paperwork is lapsing or missing, and the three jobs a day is mostly made of.</t>
        </is>
      </c>
    </row>
    <row r="343">
      <c r="A343" s="8" t="inlineStr">
        <is>
          <t>HR &amp; Payroll</t>
        </is>
      </c>
      <c r="B343" s="8" t="inlineStr">
        <is>
          <t>Attendance &amp; Leave</t>
        </is>
      </c>
      <c r="C343" s="8" t="inlineStr">
        <is>
          <t>Attendance</t>
        </is>
      </c>
      <c r="D343" s="8" t="inlineStr">
        <is>
          <t>Staff register</t>
        </is>
      </c>
      <c r="E343" s="10" t="inlineStr">
        <is>
          <t>Check</t>
        </is>
      </c>
      <c r="F343" s="8" t="inlineStr">
        <is>
          <t>core</t>
        </is>
      </c>
      <c r="G343" s="8" t="inlineStr">
        <is>
          <t>Must-Have</t>
        </is>
      </c>
      <c r="H343" s="8" t="inlineStr">
        <is>
          <t>institution</t>
        </is>
      </c>
      <c r="I343" s="8" t="inlineStr">
        <is>
          <t>hr.attendance.staff_register</t>
        </is>
      </c>
      <c r="J343" s="8" t="inlineStr">
        <is>
          <t>web/src/features/hr/StaffAttendance.tsx</t>
        </is>
      </c>
      <c r="K343" s="8" t="inlineStr"/>
      <c r="L343" s="8" t="n">
        <v>9</v>
      </c>
      <c r="M343" s="8" t="inlineStr">
        <is>
          <t>/setup/import/history
/setup/import/history/{}/content
/setup/import/history/{}/undo
/setup/import/{}
/setup/import/{}/fields
/setup/import/{}/template
/setup/logins/bulk
/workflow/staff-attendance
… +1 more</t>
        </is>
      </c>
      <c r="N343" s="8" t="inlineStr">
        <is>
          <t>worker/src/routes/daily.ts
worker/src/routes/setup/imports.ts
worker/src/routes/setup/staff.ts</t>
        </is>
      </c>
      <c r="O343" s="8" t="n">
        <v>67</v>
      </c>
      <c r="P343" s="8" t="inlineStr">
        <is>
          <t>absence_followup_section_done
academic_years
applications
attendance_corrections
bell_schedules
biometric_devices
biometric_punches
board_memberships
campuses
certificate_types
… +57 more</t>
        </is>
      </c>
      <c r="Q343" s="8" t="inlineStr">
        <is>
          <t>lms_modules.test.ts
lms_nesting.test.ts
lms_progression.test.ts
lms_videos.test.ts
marks_import.test.ts
perf.test.ts
… +1 more</t>
        </is>
      </c>
      <c r="R343" s="8" t="inlineStr">
        <is>
          <t>1 step(s) in its backend files answer "not ported" (see Not ported tab).</t>
        </is>
      </c>
      <c r="S343" s="8" t="inlineStr">
        <is>
          <t>Today's attendance for every active member of staff, marked in one pass.</t>
        </is>
      </c>
    </row>
    <row r="344">
      <c r="A344" s="8" t="inlineStr">
        <is>
          <t>HR &amp; Payroll</t>
        </is>
      </c>
      <c r="B344" s="8" t="inlineStr">
        <is>
          <t>Attendance &amp; Leave</t>
        </is>
      </c>
      <c r="C344" s="8" t="inlineStr">
        <is>
          <t>Attendance</t>
        </is>
      </c>
      <c r="D344" s="8" t="inlineStr">
        <is>
          <t>Biometric Machine Attendance Sync</t>
        </is>
      </c>
      <c r="E344" s="11" t="inlineStr">
        <is>
          <t>Good</t>
        </is>
      </c>
      <c r="F344" s="8" t="inlineStr">
        <is>
          <t>advanced</t>
        </is>
      </c>
      <c r="G344" s="8" t="inlineStr">
        <is>
          <t>Must-Have</t>
        </is>
      </c>
      <c r="H344" s="8" t="inlineStr">
        <is>
          <t>institution</t>
        </is>
      </c>
      <c r="I344" s="8" t="inlineStr">
        <is>
          <t>hr.attendance.biometric_machine_attendance_sync</t>
        </is>
      </c>
      <c r="J344" s="8" t="inlineStr">
        <is>
          <t>web/src/features/communication/BiometricReaders.tsx</t>
        </is>
      </c>
      <c r="K344" s="8" t="inlineStr"/>
      <c r="L344" s="8" t="n">
        <v>2</v>
      </c>
      <c r="M344" s="8" t="inlineStr">
        <is>
          <t>/setup/biometric-devices
/setup/biometric-devices/unclaimed</t>
        </is>
      </c>
      <c r="N344" s="8" t="inlineStr">
        <is>
          <t>worker/src/routes/setup/staff.ts</t>
        </is>
      </c>
      <c r="O344" s="8" t="n">
        <v>22</v>
      </c>
      <c r="P344" s="8" t="inlineStr">
        <is>
          <t>biometric_devices
biometric_punches
class_subjects
classes
departments
designations
employee_documents
employees
enrollments
guardians
… +12 more</t>
        </is>
      </c>
      <c r="Q344" s="8" t="inlineStr"/>
      <c r="R344" s="8" t="inlineStr"/>
      <c r="S344" s="8" t="inlineStr">
        <is>
          <t>Real-time automated fetch of staff check-in/out logs from biometric hardware.</t>
        </is>
      </c>
    </row>
    <row r="345">
      <c r="A345" s="8" t="inlineStr">
        <is>
          <t>HR &amp; Payroll</t>
        </is>
      </c>
      <c r="B345" s="8" t="inlineStr">
        <is>
          <t>Attendance &amp; Leave</t>
        </is>
      </c>
      <c r="C345" s="8" t="inlineStr">
        <is>
          <t>Attendance</t>
        </is>
      </c>
      <c r="D345" s="8" t="inlineStr">
        <is>
          <t>Biometric Punch In/Out Grace Period</t>
        </is>
      </c>
      <c r="E345" s="11" t="inlineStr">
        <is>
          <t>Good</t>
        </is>
      </c>
      <c r="F345" s="8" t="inlineStr">
        <is>
          <t>advanced</t>
        </is>
      </c>
      <c r="G345" s="8" t="inlineStr">
        <is>
          <t>Must-Have</t>
        </is>
      </c>
      <c r="H345" s="8" t="inlineStr">
        <is>
          <t>institution</t>
        </is>
      </c>
      <c r="I345" s="8" t="inlineStr">
        <is>
          <t>hr.attendance.biometric_punch_in_out_grace_period</t>
        </is>
      </c>
      <c r="J345" s="8" t="inlineStr">
        <is>
          <t>web/src/features/hr/PunchGrace.tsx</t>
        </is>
      </c>
      <c r="K345" s="8" t="inlineStr"/>
      <c r="L345" s="8" t="n">
        <v>1</v>
      </c>
      <c r="M345" s="8" t="inlineStr">
        <is>
          <t>/hr/punch-grace</t>
        </is>
      </c>
      <c r="N345" s="8" t="inlineStr">
        <is>
          <t>worker/src/routes/hr/staff.ts</t>
        </is>
      </c>
      <c r="O345" s="8" t="n">
        <v>33</v>
      </c>
      <c r="P345" s="8" t="inlineStr">
        <is>
          <t>audit_log
biometric_devices
branding_profiles
certificate_types
class_subjects
classes
departments
designations
employee_documents
employee_year_history
… +23 more</t>
        </is>
      </c>
      <c r="Q345" s="8" t="inlineStr"/>
      <c r="R345" s="8" t="inlineStr"/>
      <c r="S345" s="8" t="inlineStr">
        <is>
          <t>Configure 10-minute grace windows for morning staff check-in before triggering late mark deductions.</t>
        </is>
      </c>
    </row>
    <row r="346">
      <c r="A346" s="8" t="inlineStr">
        <is>
          <t>HR &amp; Payroll</t>
        </is>
      </c>
      <c r="B346" s="8" t="inlineStr">
        <is>
          <t>Attendance &amp; Leave</t>
        </is>
      </c>
      <c r="C346" s="8" t="inlineStr">
        <is>
          <t>Attendance</t>
        </is>
      </c>
      <c r="D346" s="8" t="inlineStr">
        <is>
          <t>Staff Working Hours</t>
        </is>
      </c>
      <c r="E346" s="11" t="inlineStr">
        <is>
          <t>Good</t>
        </is>
      </c>
      <c r="F346" s="8" t="inlineStr">
        <is>
          <t>core</t>
        </is>
      </c>
      <c r="G346" s="8" t="inlineStr">
        <is>
          <t>Must-Have</t>
        </is>
      </c>
      <c r="H346" s="8" t="inlineStr">
        <is>
          <t>institution</t>
        </is>
      </c>
      <c r="I346" s="8" t="inlineStr">
        <is>
          <t>hr.attendance.staff_working_hours</t>
        </is>
      </c>
      <c r="J346" s="8" t="inlineStr">
        <is>
          <t>web/src/features/hr/WorkPatterns.tsx</t>
        </is>
      </c>
      <c r="K346" s="8" t="inlineStr"/>
      <c r="L346" s="8" t="n">
        <v>5</v>
      </c>
      <c r="M346" s="8" t="inlineStr">
        <is>
          <t>/setup/departments
/setup/work-patterns
/setup/work-patterns/assign
/setup/work-patterns/staff
/setup/work-patterns/{}</t>
        </is>
      </c>
      <c r="N346" s="8" t="inlineStr">
        <is>
          <t>worker/src/routes/setup/staff.ts</t>
        </is>
      </c>
      <c r="O346" s="8" t="n">
        <v>22</v>
      </c>
      <c r="P346" s="8" t="inlineStr">
        <is>
          <t>biometric_devices
biometric_punches
class_subjects
classes
departments
designations
employee_documents
employees
enrollments
guardians
… +12 more</t>
        </is>
      </c>
      <c r="Q346" s="8" t="inlineStr"/>
      <c r="R346" s="8" t="inlineStr"/>
      <c r="S346" s="8" t="inlineStr">
        <is>
          <t>The hours this school expects, named by the school and assigned to a department or a person: teaching, office and transport rarely start together. Each set says what counts as a full day, when somebody is late, and how -- or whether -- the school cuts pay for a day lost.</t>
        </is>
      </c>
    </row>
    <row r="347">
      <c r="A347" s="8" t="inlineStr">
        <is>
          <t>HR &amp; Payroll</t>
        </is>
      </c>
      <c r="B347" s="8" t="inlineStr">
        <is>
          <t>Attendance &amp; Leave</t>
        </is>
      </c>
      <c r="C347" s="8" t="inlineStr">
        <is>
          <t>Attendance</t>
        </is>
      </c>
      <c r="D347" s="8" t="inlineStr">
        <is>
          <t>Staff Hours This Month</t>
        </is>
      </c>
      <c r="E347" s="11" t="inlineStr">
        <is>
          <t>Good</t>
        </is>
      </c>
      <c r="F347" s="8" t="inlineStr">
        <is>
          <t>core</t>
        </is>
      </c>
      <c r="G347" s="8" t="inlineStr">
        <is>
          <t>Must-Have</t>
        </is>
      </c>
      <c r="H347" s="8" t="inlineStr">
        <is>
          <t>institution</t>
        </is>
      </c>
      <c r="I347" s="8" t="inlineStr">
        <is>
          <t>hr.attendance.staff_hours_this_month</t>
        </is>
      </c>
      <c r="J347" s="8" t="inlineStr">
        <is>
          <t>web/src/features/hr/StaffHours.tsx</t>
        </is>
      </c>
      <c r="K347" s="8" t="inlineStr"/>
      <c r="L347" s="8" t="n">
        <v>2</v>
      </c>
      <c r="M347" s="8" t="inlineStr">
        <is>
          <t>/setup/staff-hours
/setup/staff-hours/{}</t>
        </is>
      </c>
      <c r="N347" s="8" t="inlineStr">
        <is>
          <t>worker/src/routes/setup/staff.ts</t>
        </is>
      </c>
      <c r="O347" s="8" t="n">
        <v>22</v>
      </c>
      <c r="P347" s="8" t="inlineStr">
        <is>
          <t>biometric_devices
biometric_punches
class_subjects
classes
departments
designations
employee_documents
employees
enrollments
guardians
… +12 more</t>
        </is>
      </c>
      <c r="Q347" s="8" t="inlineStr"/>
      <c r="R347" s="8" t="inlineStr"/>
      <c r="S347" s="8" t="inlineStr">
        <is>
          <t>One month of the fingerprint readers read against each person's own expected hours: days worked, half days, late arrivals, early departures, and the loss of pay that follows under the school's own rule -- with the rule named beside the figure.</t>
        </is>
      </c>
    </row>
    <row r="348">
      <c r="A348" s="8" t="inlineStr">
        <is>
          <t>HR &amp; Payroll</t>
        </is>
      </c>
      <c r="B348" s="8" t="inlineStr">
        <is>
          <t>Attendance &amp; Leave</t>
        </is>
      </c>
      <c r="C348" s="8" t="inlineStr">
        <is>
          <t>Attendance</t>
        </is>
      </c>
      <c r="D348" s="8" t="inlineStr">
        <is>
          <t>Staff duty roster</t>
        </is>
      </c>
      <c r="E348" s="11" t="inlineStr">
        <is>
          <t>Good</t>
        </is>
      </c>
      <c r="F348" s="8" t="inlineStr">
        <is>
          <t>core</t>
        </is>
      </c>
      <c r="G348" s="8" t="inlineStr">
        <is>
          <t>Should-Have</t>
        </is>
      </c>
      <c r="H348" s="8" t="inlineStr">
        <is>
          <t>institution</t>
        </is>
      </c>
      <c r="I348" s="8" t="inlineStr">
        <is>
          <t>hr.attendance.staff_duty_roster</t>
        </is>
      </c>
      <c r="J348" s="8" t="inlineStr">
        <is>
          <t>web/src/features/hr/Rostering.tsx</t>
        </is>
      </c>
      <c r="K348" s="8" t="inlineStr"/>
      <c r="L348" s="8" t="n">
        <v>6</v>
      </c>
      <c r="M348" s="8" t="inlineStr">
        <is>
          <t>/hr-growth/roster
/hr-growth/roster/conflicts
/hr-growth/roster/fairness
/hr-growth/roster/shifts
/hr-growth/roster/{}/cancel
/hr/employees</t>
        </is>
      </c>
      <c r="N348" s="8" t="inlineStr">
        <is>
          <t>worker/src/routes/growth/hr_training.ts
worker/src/routes/hr/staff.ts</t>
        </is>
      </c>
      <c r="O348" s="8" t="n">
        <v>41</v>
      </c>
      <c r="P348" s="8" t="inlineStr">
        <is>
          <t>academic_years
audit_log
biometric_devices
branding_profiles
certificate_types
class_subjects
classes
departments
designations
duty_assignments
… +31 more</t>
        </is>
      </c>
      <c r="Q348" s="8" t="inlineStr"/>
      <c r="R348" s="8" t="inlineStr"/>
      <c r="S348" s="8" t="inlineStr">
        <is>
          <t>Assign staff to campus duties - gate, ground, exam supervision, bus escort, library and lab. You are warned if a duty clashes with a lesson they teach.</t>
        </is>
      </c>
    </row>
    <row r="349">
      <c r="A349" s="8" t="inlineStr">
        <is>
          <t>HR &amp; Payroll</t>
        </is>
      </c>
      <c r="B349" s="8" t="inlineStr">
        <is>
          <t>Attendance &amp; Leave</t>
        </is>
      </c>
      <c r="C349" s="8" t="inlineStr">
        <is>
          <t>Leave</t>
        </is>
      </c>
      <c r="D349" s="8" t="inlineStr">
        <is>
          <t>Leave</t>
        </is>
      </c>
      <c r="E349" s="10" t="inlineStr">
        <is>
          <t>Check</t>
        </is>
      </c>
      <c r="F349" s="8" t="inlineStr">
        <is>
          <t>core</t>
        </is>
      </c>
      <c r="G349" s="8" t="inlineStr">
        <is>
          <t>Should-Have</t>
        </is>
      </c>
      <c r="H349" s="8" t="inlineStr">
        <is>
          <t>institution</t>
        </is>
      </c>
      <c r="I349" s="8" t="inlineStr">
        <is>
          <t>hr.leave.leave</t>
        </is>
      </c>
      <c r="J349" s="8" t="inlineStr">
        <is>
          <t>web/src/features/hr/Leave.tsx</t>
        </is>
      </c>
      <c r="K349" s="8" t="inlineStr"/>
      <c r="L349" s="8" t="n">
        <v>13</v>
      </c>
      <c r="M349" s="8" t="inlineStr">
        <is>
          <t>/ai/briefs/principal
/ai/briefs/student/{}
/ai/draft
/ai/status
/ai/translate
/attendance/nudge
/attention
/hr/leave
… +5 more</t>
        </is>
      </c>
      <c r="N349" s="8" t="inlineStr">
        <is>
          <t>worker/src/routes/admin/loose.ts
worker/src/routes/ai/briefs.ts
worker/src/routes/ai/drafting.ts
worker/src/routes/daily.ts
worker/src/routes/hr/staff.ts
worker/src/routes/setup/staff.ts</t>
        </is>
      </c>
      <c r="O349" s="8" t="n">
        <v>76</v>
      </c>
      <c r="P349" s="8" t="inlineStr">
        <is>
          <t>absence_followup_section_done
academic_years
api_keys
applications
attendance_corrections
audit_log
bell_schedules
biometric_devices
biometric_punches
board_memberships
… +66 more</t>
        </is>
      </c>
      <c r="Q349" s="8" t="inlineStr">
        <is>
          <t>admissions_crm.test.ts
ai_briefs.test.ts
edge.test.ts</t>
        </is>
      </c>
      <c r="R349" s="8" t="inlineStr">
        <is>
          <t>2 step(s) in its backend files answer "not ported" (see Not ported tab).</t>
        </is>
      </c>
      <c r="S349" s="8" t="inlineStr">
        <is>
          <t>Leave balances, requests, approvals and holiday calendar.</t>
        </is>
      </c>
    </row>
    <row r="350">
      <c r="A350" s="8" t="inlineStr">
        <is>
          <t>HR &amp; Payroll</t>
        </is>
      </c>
      <c r="B350" s="8" t="inlineStr">
        <is>
          <t>Attendance &amp; Leave</t>
        </is>
      </c>
      <c r="C350" s="8" t="inlineStr">
        <is>
          <t>Leave</t>
        </is>
      </c>
      <c r="D350" s="8" t="inlineStr">
        <is>
          <t>Leave rules</t>
        </is>
      </c>
      <c r="E350" s="11" t="inlineStr">
        <is>
          <t>Good</t>
        </is>
      </c>
      <c r="F350" s="8" t="inlineStr">
        <is>
          <t>core</t>
        </is>
      </c>
      <c r="G350" s="8" t="inlineStr">
        <is>
          <t>Should-Have</t>
        </is>
      </c>
      <c r="H350" s="8" t="inlineStr">
        <is>
          <t>institution</t>
        </is>
      </c>
      <c r="I350" s="8" t="inlineStr">
        <is>
          <t>hr.leave.leave_rules</t>
        </is>
      </c>
      <c r="J350" s="8" t="inlineStr">
        <is>
          <t>web/src/features/hr/LeavePolicy.tsx</t>
        </is>
      </c>
      <c r="K350" s="8" t="inlineStr"/>
      <c r="L350" s="8" t="n">
        <v>4</v>
      </c>
      <c r="M350" s="8" t="inlineStr">
        <is>
          <t>/hr/leave-policy
/hr/leave-types
/hr/leave-types/{}
/hr/lop</t>
        </is>
      </c>
      <c r="N350" s="8" t="inlineStr">
        <is>
          <t>worker/src/routes/hr/lifecycle.ts
worker/src/routes/hr/staff.ts</t>
        </is>
      </c>
      <c r="O350" s="8" t="n">
        <v>43</v>
      </c>
      <c r="P350" s="8" t="inlineStr">
        <is>
          <t>audit_log
background_verifications
biometric_devices
branding_profiles
campuses
certificate_types
class_subjects
classes
clearance_departments
departments
… +33 more</t>
        </is>
      </c>
      <c r="Q350" s="8" t="inlineStr"/>
      <c r="R350" s="8" t="inlineStr"/>
      <c r="S350" s="8" t="inlineStr">
        <is>
          <t>The rules leave is decided by: how much of each type staff get a year, what counts as a late arrival and when it becomes loss of pay, and how a half day is deducted. Set once; every leave request and every payslip follows it.</t>
        </is>
      </c>
    </row>
    <row r="351">
      <c r="A351" s="8" t="inlineStr">
        <is>
          <t>HR &amp; Payroll</t>
        </is>
      </c>
      <c r="B351" s="8" t="inlineStr">
        <is>
          <t>People</t>
        </is>
      </c>
      <c r="C351" s="8" t="inlineStr">
        <is>
          <t>Hiring &amp; Training</t>
        </is>
      </c>
      <c r="D351" s="8" t="inlineStr">
        <is>
          <t>Staff hiring</t>
        </is>
      </c>
      <c r="E351" s="11" t="inlineStr">
        <is>
          <t>Good</t>
        </is>
      </c>
      <c r="F351" s="8" t="inlineStr">
        <is>
          <t>core</t>
        </is>
      </c>
      <c r="G351" s="8" t="inlineStr">
        <is>
          <t>Should-Have</t>
        </is>
      </c>
      <c r="H351" s="8" t="inlineStr">
        <is>
          <t>institution</t>
        </is>
      </c>
      <c r="I351" s="8" t="inlineStr">
        <is>
          <t>hr.hiring_training.staff_hiring</t>
        </is>
      </c>
      <c r="J351" s="8" t="inlineStr">
        <is>
          <t>web/src/features/hr/Recruitment.tsx</t>
        </is>
      </c>
      <c r="K351" s="8" t="inlineStr"/>
      <c r="L351" s="8" t="n">
        <v>11</v>
      </c>
      <c r="M351" s="8" t="inlineStr">
        <is>
          <t>/hr-growth/candidates
/hr-growth/candidates/{}/hire
/hr-growth/candidates/{}/stage
/hr-growth/designations
/hr-growth/interviews
/hr-growth/interviews/{}/result
/hr-growth/offers
/hr-growth/offers/{}/respond
… +3 more</t>
        </is>
      </c>
      <c r="N351" s="8" t="inlineStr">
        <is>
          <t>worker/src/routes/growth/hr_recruit.ts</t>
        </is>
      </c>
      <c r="O351" s="8" t="n">
        <v>12</v>
      </c>
      <c r="P351" s="8" t="inlineStr">
        <is>
          <t>classes
departments
designations
employees
job_candidate_events
job_candidates
job_interviews
job_offers
job_vacancies
sections
… +2 more</t>
        </is>
      </c>
      <c r="Q351" s="8" t="inlineStr"/>
      <c r="R351" s="8" t="inlineStr"/>
      <c r="S351" s="8" t="inlineStr">
        <is>
          <t>Create job openings, track the people who apply and the demo lesson that decides, and turn a hire into a staff record without anybody typing the details a second time.</t>
        </is>
      </c>
    </row>
    <row r="352">
      <c r="A352" s="8" t="inlineStr">
        <is>
          <t>HR &amp; Payroll</t>
        </is>
      </c>
      <c r="B352" s="8" t="inlineStr">
        <is>
          <t>People</t>
        </is>
      </c>
      <c r="C352" s="8" t="inlineStr">
        <is>
          <t>Hiring &amp; Training</t>
        </is>
      </c>
      <c r="D352" s="8" t="inlineStr">
        <is>
          <t>Staff performance reviews</t>
        </is>
      </c>
      <c r="E352" s="11" t="inlineStr">
        <is>
          <t>Good</t>
        </is>
      </c>
      <c r="F352" s="8" t="inlineStr">
        <is>
          <t>core</t>
        </is>
      </c>
      <c r="G352" s="8" t="inlineStr">
        <is>
          <t>Must-Have</t>
        </is>
      </c>
      <c r="H352" s="8" t="inlineStr">
        <is>
          <t>institution</t>
        </is>
      </c>
      <c r="I352" s="8" t="inlineStr">
        <is>
          <t>hr.hiring_training.staff_performance_reviews</t>
        </is>
      </c>
      <c r="J352" s="8" t="inlineStr">
        <is>
          <t>web/src/features/hr/Appraisal.tsx</t>
        </is>
      </c>
      <c r="K352" s="8" t="inlineStr"/>
      <c r="L352" s="8" t="n">
        <v>9</v>
      </c>
      <c r="M352" s="8" t="inlineStr">
        <is>
          <t>/hr-growth/appraisal/cycles
/hr-growth/appraisal/kpis
/hr-growth/appraisal/records
/hr-growth/appraisal/records/{}
/hr-growth/appraisal/records/{}/discussion
/hr-growth/appraisal/records/{}/moderate
/hr-growth/appraisal/records/{}/publish
/hr-growth/appraisal/records/{}/review
… +1 more</t>
        </is>
      </c>
      <c r="N352" s="8" t="inlineStr">
        <is>
          <t>worker/src/routes/growth/hr_appraisal.ts
worker/src/routes/growth/hr_recruit.ts</t>
        </is>
      </c>
      <c r="O352" s="8" t="n">
        <v>17</v>
      </c>
      <c r="P352" s="8" t="inlineStr">
        <is>
          <t>academic_years
appraisal_cycles
appraisal_kpis
appraisal_ratings
appraisals
classes
departments
designations
employees
job_candidate_events
… +7 more</t>
        </is>
      </c>
      <c r="Q352" s="8" t="inlineStr"/>
      <c r="R352" s="8" t="inlineStr"/>
      <c r="S352" s="8" t="inlineStr">
        <is>
          <t>Set up the yearly review cycle for teachers and staff: the scoring scale, when self-assessments are due and when the principal's review is due. Scores are kept on the staff member's record.</t>
        </is>
      </c>
    </row>
    <row r="353">
      <c r="A353" s="8" t="inlineStr">
        <is>
          <t>HR &amp; Payroll</t>
        </is>
      </c>
      <c r="B353" s="8" t="inlineStr">
        <is>
          <t>People</t>
        </is>
      </c>
      <c r="C353" s="8" t="inlineStr">
        <is>
          <t>Hiring &amp; Training</t>
        </is>
      </c>
      <c r="D353" s="8" t="inlineStr">
        <is>
          <t>Staff training &amp; development</t>
        </is>
      </c>
      <c r="E353" s="11" t="inlineStr">
        <is>
          <t>Good</t>
        </is>
      </c>
      <c r="F353" s="8" t="inlineStr">
        <is>
          <t>core</t>
        </is>
      </c>
      <c r="G353" s="8" t="inlineStr">
        <is>
          <t>Should-Have</t>
        </is>
      </c>
      <c r="H353" s="8" t="inlineStr">
        <is>
          <t>institution</t>
        </is>
      </c>
      <c r="I353" s="8" t="inlineStr">
        <is>
          <t>hr.hiring_training.staff_training_development</t>
        </is>
      </c>
      <c r="J353" s="8" t="inlineStr">
        <is>
          <t>web/src/features/hr/Training.tsx</t>
        </is>
      </c>
      <c r="K353" s="8" t="inlineStr"/>
      <c r="L353" s="8" t="n">
        <v>4</v>
      </c>
      <c r="M353" s="8" t="inlineStr">
        <is>
          <t>/hr-growth/training/compliance
/hr-growth/training/programmes
/hr-growth/training/records
/hr-growth/training/requirements</t>
        </is>
      </c>
      <c r="N353" s="8" t="inlineStr">
        <is>
          <t>worker/src/routes/growth/hr_training.ts</t>
        </is>
      </c>
      <c r="O353" s="8" t="n">
        <v>14</v>
      </c>
      <c r="P353" s="8" t="inlineStr">
        <is>
          <t>academic_years
departments
designations
duty_assignments
duty_shifts
employees
leave_requests
periods
staff_training_records
teacher_unavailability
… +4 more</t>
        </is>
      </c>
      <c r="Q353" s="8" t="inlineStr"/>
      <c r="R353" s="8" t="inlineStr"/>
      <c r="S353" s="8" t="inlineStr">
        <is>
          <t>The training hours each board requires · CBSE asks fifty a year of teaching staff, and who is short of them, worst first, so the gap is closed before an inspection finds it.</t>
        </is>
      </c>
    </row>
    <row r="354">
      <c r="A354" s="8" t="inlineStr">
        <is>
          <t>HR &amp; Payroll</t>
        </is>
      </c>
      <c r="B354" s="8" t="inlineStr">
        <is>
          <t>Reports</t>
        </is>
      </c>
      <c r="C354" s="8" t="inlineStr">
        <is>
          <t>Reports</t>
        </is>
      </c>
      <c r="D354" s="8" t="inlineStr">
        <is>
          <t>Staff analytics &amp; reports</t>
        </is>
      </c>
      <c r="E354" s="11" t="inlineStr">
        <is>
          <t>Good</t>
        </is>
      </c>
      <c r="F354" s="8" t="inlineStr">
        <is>
          <t>core</t>
        </is>
      </c>
      <c r="G354" s="8" t="inlineStr">
        <is>
          <t>Must-Have</t>
        </is>
      </c>
      <c r="H354" s="8" t="inlineStr">
        <is>
          <t>institution</t>
        </is>
      </c>
      <c r="I354" s="8" t="inlineStr">
        <is>
          <t>hr.reports.staff_analytics_reports</t>
        </is>
      </c>
      <c r="J354" s="8" t="inlineStr">
        <is>
          <t>web/src/features/analytics/HRReports.tsx</t>
        </is>
      </c>
      <c r="K354" s="8" t="inlineStr"/>
      <c r="L354" s="8" t="n">
        <v>6</v>
      </c>
      <c r="M354" s="8" t="inlineStr">
        <is>
          <t>/date-ranges
/rollups/hr/attendance
/rollups/hr/expiries
/rollups/hr/headcount
/rollups/hr/movement
/rollups/hr/workload</t>
        </is>
      </c>
      <c r="N354" s="8" t="inlineStr">
        <is>
          <t>worker/src/routes/growth/rollups.ts
worker/src/routes/misc/shell.ts</t>
        </is>
      </c>
      <c r="O354" s="8" t="n">
        <v>52</v>
      </c>
      <c r="P354" s="8" t="inlineStr">
        <is>
          <t>academic_years
applications
appointments
attendance_corrections
background_verifications
class_subjects
classes
departments
designations
employees
… +42 more</t>
        </is>
      </c>
      <c r="Q354" s="8" t="inlineStr"/>
      <c r="R354" s="8" t="inlineStr"/>
      <c r="S354" s="8" t="inlineStr">
        <is>
          <t>Monthly summaries of staff numbers, who joined and left, attendance and leave, how teaching load is spread, and the papers coming up for renewal.</t>
        </is>
      </c>
    </row>
    <row r="355">
      <c r="A355" s="8" t="inlineStr">
        <is>
          <t>HR &amp; Payroll</t>
        </is>
      </c>
      <c r="B355" s="8" t="inlineStr">
        <is>
          <t>Communication</t>
        </is>
      </c>
      <c r="C355" s="8" t="inlineStr">
        <is>
          <t>Communication</t>
        </is>
      </c>
      <c r="D355" s="8" t="inlineStr">
        <is>
          <t>Messages</t>
        </is>
      </c>
      <c r="E355" s="11" t="inlineStr">
        <is>
          <t>Good</t>
        </is>
      </c>
      <c r="F355" s="8" t="inlineStr">
        <is>
          <t>core</t>
        </is>
      </c>
      <c r="G355" s="8" t="inlineStr">
        <is>
          <t>Must-Have</t>
        </is>
      </c>
      <c r="H355" s="8" t="inlineStr">
        <is>
          <t>institution</t>
        </is>
      </c>
      <c r="I355" s="8" t="inlineStr">
        <is>
          <t>hr.communication.messages</t>
        </is>
      </c>
      <c r="J355" s="8" t="inlineStr">
        <is>
          <t>web/src/features/comms/StaffMessages.tsx</t>
        </is>
      </c>
      <c r="K355" s="8" t="inlineStr"/>
      <c r="L355" s="8" t="n">
        <v>12</v>
      </c>
      <c r="M355" s="8" t="inlineStr">
        <is>
          <t>/chat/messages/{}
/chat/parent-thread/read
/chat/staff-thread/read
/files
/files/{}
/portal/messages
/staff-messages
/staff-messages/threads
… +4 more</t>
        </is>
      </c>
      <c r="N355" s="8" t="inlineStr">
        <is>
          <t>worker/src/routes/misc/chat.ts
worker/src/routes/misc/files.ts
worker/src/routes/portal/requests.ts
worker/src/routes/teaching/dashboards.ts</t>
        </is>
      </c>
      <c r="O355" s="8" t="n">
        <v>60</v>
      </c>
      <c r="P355" s="8" t="inlineStr">
        <is>
          <t>academic_years
announcement_acks
announcements
application_documents
applications
certificate_types
class_subjects
classes
departments
designations
… +50 more</t>
        </is>
      </c>
      <c r="Q355" s="8" t="inlineStr">
        <is>
          <t>live.test.ts</t>
        </is>
      </c>
      <c r="R355" s="8" t="inlineStr"/>
      <c r="S355" s="8" t="inlineStr">
        <is>
          <t>One colleague at a time. The staff address book, every teacher and every member of staff, and the thread you have with each of them, for asking a class teacher or the office something rather than sending a notice to the school.</t>
        </is>
      </c>
    </row>
    <row r="356">
      <c r="A356" s="8" t="inlineStr">
        <is>
          <t>HR &amp; Payroll</t>
        </is>
      </c>
      <c r="B356" s="8" t="inlineStr">
        <is>
          <t>My Profile</t>
        </is>
      </c>
      <c r="C356" s="8" t="inlineStr">
        <is>
          <t>My Profile</t>
        </is>
      </c>
      <c r="D356" s="8" t="inlineStr">
        <is>
          <t>My pay</t>
        </is>
      </c>
      <c r="E356" s="10" t="inlineStr">
        <is>
          <t>Check</t>
        </is>
      </c>
      <c r="F356" s="8" t="inlineStr">
        <is>
          <t>core</t>
        </is>
      </c>
      <c r="G356" s="8" t="inlineStr">
        <is>
          <t>Must-Have</t>
        </is>
      </c>
      <c r="H356" s="8" t="inlineStr">
        <is>
          <t>self</t>
        </is>
      </c>
      <c r="I356" s="8" t="inlineStr">
        <is>
          <t>hr.my_profile.my_pay</t>
        </is>
      </c>
      <c r="J356" s="8" t="inlineStr">
        <is>
          <t>web/src/features/me/MyPay.tsx</t>
        </is>
      </c>
      <c r="K356" s="8" t="inlineStr"/>
      <c r="L356" s="8" t="n">
        <v>1</v>
      </c>
      <c r="M356" s="8" t="inlineStr">
        <is>
          <t>/me/pay</t>
        </is>
      </c>
      <c r="N356" s="8" t="inlineStr">
        <is>
          <t>worker/src/routes/daily.ts</t>
        </is>
      </c>
      <c r="O356" s="8" t="n">
        <v>51</v>
      </c>
      <c r="P356" s="8" t="inlineStr">
        <is>
          <t>absence_followup_section_done
academic_years
applications
attendance_corrections
bell_schedules
board_memberships
campuses
class_subjects
classes
departments
… +41 more</t>
        </is>
      </c>
      <c r="Q356" s="8" t="inlineStr"/>
      <c r="R356" s="8" t="inlineStr">
        <is>
          <t>1 step(s) in its backend files answer "not ported" (see Not ported tab).</t>
        </is>
      </c>
      <c r="S356" s="8" t="inlineStr">
        <is>
          <t>Your own payslips month by month, what was taken off and how much of it was tax, the days you were marked present, and the leave you have left. Only ever your own.</t>
        </is>
      </c>
    </row>
    <row r="357">
      <c r="A357" s="8" t="inlineStr">
        <is>
          <t>HR &amp; Payroll</t>
        </is>
      </c>
      <c r="B357" s="8" t="inlineStr">
        <is>
          <t>Employees</t>
        </is>
      </c>
      <c r="C357" s="8" t="inlineStr">
        <is>
          <t>Records</t>
        </is>
      </c>
      <c r="D357" s="8" t="inlineStr">
        <is>
          <t>Staff 360</t>
        </is>
      </c>
      <c r="E357" s="10" t="inlineStr">
        <is>
          <t>Check</t>
        </is>
      </c>
      <c r="F357" s="8" t="inlineStr">
        <is>
          <t>core</t>
        </is>
      </c>
      <c r="G357" s="8" t="inlineStr">
        <is>
          <t>Must-Have</t>
        </is>
      </c>
      <c r="H357" s="8" t="inlineStr">
        <is>
          <t>institution</t>
        </is>
      </c>
      <c r="I357" s="8" t="inlineStr">
        <is>
          <t>hr.records.staff_records</t>
        </is>
      </c>
      <c r="J357" s="8" t="inlineStr">
        <is>
          <t>web/src/features/hr/Employees.tsx</t>
        </is>
      </c>
      <c r="K357" s="8" t="inlineStr"/>
      <c r="L357" s="8" t="n">
        <v>36</v>
      </c>
      <c r="M357" s="8" t="inlineStr">
        <is>
          <t>/academics/admin/faculty-allocation
/academics/sections
/admin/assignable-roles
/admin/roles
/attendance/nudge
/attention
/files
/files/{}
… +28 more</t>
        </is>
      </c>
      <c r="N357" s="8" t="inlineStr">
        <is>
          <t>worker/src/routes/academics.ts
worker/src/routes/academics/admin.ts
worker/src/routes/admin/loose.ts
worker/src/routes/admin/users.ts
worker/src/routes/daily.ts
worker/src/routes/growth/hr_recruit.ts
… +6 more</t>
        </is>
      </c>
      <c r="O357" s="8" t="n">
        <v>119</v>
      </c>
      <c r="P357" s="8" t="inlineStr">
        <is>
          <t>absence_followup_section_done
academic_years
activities
alumni_contributions
alumni_event_rsvps
alumni_events
alumni_profiles
api_keys
application_documents
applications
… +109 more</t>
        </is>
      </c>
      <c r="Q357" s="8" t="inlineStr">
        <is>
          <t>documents.test.ts
edge.test.ts
feature_grants.test.ts
lms_modules.test.ts
lms_nesting.test.ts
lms_progression.test.ts
… +4 more</t>
        </is>
      </c>
      <c r="R357" s="8" t="inlineStr">
        <is>
          <t>2 step(s) in its backend files answer "not ported" (see Not ported tab).</t>
        </is>
      </c>
      <c r="S357" s="8" t="inlineStr">
        <is>
          <t>Everyone who works here, in three tabs: the staff list with contact details and sign-in, the documents that are lapsing or missing, and ID card printing for one person or the whole school at once. Adding a new member of staff starts here.</t>
        </is>
      </c>
    </row>
    <row r="358">
      <c r="A358" s="8" t="inlineStr">
        <is>
          <t>HR &amp; Payroll</t>
        </is>
      </c>
      <c r="B358" s="8" t="inlineStr">
        <is>
          <t>Employees</t>
        </is>
      </c>
      <c r="C358" s="8" t="inlineStr">
        <is>
          <t>Records</t>
        </is>
      </c>
      <c r="D358" s="8" t="inlineStr">
        <is>
          <t>Service book &amp; qualifications</t>
        </is>
      </c>
      <c r="E358" s="11" t="inlineStr">
        <is>
          <t>Good</t>
        </is>
      </c>
      <c r="F358" s="8" t="inlineStr">
        <is>
          <t>core</t>
        </is>
      </c>
      <c r="G358" s="8" t="inlineStr">
        <is>
          <t>Should-Have</t>
        </is>
      </c>
      <c r="H358" s="8" t="inlineStr">
        <is>
          <t>institution</t>
        </is>
      </c>
      <c r="I358" s="8" t="inlineStr">
        <is>
          <t>hr.records.service_book_qualifications</t>
        </is>
      </c>
      <c r="J358" s="8" t="inlineStr">
        <is>
          <t>web/src/features/hr/ServiceRecords.tsx</t>
        </is>
      </c>
      <c r="K358" s="8" t="inlineStr"/>
      <c r="L358" s="8" t="n">
        <v>5</v>
      </c>
      <c r="M358" s="8" t="inlineStr">
        <is>
          <t>/hr/background-checks
/hr/medical-fitness
/hr/qualifications
/hr/service-book
/hr/service-book/{}/attest</t>
        </is>
      </c>
      <c r="N358" s="8" t="inlineStr">
        <is>
          <t>worker/src/routes/hr/lifecycle.ts</t>
        </is>
      </c>
      <c r="O358" s="8" t="n">
        <v>21</v>
      </c>
      <c r="P358" s="8" t="inlineStr">
        <is>
          <t>background_verifications
campuses
certificate_types
clearance_departments
departments
designations
employees
exit_clearances
issued_certificates
leave_policy
… +11 more</t>
        </is>
      </c>
      <c r="Q358" s="8" t="inlineStr"/>
      <c r="R358" s="8" t="inlineStr"/>
      <c r="S358" s="8" t="inlineStr">
        <is>
          <t>The service record kept for each teacher over their career, postings, promotions, increments, and their degrees and teaching qualifications, which is what an inspector asks to see.</t>
        </is>
      </c>
    </row>
    <row r="359">
      <c r="A359" s="8" t="inlineStr">
        <is>
          <t>HR &amp; Payroll</t>
        </is>
      </c>
      <c r="B359" s="8" t="inlineStr">
        <is>
          <t>Employees</t>
        </is>
      </c>
      <c r="C359" s="8" t="inlineStr">
        <is>
          <t>Onboarding &amp; Exit</t>
        </is>
      </c>
      <c r="D359" s="8" t="inlineStr">
        <is>
          <t>Staff joinings &amp; exits</t>
        </is>
      </c>
      <c r="E359" s="11" t="inlineStr">
        <is>
          <t>Good</t>
        </is>
      </c>
      <c r="F359" s="8" t="inlineStr">
        <is>
          <t>core</t>
        </is>
      </c>
      <c r="G359" s="8" t="inlineStr">
        <is>
          <t>Must-Have</t>
        </is>
      </c>
      <c r="H359" s="8" t="inlineStr">
        <is>
          <t>institution</t>
        </is>
      </c>
      <c r="I359" s="8" t="inlineStr">
        <is>
          <t>hr.onboarding_exit.staff_joinings_exits</t>
        </is>
      </c>
      <c r="J359" s="8" t="inlineStr">
        <is>
          <t>web/src/features/hr/Lifecycle.tsx</t>
        </is>
      </c>
      <c r="K359" s="8" t="inlineStr"/>
      <c r="L359" s="8" t="n">
        <v>25</v>
      </c>
      <c r="M359" s="8" t="inlineStr">
        <is>
          <t>/academics/admin/faculty-allocation
/academics/sections
/admin/assignable-roles
/admin/roles
/hr/exits
/hr/exits/{}/clearances
/hr/exits/{}/interview
/hr/exits/{}/relieve
… +17 more</t>
        </is>
      </c>
      <c r="N359" s="8" t="inlineStr">
        <is>
          <t>worker/src/routes/academics.ts
worker/src/routes/academics/admin.ts
worker/src/routes/admin/users.ts
worker/src/routes/hr/lifecycle.ts
worker/src/routes/hr/staff.ts
worker/src/routes/setup/academics.ts
… +2 more</t>
        </is>
      </c>
      <c r="O359" s="8" t="n">
        <v>105</v>
      </c>
      <c r="P359" s="8" t="inlineStr">
        <is>
          <t>academic_years
activities
alumni_contributions
alumni_event_rsvps
alumni_events
alumni_profiles
applications
audit_log
background_verifications
bell_schedules
… +95 more</t>
        </is>
      </c>
      <c r="Q359" s="8" t="inlineStr">
        <is>
          <t>feature_grants.test.ts
lms_modules.test.ts
lms_nesting.test.ts
lms_progression.test.ts
lms_videos.test.ts
marks_import.test.ts
… +2 more</t>
        </is>
      </c>
      <c r="R359" s="8" t="inlineStr"/>
      <c r="S359" s="8" t="inlineStr">
        <is>
          <t>One page, four tabs: the KYC and documents a new appointment depends on; the resignation, notice period and department-by-department clearance an exit runs through; the appointment, experience and relieving letters issued along the way; and transfers between campuses or departments. The final settlement stays locked until every department has signed.</t>
        </is>
      </c>
    </row>
    <row r="360">
      <c r="A360" s="8" t="inlineStr">
        <is>
          <t>HR &amp; Payroll</t>
        </is>
      </c>
      <c r="B360" s="8" t="inlineStr">
        <is>
          <t>Payroll</t>
        </is>
      </c>
      <c r="C360" s="8" t="inlineStr">
        <is>
          <t>Payroll</t>
        </is>
      </c>
      <c r="D360" s="8" t="inlineStr">
        <is>
          <t>Monthly payroll</t>
        </is>
      </c>
      <c r="E360" s="11" t="inlineStr">
        <is>
          <t>Good</t>
        </is>
      </c>
      <c r="F360" s="8" t="inlineStr">
        <is>
          <t>core</t>
        </is>
      </c>
      <c r="G360" s="8" t="inlineStr">
        <is>
          <t>Must-Have</t>
        </is>
      </c>
      <c r="H360" s="8" t="inlineStr">
        <is>
          <t>institution</t>
        </is>
      </c>
      <c r="I360" s="8" t="inlineStr">
        <is>
          <t>hr.payroll.monthly_payroll</t>
        </is>
      </c>
      <c r="J360" s="8" t="inlineStr">
        <is>
          <t>web/src/features/payroll/Payroll.tsx</t>
        </is>
      </c>
      <c r="K360" s="8" t="inlineStr"/>
      <c r="L360" s="8" t="n">
        <v>4</v>
      </c>
      <c r="M360" s="8" t="inlineStr">
        <is>
          <t>/payroll/bank-file
/payroll/payslips
/payroll/run
/payroll/state</t>
        </is>
      </c>
      <c r="N360" s="8" t="inlineStr">
        <is>
          <t>worker/src/routes/payroll.ts</t>
        </is>
      </c>
      <c r="O360" s="8" t="n">
        <v>35</v>
      </c>
      <c r="P360" s="8" t="inlineStr">
        <is>
          <t>academic_years
announcement_acks
announcement_sections
announcement_students
announcements
classes
contractor_bills
departments
employee_tax_elections
employees
… +25 more</t>
        </is>
      </c>
      <c r="Q360" s="8" t="inlineStr"/>
      <c r="R360" s="8" t="inlineStr"/>
      <c r="S360" s="8" t="inlineStr">
        <is>
          <t>Run the month's salaries, with loss of pay taken from the staff register rather than typed in. The register shows every employee's days worked, gross, deductions and take-home; from here the payslips are published to staff and the bank file is downloaded to pay them.</t>
        </is>
      </c>
    </row>
    <row r="361">
      <c r="A361" s="8" t="inlineStr">
        <is>
          <t>HR &amp; Payroll</t>
        </is>
      </c>
      <c r="B361" s="8" t="inlineStr">
        <is>
          <t>Payroll</t>
        </is>
      </c>
      <c r="C361" s="8" t="inlineStr">
        <is>
          <t>Payroll</t>
        </is>
      </c>
      <c r="D361" s="8" t="inlineStr">
        <is>
          <t>Salary setup</t>
        </is>
      </c>
      <c r="E361" s="11" t="inlineStr">
        <is>
          <t>Good</t>
        </is>
      </c>
      <c r="F361" s="8" t="inlineStr">
        <is>
          <t>core</t>
        </is>
      </c>
      <c r="G361" s="8" t="inlineStr">
        <is>
          <t>Must-Have</t>
        </is>
      </c>
      <c r="H361" s="8" t="inlineStr">
        <is>
          <t>institution</t>
        </is>
      </c>
      <c r="I361" s="8" t="inlineStr">
        <is>
          <t>hr.payroll.salary_setup</t>
        </is>
      </c>
      <c r="J361" s="8" t="inlineStr">
        <is>
          <t>web/src/features/payroll/SalarySetup.tsx</t>
        </is>
      </c>
      <c r="K361" s="8" t="inlineStr"/>
      <c r="L361" s="8" t="n">
        <v>23</v>
      </c>
      <c r="M361" s="8" t="inlineStr">
        <is>
          <t>/ai/import/analyze
/ai/import/commit
/ai/import/preview
/ai/import/propose
/ai/warnings
/ai/warnings/digest
/ai/warnings/dismiss-all
/ai/warnings/run
… +15 more</t>
        </is>
      </c>
      <c r="N361" s="8" t="inlineStr">
        <is>
          <t>worker/src/routes/ai/import.ts
worker/src/routes/ai/warnings.ts
worker/src/routes/payroll.ts
worker/src/routes/setup/imports.ts
worker/src/routes/setup/staff.ts</t>
        </is>
      </c>
      <c r="O361" s="8" t="n">
        <v>69</v>
      </c>
      <c r="P361" s="8" t="inlineStr">
        <is>
          <t>academic_years
ai_warning_dismissals
ai_warnings
announcement_acks
announcement_sections
announcement_students
announcements
bell_schedules
biometric_devices
biometric_punches
… +59 more</t>
        </is>
      </c>
      <c r="Q361" s="8" t="inlineStr">
        <is>
          <t>ai.test.ts
ai_warnings_import.test.ts
lms_modules.test.ts
lms_nesting.test.ts
lms_progression.test.ts
lms_videos.test.ts
… +3 more</t>
        </is>
      </c>
      <c r="R361" s="8" t="inlineStr"/>
      <c r="S361" s="8" t="inlineStr">
        <is>
          <t>What each member of staff is paid, and the components a payslip is built from, basic, allowances, provident fund, tax. Payroll can only pay somebody who has a salary set here. A raise is recorded as a revision from a date, so last year's payslips still explain themselves.</t>
        </is>
      </c>
    </row>
    <row r="362">
      <c r="A362" s="8" t="inlineStr">
        <is>
          <t>HR &amp; Payroll</t>
        </is>
      </c>
      <c r="B362" s="8" t="inlineStr">
        <is>
          <t>Payroll</t>
        </is>
      </c>
      <c r="C362" s="8" t="inlineStr">
        <is>
          <t>Payroll</t>
        </is>
      </c>
      <c r="D362" s="8" t="inlineStr">
        <is>
          <t>Taxes &amp; statutory</t>
        </is>
      </c>
      <c r="E362" s="11" t="inlineStr">
        <is>
          <t>Good</t>
        </is>
      </c>
      <c r="F362" s="8" t="inlineStr">
        <is>
          <t>core</t>
        </is>
      </c>
      <c r="G362" s="8" t="inlineStr">
        <is>
          <t>Must-Have</t>
        </is>
      </c>
      <c r="H362" s="8" t="inlineStr">
        <is>
          <t>institution</t>
        </is>
      </c>
      <c r="I362" s="8" t="inlineStr">
        <is>
          <t>hr.payroll.taxes_statutory</t>
        </is>
      </c>
      <c r="J362" s="8" t="inlineStr">
        <is>
          <t>web/src/features/hr/Statutory.tsx</t>
        </is>
      </c>
      <c r="K362" s="8" t="inlineStr"/>
      <c r="L362" s="8" t="n">
        <v>9</v>
      </c>
      <c r="M362" s="8" t="inlineStr">
        <is>
          <t>/payroll/bank-file
/payroll/contractor-bills
/payroll/declarations
/payroll/ecr
/payroll/gratuity
/payroll/loans
/payroll/settings
/payroll/statutory
… +1 more</t>
        </is>
      </c>
      <c r="N362" s="8" t="inlineStr">
        <is>
          <t>worker/src/routes/payroll.ts</t>
        </is>
      </c>
      <c r="O362" s="8" t="n">
        <v>35</v>
      </c>
      <c r="P362" s="8" t="inlineStr">
        <is>
          <t>academic_years
announcement_acks
announcement_sections
announcement_students
announcements
classes
contractor_bills
departments
employee_tax_elections
employees
… +25 more</t>
        </is>
      </c>
      <c r="Q362" s="8" t="inlineStr">
        <is>
          <t>degenerate_numbers.test.ts</t>
        </is>
      </c>
      <c r="R362" s="8" t="inlineStr"/>
      <c r="S362" s="8" t="inlineStr">
        <is>
          <t>Provident fund, state insurance and professional tax computed from the payslips actually issued, with the ECR and bank files government filing needs. Income tax and declarations, salary advances, gratuity liability, and the contractor bills for security and housekeeping staff.</t>
        </is>
      </c>
    </row>
    <row r="363">
      <c r="A363" s="8" t="inlineStr">
        <is>
          <t>HR &amp; Payroll</t>
        </is>
      </c>
      <c r="B363" s="8" t="inlineStr">
        <is>
          <t>People</t>
        </is>
      </c>
      <c r="C363" s="8" t="inlineStr">
        <is>
          <t>Welfare</t>
        </is>
      </c>
      <c r="D363" s="8" t="inlineStr">
        <is>
          <t>Staff welfare</t>
        </is>
      </c>
      <c r="E363" s="11" t="inlineStr">
        <is>
          <t>Good</t>
        </is>
      </c>
      <c r="F363" s="8" t="inlineStr">
        <is>
          <t>core</t>
        </is>
      </c>
      <c r="G363" s="8" t="inlineStr">
        <is>
          <t>Should-Have</t>
        </is>
      </c>
      <c r="H363" s="8" t="inlineStr">
        <is>
          <t>institution</t>
        </is>
      </c>
      <c r="I363" s="8" t="inlineStr">
        <is>
          <t>hr.welfare.staff_welfare</t>
        </is>
      </c>
      <c r="J363" s="8" t="inlineStr">
        <is>
          <t>web/src/features/hr/Welfare.tsx</t>
        </is>
      </c>
      <c r="K363" s="8" t="inlineStr"/>
      <c r="L363" s="8" t="n">
        <v>14</v>
      </c>
      <c r="M363" s="8" t="inlineStr">
        <is>
          <t>/files
/files/{}
/hr/celebrations
/hr/celebrations/greet
/hr/grievance-sla
/hr/grievances
/hr/grievances/assignees
/hr/grievances/escalate-overdue
… +6 more</t>
        </is>
      </c>
      <c r="N363" s="8" t="inlineStr">
        <is>
          <t>worker/src/routes/hr/concerns.ts
worker/src/routes/hr/lifecycle.ts
worker/src/routes/misc/files.ts</t>
        </is>
      </c>
      <c r="O363" s="8" t="n">
        <v>34</v>
      </c>
      <c r="P363" s="8" t="inlineStr">
        <is>
          <t>application_documents
background_verifications
campuses
certificate_types
clearance_departments
departments
designations
employee_documents
employees
enrollments
… +24 more</t>
        </is>
      </c>
      <c r="Q363" s="8" t="inlineStr">
        <is>
          <t>concerns.test.ts</t>
        </is>
      </c>
      <c r="R363" s="8" t="inlineStr"/>
      <c r="S363" s="8" t="inlineStr">
        <is>
          <t>Grievances raised by staff and how they were answered, the recognition wall, and whose birthday or work anniversary falls this week.</t>
        </is>
      </c>
    </row>
    <row r="364">
      <c r="A364" s="8" t="inlineStr">
        <is>
          <t>IT Administrator</t>
        </is>
      </c>
      <c r="B364" s="8" t="inlineStr">
        <is>
          <t>Home</t>
        </is>
      </c>
      <c r="C364" s="8" t="inlineStr">
        <is>
          <t>Home</t>
        </is>
      </c>
      <c r="D364" s="8" t="inlineStr">
        <is>
          <t>Systems desk</t>
        </is>
      </c>
      <c r="E364" s="10" t="inlineStr">
        <is>
          <t>Check</t>
        </is>
      </c>
      <c r="F364" s="8" t="inlineStr">
        <is>
          <t>core</t>
        </is>
      </c>
      <c r="G364" s="8" t="inlineStr">
        <is>
          <t>Must-Have</t>
        </is>
      </c>
      <c r="H364" s="8" t="inlineStr">
        <is>
          <t>institution</t>
        </is>
      </c>
      <c r="I364" s="8" t="inlineStr">
        <is>
          <t>it_admin.home.systems_desk</t>
        </is>
      </c>
      <c r="J364" s="8" t="inlineStr">
        <is>
          <t>web/src/features/bento/ITDesk.tsx</t>
        </is>
      </c>
      <c r="K364" s="8" t="inlineStr">
        <is>
          <t>web/src/features/bento/ITDesk.tsx</t>
        </is>
      </c>
      <c r="L364" s="8" t="n">
        <v>9</v>
      </c>
      <c r="M364" s="8" t="inlineStr">
        <is>
          <t>/admin/audit/summary
/admin/sessions
/admin/users
/files/{}
/jobs/queues
/metrics
/metrics/{}
/portal/attendance
… +1 more</t>
        </is>
      </c>
      <c r="N364" s="8" t="inlineStr">
        <is>
          <t>worker/src/routes/admin/metrics.ts
worker/src/routes/admin/security.ts
worker/src/routes/admin/users.ts
worker/src/routes/daily.ts
worker/src/routes/misc/files.ts
worker/src/routes/portal/family.ts
… +1 more</t>
        </is>
      </c>
      <c r="O364" s="8" t="n">
        <v>108</v>
      </c>
      <c r="P364" s="8" t="inlineStr">
        <is>
          <t>absence_followup_section_done
academic_years
admission_form_versions
admission_forms
app_events
application_documents
applications
attendance_corrections
audit_log
bell_schedules
… +98 more</t>
        </is>
      </c>
      <c r="Q364" s="8" t="inlineStr">
        <is>
          <t>access.test.ts
attendance.test.ts
edge.test.ts
feature_grants.test.ts
session_activity.test.ts
student_lms.test.ts</t>
        </is>
      </c>
      <c r="R364" s="8" t="inlineStr">
        <is>
          <t>1 step(s) in its backend files answer "not ported" (see Not ported tab).</t>
        </is>
      </c>
      <c r="S364" s="8" t="inlineStr">
        <is>
          <t>Logins, who is signed in now, the job queues and what the audit log recorded today.</t>
        </is>
      </c>
    </row>
    <row r="365">
      <c r="A365" s="8" t="inlineStr">
        <is>
          <t>IT Administrator</t>
        </is>
      </c>
      <c r="B365" s="8" t="inlineStr">
        <is>
          <t>Access</t>
        </is>
      </c>
      <c r="C365" s="8" t="inlineStr">
        <is>
          <t>Access</t>
        </is>
      </c>
      <c r="D365" s="8" t="inlineStr">
        <is>
          <t>Users</t>
        </is>
      </c>
      <c r="E365" s="11" t="inlineStr">
        <is>
          <t>Good</t>
        </is>
      </c>
      <c r="F365" s="8" t="inlineStr">
        <is>
          <t>core</t>
        </is>
      </c>
      <c r="G365" s="8" t="inlineStr">
        <is>
          <t>Must-Have</t>
        </is>
      </c>
      <c r="H365" s="8" t="inlineStr">
        <is>
          <t>institution</t>
        </is>
      </c>
      <c r="I365" s="8" t="inlineStr">
        <is>
          <t>it_admin.access.users</t>
        </is>
      </c>
      <c r="J365" s="8" t="inlineStr">
        <is>
          <t>web/src/features/super_admin/Users.tsx</t>
        </is>
      </c>
      <c r="K365" s="8" t="inlineStr"/>
      <c r="L365" s="8" t="n">
        <v>9</v>
      </c>
      <c r="M365" s="8" t="inlineStr">
        <is>
          <t>/admin/assignable-roles
/admin/role-presets
/admin/roles/templates
/admin/users
/admin/users/generic
/admin/users/roles/transfer
/admin/users/{}/reset-password
/admin/users/{}/roles
… +1 more</t>
        </is>
      </c>
      <c r="N365" s="8" t="inlineStr">
        <is>
          <t>worker/src/routes/admin/users.ts</t>
        </is>
      </c>
      <c r="O365" s="8" t="n">
        <v>27</v>
      </c>
      <c r="P365" s="8" t="inlineStr">
        <is>
          <t>applications
campuses
classes
employees
enquiries
enrollments
guardians
institutions
integrations
invoices
… +17 more</t>
        </is>
      </c>
      <c r="Q365" s="8" t="inlineStr">
        <is>
          <t>edge.test.ts
feature_grants.test.ts
student_lms.test.ts</t>
        </is>
      </c>
      <c r="R365" s="8" t="inlineStr"/>
      <c r="S365" s="8" t="inlineStr">
        <is>
          <t>Every login in the school: create one, reset a password, disable an account, move roles between people.</t>
        </is>
      </c>
    </row>
    <row r="366">
      <c r="A366" s="8" t="inlineStr">
        <is>
          <t>IT Administrator</t>
        </is>
      </c>
      <c r="B366" s="8" t="inlineStr">
        <is>
          <t>Access</t>
        </is>
      </c>
      <c r="C366" s="8" t="inlineStr">
        <is>
          <t>Access</t>
        </is>
      </c>
      <c r="D366" s="8" t="inlineStr">
        <is>
          <t>Logins &amp; sessions</t>
        </is>
      </c>
      <c r="E366" s="11" t="inlineStr">
        <is>
          <t>Good</t>
        </is>
      </c>
      <c r="F366" s="8" t="inlineStr">
        <is>
          <t>core</t>
        </is>
      </c>
      <c r="G366" s="8" t="inlineStr">
        <is>
          <t>Must-Have</t>
        </is>
      </c>
      <c r="H366" s="8" t="inlineStr">
        <is>
          <t>institution</t>
        </is>
      </c>
      <c r="I366" s="8" t="inlineStr">
        <is>
          <t>it_admin.access.logins_sessions</t>
        </is>
      </c>
      <c r="J366" s="8" t="inlineStr">
        <is>
          <t>web/src/features/super_admin/SessionAudit.tsx</t>
        </is>
      </c>
      <c r="K366" s="8" t="inlineStr"/>
      <c r="L366" s="8" t="n">
        <v>3</v>
      </c>
      <c r="M366" s="8" t="inlineStr">
        <is>
          <t>/admin/security/seller-audit
/admin/sessions
/admin/sessions/{}</t>
        </is>
      </c>
      <c r="N366" s="8" t="inlineStr">
        <is>
          <t>worker/src/routes/admin/security.ts
worker/src/routes/seller/lifecycle.ts</t>
        </is>
      </c>
      <c r="O366" s="8" t="n">
        <v>39</v>
      </c>
      <c r="P366" s="8" t="inlineStr">
        <is>
          <t>academic_years
app_events
audit_log
backups
class_subjects
counselor_messages
counselor_threads
employees
enrollments
fee_structure_items
… +29 more</t>
        </is>
      </c>
      <c r="Q366" s="8" t="inlineStr">
        <is>
          <t>session_activity.test.ts</t>
        </is>
      </c>
      <c r="R366" s="8" t="inlineStr"/>
      <c r="S366" s="8" t="inlineStr">
        <is>
          <t>Active sessions by person and device, and the one to sign out now.</t>
        </is>
      </c>
    </row>
    <row r="367">
      <c r="A367" s="8" t="inlineStr">
        <is>
          <t>IT Administrator</t>
        </is>
      </c>
      <c r="B367" s="8" t="inlineStr">
        <is>
          <t>Access</t>
        </is>
      </c>
      <c r="C367" s="8" t="inlineStr">
        <is>
          <t>Access</t>
        </is>
      </c>
      <c r="D367" s="8" t="inlineStr">
        <is>
          <t>Roles &amp; permissions</t>
        </is>
      </c>
      <c r="E367" s="11" t="inlineStr">
        <is>
          <t>Good</t>
        </is>
      </c>
      <c r="F367" s="8" t="inlineStr">
        <is>
          <t>core</t>
        </is>
      </c>
      <c r="G367" s="8" t="inlineStr">
        <is>
          <t>Must-Have</t>
        </is>
      </c>
      <c r="H367" s="8" t="inlineStr">
        <is>
          <t>institution</t>
        </is>
      </c>
      <c r="I367" s="8" t="inlineStr">
        <is>
          <t>it_admin.access.roles_permissions</t>
        </is>
      </c>
      <c r="J367" s="8" t="inlineStr">
        <is>
          <t>web/src/features/super_admin/RolesPermissions.tsx</t>
        </is>
      </c>
      <c r="K367" s="8" t="inlineStr"/>
      <c r="L367" s="8" t="n">
        <v>6</v>
      </c>
      <c r="M367" s="8" t="inlineStr">
        <is>
          <t>/admin/installable-roles
/admin/roles
/admin/roles/install
/admin/roles/{}/features
/admin/roles/{}/grid
/admin/roles/{}/reset</t>
        </is>
      </c>
      <c r="N367" s="8" t="inlineStr">
        <is>
          <t>worker/src/routes/admin/users.ts</t>
        </is>
      </c>
      <c r="O367" s="8" t="n">
        <v>27</v>
      </c>
      <c r="P367" s="8" t="inlineStr">
        <is>
          <t>applications
campuses
classes
employees
enquiries
enrollments
guardians
institutions
integrations
invoices
… +17 more</t>
        </is>
      </c>
      <c r="Q367" s="8" t="inlineStr">
        <is>
          <t>feature_grants.test.ts
student_lms.test.ts</t>
        </is>
      </c>
      <c r="R367" s="8" t="inlineStr"/>
      <c r="S367" s="8" t="inlineStr">
        <is>
          <t>What each role may do, and installing a role the school does not have yet.</t>
        </is>
      </c>
    </row>
    <row r="368">
      <c r="A368" s="8" t="inlineStr">
        <is>
          <t>IT Administrator</t>
        </is>
      </c>
      <c r="B368" s="8" t="inlineStr">
        <is>
          <t>Systems</t>
        </is>
      </c>
      <c r="C368" s="8" t="inlineStr">
        <is>
          <t>Systems</t>
        </is>
      </c>
      <c r="D368" s="8" t="inlineStr">
        <is>
          <t>Audit log</t>
        </is>
      </c>
      <c r="E368" s="11" t="inlineStr">
        <is>
          <t>Good</t>
        </is>
      </c>
      <c r="F368" s="8" t="inlineStr">
        <is>
          <t>core</t>
        </is>
      </c>
      <c r="G368" s="8" t="inlineStr">
        <is>
          <t>Must-Have</t>
        </is>
      </c>
      <c r="H368" s="8" t="inlineStr">
        <is>
          <t>institution</t>
        </is>
      </c>
      <c r="I368" s="8" t="inlineStr">
        <is>
          <t>it_admin.systems.audit_log</t>
        </is>
      </c>
      <c r="J368" s="8" t="inlineStr">
        <is>
          <t>web/src/features/super_admin/AuditLog.tsx</t>
        </is>
      </c>
      <c r="K368" s="8" t="inlineStr"/>
      <c r="L368" s="8" t="n">
        <v>3</v>
      </c>
      <c r="M368" s="8" t="inlineStr">
        <is>
          <t>/admin/audit
/admin/audit/events
/admin/audit/summary</t>
        </is>
      </c>
      <c r="N368" s="8" t="inlineStr">
        <is>
          <t>worker/src/routes/admin/security.ts</t>
        </is>
      </c>
      <c r="O368" s="8" t="n">
        <v>33</v>
      </c>
      <c r="P368" s="8" t="inlineStr">
        <is>
          <t>academic_years
app_events
audit_log
class_subjects
counselor_messages
counselor_threads
employees
enrollments
fee_structure_items
fee_structure_version_items
… +23 more</t>
        </is>
      </c>
      <c r="Q368" s="8" t="inlineStr"/>
      <c r="R368" s="8" t="inlineStr"/>
      <c r="S368" s="8" t="inlineStr">
        <is>
          <t>Who changed what, when, from where.</t>
        </is>
      </c>
    </row>
    <row r="369">
      <c r="A369" s="8" t="inlineStr">
        <is>
          <t>IT Administrator</t>
        </is>
      </c>
      <c r="B369" s="8" t="inlineStr">
        <is>
          <t>Systems</t>
        </is>
      </c>
      <c r="C369" s="8" t="inlineStr">
        <is>
          <t>Systems</t>
        </is>
      </c>
      <c r="D369" s="8" t="inlineStr">
        <is>
          <t>Background jobs</t>
        </is>
      </c>
      <c r="E369" s="10" t="inlineStr">
        <is>
          <t>Check</t>
        </is>
      </c>
      <c r="F369" s="8" t="inlineStr">
        <is>
          <t>core</t>
        </is>
      </c>
      <c r="G369" s="8" t="inlineStr">
        <is>
          <t>Should-Have</t>
        </is>
      </c>
      <c r="H369" s="8" t="inlineStr">
        <is>
          <t>institution</t>
        </is>
      </c>
      <c r="I369" s="8" t="inlineStr">
        <is>
          <t>it_admin.systems.background_jobs</t>
        </is>
      </c>
      <c r="J369" s="8" t="inlineStr">
        <is>
          <t>web/src/features/shared/Jobs.tsx</t>
        </is>
      </c>
      <c r="K369" s="8" t="inlineStr"/>
      <c r="L369" s="8" t="n">
        <v>4</v>
      </c>
      <c r="M369" s="8" t="inlineStr">
        <is>
          <t>/academics/sections
/jobs
/jobs/queues
/jobs/{}</t>
        </is>
      </c>
      <c r="N369" s="8" t="inlineStr">
        <is>
          <t>worker/src/routes/academics.ts
worker/src/routes/daily.ts</t>
        </is>
      </c>
      <c r="O369" s="8" t="n">
        <v>59</v>
      </c>
      <c r="P369" s="8" t="inlineStr">
        <is>
          <t>absence_followup_section_done
academic_years
activities
applications
attendance_corrections
bell_schedules
board_memberships
campuses
class_subjects
classes
… +49 more</t>
        </is>
      </c>
      <c r="Q369" s="8" t="inlineStr">
        <is>
          <t>access.test.ts
background.test.ts</t>
        </is>
      </c>
      <c r="R369" s="8" t="inlineStr">
        <is>
          <t>1 step(s) in its backend files answer "not ported" (see Not ported tab).</t>
        </is>
      </c>
      <c r="S369" s="8" t="inlineStr">
        <is>
          <t>Queue depth, retries and failures, and starting a job by hand.</t>
        </is>
      </c>
    </row>
    <row r="370">
      <c r="A370" s="8" t="inlineStr">
        <is>
          <t>IT Administrator</t>
        </is>
      </c>
      <c r="B370" s="8" t="inlineStr">
        <is>
          <t>Systems</t>
        </is>
      </c>
      <c r="C370" s="8" t="inlineStr">
        <is>
          <t>Systems</t>
        </is>
      </c>
      <c r="D370" s="8" t="inlineStr">
        <is>
          <t>Integrations</t>
        </is>
      </c>
      <c r="E370" s="11" t="inlineStr">
        <is>
          <t>Good</t>
        </is>
      </c>
      <c r="F370" s="8" t="inlineStr">
        <is>
          <t>core</t>
        </is>
      </c>
      <c r="G370" s="8" t="inlineStr">
        <is>
          <t>Must-Have</t>
        </is>
      </c>
      <c r="H370" s="8" t="inlineStr">
        <is>
          <t>institution</t>
        </is>
      </c>
      <c r="I370" s="8" t="inlineStr">
        <is>
          <t>it_admin.systems.integrations</t>
        </is>
      </c>
      <c r="J370" s="8" t="inlineStr">
        <is>
          <t>web/src/features/super_admin/Integrations.tsx</t>
        </is>
      </c>
      <c r="K370" s="8" t="inlineStr"/>
      <c r="L370" s="8" t="n">
        <v>1</v>
      </c>
      <c r="M370" s="8" t="inlineStr">
        <is>
          <t>/admin/integrations</t>
        </is>
      </c>
      <c r="N370" s="8" t="inlineStr">
        <is>
          <t>worker/src/routes/admin/integrations_index.ts</t>
        </is>
      </c>
      <c r="O370" s="8" t="n">
        <v>8</v>
      </c>
      <c r="P370" s="8" t="inlineStr">
        <is>
          <t>child_info_portal_connectors
crm_api_credentials
crm_sync_runs
message_log
tally_connector_settings
tally_export_runs
virtual_meeting_platform_providers
virtual_meeting_requests</t>
        </is>
      </c>
      <c r="Q370" s="8" t="inlineStr"/>
      <c r="R370" s="8" t="inlineStr"/>
      <c r="S370" s="8" t="inlineStr">
        <is>
          <t>Every connector the school has switched on, whether it is working, and what an unset one needs.</t>
        </is>
      </c>
    </row>
    <row r="371">
      <c r="A371" s="8" t="inlineStr">
        <is>
          <t>IT Administrator</t>
        </is>
      </c>
      <c r="B371" s="8" t="inlineStr">
        <is>
          <t>Communication</t>
        </is>
      </c>
      <c r="C371" s="8" t="inlineStr">
        <is>
          <t>Communication</t>
        </is>
      </c>
      <c r="D371" s="8" t="inlineStr">
        <is>
          <t>Messages</t>
        </is>
      </c>
      <c r="E371" s="11" t="inlineStr">
        <is>
          <t>Good</t>
        </is>
      </c>
      <c r="F371" s="8" t="inlineStr">
        <is>
          <t>core</t>
        </is>
      </c>
      <c r="G371" s="8" t="inlineStr">
        <is>
          <t>Must-Have</t>
        </is>
      </c>
      <c r="H371" s="8" t="inlineStr">
        <is>
          <t>institution</t>
        </is>
      </c>
      <c r="I371" s="8" t="inlineStr">
        <is>
          <t>it_admin.communication.messages</t>
        </is>
      </c>
      <c r="J371" s="8" t="inlineStr">
        <is>
          <t>web/src/features/comms/StaffMessages.tsx</t>
        </is>
      </c>
      <c r="K371" s="8" t="inlineStr"/>
      <c r="L371" s="8" t="n">
        <v>12</v>
      </c>
      <c r="M371" s="8" t="inlineStr">
        <is>
          <t>/chat/messages/{}
/chat/parent-thread/read
/chat/staff-thread/read
/files
/files/{}
/portal/messages
/staff-messages
/staff-messages/threads
… +4 more</t>
        </is>
      </c>
      <c r="N371" s="8" t="inlineStr">
        <is>
          <t>worker/src/routes/misc/chat.ts
worker/src/routes/misc/files.ts
worker/src/routes/portal/requests.ts
worker/src/routes/teaching/dashboards.ts</t>
        </is>
      </c>
      <c r="O371" s="8" t="n">
        <v>60</v>
      </c>
      <c r="P371" s="8" t="inlineStr">
        <is>
          <t>academic_years
announcement_acks
announcements
application_documents
applications
certificate_types
class_subjects
classes
departments
designations
… +50 more</t>
        </is>
      </c>
      <c r="Q371" s="8" t="inlineStr">
        <is>
          <t>live.test.ts</t>
        </is>
      </c>
      <c r="R371" s="8" t="inlineStr"/>
      <c r="S371" s="8" t="inlineStr">
        <is>
          <t>One colleague at a time. The staff address book, every teacher and every member of staff, and the thread you have with each of them, for asking a class teacher or the office something rather than sending a notice to the school.</t>
        </is>
      </c>
    </row>
    <row r="372">
      <c r="A372" s="8" t="inlineStr">
        <is>
          <t>IT Administrator</t>
        </is>
      </c>
      <c r="B372" s="8" t="inlineStr">
        <is>
          <t>My Profile</t>
        </is>
      </c>
      <c r="C372" s="8" t="inlineStr">
        <is>
          <t>My Profile</t>
        </is>
      </c>
      <c r="D372" s="8" t="inlineStr">
        <is>
          <t>Profile</t>
        </is>
      </c>
      <c r="E372" s="10" t="inlineStr">
        <is>
          <t>Check</t>
        </is>
      </c>
      <c r="F372" s="8" t="inlineStr">
        <is>
          <t>core</t>
        </is>
      </c>
      <c r="G372" s="8" t="inlineStr">
        <is>
          <t>Must-Have</t>
        </is>
      </c>
      <c r="H372" s="8" t="inlineStr">
        <is>
          <t>self</t>
        </is>
      </c>
      <c r="I372" s="8" t="inlineStr">
        <is>
          <t>it_admin.my_profile.profile</t>
        </is>
      </c>
      <c r="J372" s="8" t="inlineStr">
        <is>
          <t>web/src/features/shared/Profile.tsx</t>
        </is>
      </c>
      <c r="K372" s="8" t="inlineStr"/>
      <c r="L372" s="8" t="n">
        <v>19</v>
      </c>
      <c r="M372" s="8" t="inlineStr">
        <is>
          <t>/files
/files/{}
/hr-growth/me/appraisals
/hr-growth/me/appraisals/{}
/hr-growth/me/appraisals/{}/acknowledge
/hr-growth/me/appraisals/{}/self-assessment
/hr-growth/me/duties
/hr-growth/me/training
… +11 more</t>
        </is>
      </c>
      <c r="N372" s="8" t="inlineStr">
        <is>
          <t>worker/src/routes/daily.ts
worker/src/routes/growth/hr_appraisal.ts
worker/src/routes/growth/hr_training.ts
worker/src/routes/hr/concerns.ts
worker/src/routes/misc/files.ts
worker/src/routes/misc/profile.ts</t>
        </is>
      </c>
      <c r="O372" s="8" t="n">
        <v>75</v>
      </c>
      <c r="P372" s="8" t="inlineStr">
        <is>
          <t>absence_followup_section_done
academic_years
application_documents
applications
appraisal_cycles
appraisal_kpis
appraisal_ratings
appraisals
attendance_corrections
bell_schedules
… +65 more</t>
        </is>
      </c>
      <c r="Q372" s="8" t="inlineStr">
        <is>
          <t>access.test.ts
concerns.test.ts
lms_modules.test.ts
lms_nesting.test.ts
lms_progression.test.ts
lms_videos.test.ts
… +4 more</t>
        </is>
      </c>
      <c r="R372" s="8" t="inlineStr">
        <is>
          <t>1 step(s) in its backend files answer "not ported" (see Not ported tab).</t>
        </is>
      </c>
      <c r="S372" s="8" t="inlineStr">
        <is>
          <t>Your own name, phone, email and password.</t>
        </is>
      </c>
    </row>
    <row r="373">
      <c r="A373" s="8" t="inlineStr">
        <is>
          <t>IT Administrator</t>
        </is>
      </c>
      <c r="B373" s="8" t="inlineStr">
        <is>
          <t>My Profile</t>
        </is>
      </c>
      <c r="C373" s="8" t="inlineStr">
        <is>
          <t>My Profile</t>
        </is>
      </c>
      <c r="D373" s="8" t="inlineStr">
        <is>
          <t>My pay</t>
        </is>
      </c>
      <c r="E373" s="10" t="inlineStr">
        <is>
          <t>Check</t>
        </is>
      </c>
      <c r="F373" s="8" t="inlineStr">
        <is>
          <t>core</t>
        </is>
      </c>
      <c r="G373" s="8" t="inlineStr">
        <is>
          <t>Must-Have</t>
        </is>
      </c>
      <c r="H373" s="8" t="inlineStr">
        <is>
          <t>self</t>
        </is>
      </c>
      <c r="I373" s="8" t="inlineStr">
        <is>
          <t>it_admin.my_profile.my_pay</t>
        </is>
      </c>
      <c r="J373" s="8" t="inlineStr">
        <is>
          <t>web/src/features/me/MyPay.tsx</t>
        </is>
      </c>
      <c r="K373" s="8" t="inlineStr"/>
      <c r="L373" s="8" t="n">
        <v>1</v>
      </c>
      <c r="M373" s="8" t="inlineStr">
        <is>
          <t>/me/pay</t>
        </is>
      </c>
      <c r="N373" s="8" t="inlineStr">
        <is>
          <t>worker/src/routes/daily.ts</t>
        </is>
      </c>
      <c r="O373" s="8" t="n">
        <v>51</v>
      </c>
      <c r="P373" s="8" t="inlineStr">
        <is>
          <t>absence_followup_section_done
academic_years
applications
attendance_corrections
bell_schedules
board_memberships
campuses
class_subjects
classes
departments
… +41 more</t>
        </is>
      </c>
      <c r="Q373" s="8" t="inlineStr"/>
      <c r="R373" s="8" t="inlineStr">
        <is>
          <t>1 step(s) in its backend files answer "not ported" (see Not ported tab).</t>
        </is>
      </c>
      <c r="S373" s="8" t="inlineStr">
        <is>
          <t>Your own payslips month by month, what was taken off and how much of it was tax, the days you were marked present, and the leave you have left. Only ever your own.</t>
        </is>
      </c>
    </row>
    <row r="374">
      <c r="A374" s="8" t="inlineStr">
        <is>
          <t>LMS Admin</t>
        </is>
      </c>
      <c r="B374" s="8" t="inlineStr">
        <is>
          <t>LMS</t>
        </is>
      </c>
      <c r="C374" s="8" t="inlineStr">
        <is>
          <t>LMS</t>
        </is>
      </c>
      <c r="D374" s="8" t="inlineStr">
        <is>
          <t>Courses &amp; material</t>
        </is>
      </c>
      <c r="E374" s="11" t="inlineStr">
        <is>
          <t>Good</t>
        </is>
      </c>
      <c r="F374" s="8" t="inlineStr">
        <is>
          <t>core</t>
        </is>
      </c>
      <c r="G374" s="8" t="inlineStr">
        <is>
          <t>Must-Have</t>
        </is>
      </c>
      <c r="H374" s="8" t="inlineStr">
        <is>
          <t>institution</t>
        </is>
      </c>
      <c r="I374" s="8" t="inlineStr">
        <is>
          <t>lms_admin.lms.courses</t>
        </is>
      </c>
      <c r="J374" s="8" t="inlineStr">
        <is>
          <t>web/src/features/faculty/TeacherLMS.tsx</t>
        </is>
      </c>
      <c r="K374" s="8" t="inlineStr"/>
      <c r="L374" s="8" t="n">
        <v>39</v>
      </c>
      <c r="M374" s="8" t="inlineStr">
        <is>
          <t>/files
/files/{}
/lms/ai/quiz-draft
/lms/assignments
/lms/assignments/{}/grade
/lms/assignments/{}/gradebook
/lms/assignments/{}/nudge
/lms/assignments/{}/return
… +31 more</t>
        </is>
      </c>
      <c r="N374" s="8" t="inlineStr">
        <is>
          <t>worker/src/routes/misc/files.ts
worker/src/routes/portal/lms.ts
worker/src/routes/teaching/lms.ts
worker/src/routes/teaching/videos.ts</t>
        </is>
      </c>
      <c r="O374" s="8" t="n">
        <v>43</v>
      </c>
      <c r="P374" s="8" t="inlineStr">
        <is>
          <t>announcement_sections
announcements
application_documents
class_subjects
classes
employee_documents
employees
enrollments
exam_subjects
exams
… +33 more</t>
        </is>
      </c>
      <c r="Q374" s="8" t="inlineStr">
        <is>
          <t>lms_modules.test.ts
lms_nesting.test.ts
lms_progression.test.ts
lms_videos.test.ts
perf.test.ts
student_lms.test.ts</t>
        </is>
      </c>
      <c r="R374" s="8" t="inlineStr"/>
      <c r="S374" s="8" t="inlineStr">
        <is>
          <t>Every course in the school, one subject in one section: units and lessons by day with scheduled publishing, assignments with rubrics and marking, and timed MCQ quizzes. Open any course to add material or see who has finished it.</t>
        </is>
      </c>
    </row>
    <row r="375">
      <c r="A375" s="8" t="inlineStr">
        <is>
          <t>Student</t>
        </is>
      </c>
      <c r="B375" s="8" t="inlineStr">
        <is>
          <t>Home</t>
        </is>
      </c>
      <c r="C375" s="8" t="inlineStr">
        <is>
          <t>Home</t>
        </is>
      </c>
      <c r="D375" s="8" t="inlineStr">
        <is>
          <t>My day</t>
        </is>
      </c>
      <c r="E375" s="10" t="inlineStr">
        <is>
          <t>Check</t>
        </is>
      </c>
      <c r="F375" s="8" t="inlineStr">
        <is>
          <t>core</t>
        </is>
      </c>
      <c r="G375" s="8" t="inlineStr">
        <is>
          <t>Must-Have</t>
        </is>
      </c>
      <c r="H375" s="8" t="inlineStr">
        <is>
          <t>self</t>
        </is>
      </c>
      <c r="I375" s="8" t="inlineStr">
        <is>
          <t>student.home.my_day</t>
        </is>
      </c>
      <c r="J375" s="8" t="inlineStr">
        <is>
          <t>web/src/features/portal/StudentHome.tsx</t>
        </is>
      </c>
      <c r="K375" s="8" t="inlineStr">
        <is>
          <t>web/src/features/bento/StudentDay.tsx</t>
        </is>
      </c>
      <c r="L375" s="8" t="n">
        <v>17</v>
      </c>
      <c r="M375" s="8" t="inlineStr">
        <is>
          <t>/files/{}
/homework
/metrics
/metrics/{}
/portal/attendance
/portal/learning/streak
/portal/lms/courses
/portal/lms/home
… +9 more</t>
        </is>
      </c>
      <c r="N375" s="8" t="inlineStr">
        <is>
          <t>worker/src/routes/admin/metrics.ts
worker/src/routes/comms/class_status.ts
worker/src/routes/daily.ts
worker/src/routes/misc/files.ts
worker/src/routes/portal/family.ts
worker/src/routes/portal/life.ts
… +1 more</t>
        </is>
      </c>
      <c r="O375" s="8" t="n">
        <v>108</v>
      </c>
      <c r="P375" s="8" t="inlineStr">
        <is>
          <t>absence_followup_section_done
academic_years
admission_form_versions
admission_forms
announcement_sections
announcements
application_documents
applications
attendance_corrections
bell_schedules
… +98 more</t>
        </is>
      </c>
      <c r="Q375" s="8" t="inlineStr">
        <is>
          <t>access.test.ts
attendance.test.ts
class_status_gaps.test.ts
edge.test.ts
feature_class_status.test.ts
feature_switch_cache.test.ts
… +4 more</t>
        </is>
      </c>
      <c r="R375" s="8" t="inlineStr">
        <is>
          <t>1 step(s) in its backend files answer "not ported" (see Not ported tab).</t>
        </is>
      </c>
      <c r="S375" s="8" t="inlineStr">
        <is>
          <t>Next class, attendance %, assignments due, upcoming exam, fee due and latest announcement.</t>
        </is>
      </c>
    </row>
    <row r="376">
      <c r="A376" s="8" t="inlineStr">
        <is>
          <t>Student</t>
        </is>
      </c>
      <c r="B376" s="8" t="inlineStr">
        <is>
          <t>Home</t>
        </is>
      </c>
      <c r="C376" s="8" t="inlineStr">
        <is>
          <t>Home</t>
        </is>
      </c>
      <c r="D376" s="8" t="inlineStr">
        <is>
          <t>Digital Diary &amp; Schedule</t>
        </is>
      </c>
      <c r="E376" s="11" t="inlineStr">
        <is>
          <t>Good</t>
        </is>
      </c>
      <c r="F376" s="8" t="inlineStr">
        <is>
          <t>core</t>
        </is>
      </c>
      <c r="G376" s="8" t="inlineStr">
        <is>
          <t>Must-Have</t>
        </is>
      </c>
      <c r="H376" s="8" t="inlineStr">
        <is>
          <t>self</t>
        </is>
      </c>
      <c r="I376" s="8" t="inlineStr">
        <is>
          <t>student.home.digital_diary_schedule</t>
        </is>
      </c>
      <c r="J376" s="8" t="inlineStr">
        <is>
          <t>web/src/features/learning/Diary.tsx</t>
        </is>
      </c>
      <c r="K376" s="8" t="inlineStr"/>
      <c r="L376" s="8" t="n">
        <v>5</v>
      </c>
      <c r="M376" s="8" t="inlineStr">
        <is>
          <t>/portal/diary
/portal/diary/notes
/portal/diary/notes/{}
/portal/students
/portal/students/everywhere</t>
        </is>
      </c>
      <c r="N376" s="8" t="inlineStr">
        <is>
          <t>worker/src/routes/portal/family.ts
worker/src/routes/portal/life.ts</t>
        </is>
      </c>
      <c r="O376" s="8" t="n">
        <v>56</v>
      </c>
      <c r="P376" s="8" t="inlineStr">
        <is>
          <t>academic_years
admission_form_versions
admission_forms
application_documents
applications
branding_profiles
class_subjects
classes
club_events
discipline_records
… +46 more</t>
        </is>
      </c>
      <c r="Q376" s="8" t="inlineStr">
        <is>
          <t>access.test.ts</t>
        </is>
      </c>
      <c r="R376" s="8" t="inlineStr"/>
      <c r="S376" s="8" t="inlineStr">
        <is>
          <t>Track personal study schedules, project deadlines, and school calendar events.</t>
        </is>
      </c>
    </row>
    <row r="377">
      <c r="A377" s="8" t="inlineStr">
        <is>
          <t>Student</t>
        </is>
      </c>
      <c r="B377" s="8" t="inlineStr">
        <is>
          <t>Home</t>
        </is>
      </c>
      <c r="C377" s="8" t="inlineStr">
        <is>
          <t>Home</t>
        </is>
      </c>
      <c r="D377" s="8" t="inlineStr">
        <is>
          <t>Custom Theme Selection</t>
        </is>
      </c>
      <c r="E377" s="11" t="inlineStr">
        <is>
          <t>Good</t>
        </is>
      </c>
      <c r="F377" s="8" t="inlineStr">
        <is>
          <t>optional</t>
        </is>
      </c>
      <c r="G377" s="8" t="inlineStr">
        <is>
          <t>Must-Have</t>
        </is>
      </c>
      <c r="H377" s="8" t="inlineStr">
        <is>
          <t>self</t>
        </is>
      </c>
      <c r="I377" s="8" t="inlineStr">
        <is>
          <t>student.home.custom_theme_selection</t>
        </is>
      </c>
      <c r="J377" s="8" t="inlineStr">
        <is>
          <t>web/src/features/learning/ThemeSelection.tsx</t>
        </is>
      </c>
      <c r="K377" s="8" t="inlineStr"/>
      <c r="L377" s="8" t="n">
        <v>1</v>
      </c>
      <c r="M377" s="8" t="inlineStr">
        <is>
          <t>/portal/preferences/display</t>
        </is>
      </c>
      <c r="N377" s="8" t="inlineStr">
        <is>
          <t>worker/src/routes/portal/life.ts</t>
        </is>
      </c>
      <c r="O377" s="8" t="n">
        <v>29</v>
      </c>
      <c r="P377" s="8" t="inlineStr">
        <is>
          <t>class_subjects
classes
club_events
discipline_records
enrollments
exam_subjects
exams
hall_of_fame_entries
holidays
homework
… +19 more</t>
        </is>
      </c>
      <c r="Q377" s="8" t="inlineStr">
        <is>
          <t>edge.test.ts</t>
        </is>
      </c>
      <c r="R377" s="8" t="inlineStr"/>
      <c r="S377" s="8" t="inlineStr">
        <is>
          <t>Customize student portal appearance with dark mode, high-contrast mode, or color themes.</t>
        </is>
      </c>
    </row>
    <row r="378">
      <c r="A378" s="8" t="inlineStr">
        <is>
          <t>Student</t>
        </is>
      </c>
      <c r="B378" s="8" t="inlineStr">
        <is>
          <t>Academics</t>
        </is>
      </c>
      <c r="C378" s="8" t="inlineStr">
        <is>
          <t>Timetable</t>
        </is>
      </c>
      <c r="D378" s="8" t="inlineStr">
        <is>
          <t>Timetable</t>
        </is>
      </c>
      <c r="E378" s="11" t="inlineStr">
        <is>
          <t>Good</t>
        </is>
      </c>
      <c r="F378" s="8" t="inlineStr">
        <is>
          <t>core</t>
        </is>
      </c>
      <c r="G378" s="8" t="inlineStr">
        <is>
          <t>Must-Have</t>
        </is>
      </c>
      <c r="H378" s="8" t="inlineStr">
        <is>
          <t>self</t>
        </is>
      </c>
      <c r="I378" s="8" t="inlineStr">
        <is>
          <t>student.timetable.timetable</t>
        </is>
      </c>
      <c r="J378" s="8" t="inlineStr">
        <is>
          <t>web/src/features/portal/StudentTimetable.tsx</t>
        </is>
      </c>
      <c r="K378" s="8" t="inlineStr"/>
      <c r="L378" s="8" t="n">
        <v>2</v>
      </c>
      <c r="M378" s="8" t="inlineStr">
        <is>
          <t>/portal/preferences/display
/portal/summary</t>
        </is>
      </c>
      <c r="N378" s="8" t="inlineStr">
        <is>
          <t>worker/src/routes/portal/family.ts
worker/src/routes/portal/life.ts</t>
        </is>
      </c>
      <c r="O378" s="8" t="n">
        <v>56</v>
      </c>
      <c r="P378" s="8" t="inlineStr">
        <is>
          <t>academic_years
admission_form_versions
admission_forms
application_documents
applications
branding_profiles
class_subjects
classes
club_events
discipline_records
… +46 more</t>
        </is>
      </c>
      <c r="Q378" s="8" t="inlineStr">
        <is>
          <t>edge.test.ts</t>
        </is>
      </c>
      <c r="R378" s="8" t="inlineStr"/>
      <c r="S378" s="8" t="inlineStr">
        <is>
          <t>Daily/weekly class timetable and exam timetable.</t>
        </is>
      </c>
    </row>
    <row r="379">
      <c r="A379" s="8" t="inlineStr">
        <is>
          <t>Student</t>
        </is>
      </c>
      <c r="B379" s="8" t="inlineStr">
        <is>
          <t>Academics</t>
        </is>
      </c>
      <c r="C379" s="8" t="inlineStr">
        <is>
          <t>Attendance</t>
        </is>
      </c>
      <c r="D379" s="8" t="inlineStr">
        <is>
          <t>Attendance</t>
        </is>
      </c>
      <c r="E379" s="11" t="inlineStr">
        <is>
          <t>Good</t>
        </is>
      </c>
      <c r="F379" s="8" t="inlineStr">
        <is>
          <t>core</t>
        </is>
      </c>
      <c r="G379" s="8" t="inlineStr">
        <is>
          <t>Must-Have</t>
        </is>
      </c>
      <c r="H379" s="8" t="inlineStr">
        <is>
          <t>self</t>
        </is>
      </c>
      <c r="I379" s="8" t="inlineStr">
        <is>
          <t>student.attendance.attendance</t>
        </is>
      </c>
      <c r="J379" s="8" t="inlineStr">
        <is>
          <t>web/src/features/portal/StudentAttendance.tsx</t>
        </is>
      </c>
      <c r="K379" s="8" t="inlineStr"/>
      <c r="L379" s="8" t="n">
        <v>3</v>
      </c>
      <c r="M379" s="8" t="inlineStr">
        <is>
          <t>/portal/attendance
/portal/preferences/display
/portal/summary</t>
        </is>
      </c>
      <c r="N379" s="8" t="inlineStr">
        <is>
          <t>worker/src/routes/portal/family.ts
worker/src/routes/portal/life.ts</t>
        </is>
      </c>
      <c r="O379" s="8" t="n">
        <v>56</v>
      </c>
      <c r="P379" s="8" t="inlineStr">
        <is>
          <t>academic_years
admission_form_versions
admission_forms
application_documents
applications
branding_profiles
class_subjects
classes
club_events
discipline_records
… +46 more</t>
        </is>
      </c>
      <c r="Q379" s="8" t="inlineStr">
        <is>
          <t>access.test.ts
attendance.test.ts
edge.test.ts
student_lms.test.ts</t>
        </is>
      </c>
      <c r="R379" s="8" t="inlineStr"/>
      <c r="S379" s="8" t="inlineStr">
        <is>
          <t>Overall, subject-wise and date-wise attendance; leave/correction request if institution allows.</t>
        </is>
      </c>
    </row>
    <row r="380">
      <c r="A380" s="8" t="inlineStr">
        <is>
          <t>Student</t>
        </is>
      </c>
      <c r="B380" s="8" t="inlineStr">
        <is>
          <t>Academics</t>
        </is>
      </c>
      <c r="C380" s="8" t="inlineStr">
        <is>
          <t>Attendance</t>
        </is>
      </c>
      <c r="D380" s="8" t="inlineStr">
        <is>
          <t>Apply for leave</t>
        </is>
      </c>
      <c r="E380" s="10" t="inlineStr">
        <is>
          <t>Check</t>
        </is>
      </c>
      <c r="F380" s="8" t="inlineStr">
        <is>
          <t>core</t>
        </is>
      </c>
      <c r="G380" s="8" t="inlineStr">
        <is>
          <t>Must-Have</t>
        </is>
      </c>
      <c r="H380" s="8" t="inlineStr">
        <is>
          <t>self</t>
        </is>
      </c>
      <c r="I380" s="8" t="inlineStr">
        <is>
          <t>student.attendance.apply_for_leave</t>
        </is>
      </c>
      <c r="J380" s="8" t="inlineStr">
        <is>
          <t>web/src/features/portal/LeaveRequests.tsx</t>
        </is>
      </c>
      <c r="K380" s="8" t="inlineStr"/>
      <c r="L380" s="8" t="n">
        <v>6</v>
      </c>
      <c r="M380" s="8" t="inlineStr">
        <is>
          <t>/portal/leave
/portal/leave/{}/cancel
/portal/messages/teachers
/portal/students
/portal/students/everywhere
/workflow/leave</t>
        </is>
      </c>
      <c r="N380" s="8" t="inlineStr">
        <is>
          <t>worker/src/routes/daily.ts
worker/src/routes/portal/family.ts
worker/src/routes/portal/requests.ts</t>
        </is>
      </c>
      <c r="O380" s="8" t="n">
        <v>76</v>
      </c>
      <c r="P380" s="8" t="inlineStr">
        <is>
          <t>absence_followup_section_done
academic_years
admission_form_versions
admission_forms
application_documents
applications
attendance_corrections
bell_schedules
board_memberships
branding_profiles
… +66 more</t>
        </is>
      </c>
      <c r="Q380" s="8" t="inlineStr">
        <is>
          <t>access.test.ts</t>
        </is>
      </c>
      <c r="R380" s="8" t="inlineStr">
        <is>
          <t>1 step(s) in its backend files answer "not ported" (see Not ported tab).</t>
        </is>
      </c>
      <c r="S380" s="8" t="inlineStr">
        <is>
          <t>Ask the school for time off: the days, the reason, and a medical certificate if there is one. Shows every application you have made and what the class teacher decided, and lets you withdraw one they have not answered yet.</t>
        </is>
      </c>
    </row>
    <row r="381">
      <c r="A381" s="8" t="inlineStr">
        <is>
          <t>Student</t>
        </is>
      </c>
      <c r="B381" s="8" t="inlineStr">
        <is>
          <t>Academics</t>
        </is>
      </c>
      <c r="C381" s="8" t="inlineStr">
        <is>
          <t>Homework</t>
        </is>
      </c>
      <c r="D381" s="8" t="inlineStr">
        <is>
          <t>Homework &amp; assignments</t>
        </is>
      </c>
      <c r="E381" s="10" t="inlineStr">
        <is>
          <t>Check</t>
        </is>
      </c>
      <c r="F381" s="8" t="inlineStr">
        <is>
          <t>core</t>
        </is>
      </c>
      <c r="G381" s="8" t="inlineStr">
        <is>
          <t>Must-Have</t>
        </is>
      </c>
      <c r="H381" s="8" t="inlineStr">
        <is>
          <t>self</t>
        </is>
      </c>
      <c r="I381" s="8" t="inlineStr">
        <is>
          <t>student.homework.homework_assignments</t>
        </is>
      </c>
      <c r="J381" s="8" t="inlineStr">
        <is>
          <t>web/src/features/portal/StudentHomework.tsx</t>
        </is>
      </c>
      <c r="K381" s="8" t="inlineStr"/>
      <c r="L381" s="8" t="n">
        <v>19</v>
      </c>
      <c r="M381" s="8" t="inlineStr">
        <is>
          <t>/files
/files/{}
/homework
/homework/{}/submit
/lms/videos/{}/stream
/lms/videos/{}/thumbnail
/portal/attendance
/portal/learning/streak
… +11 more</t>
        </is>
      </c>
      <c r="N381" s="8" t="inlineStr">
        <is>
          <t>worker/src/routes/comms/class_status.ts
worker/src/routes/daily.ts
worker/src/routes/misc/files.ts
worker/src/routes/portal/family.ts
worker/src/routes/portal/life.ts
worker/src/routes/portal/lms.ts
… +1 more</t>
        </is>
      </c>
      <c r="O381" s="8" t="n">
        <v>105</v>
      </c>
      <c r="P381" s="8" t="inlineStr">
        <is>
          <t>absence_followup_section_done
academic_years
admission_form_versions
admission_forms
announcement_sections
announcements
application_documents
applications
attendance_corrections
bell_schedules
… +95 more</t>
        </is>
      </c>
      <c r="Q381" s="8" t="inlineStr">
        <is>
          <t>access.test.ts
attendance.test.ts
class_status_gaps.test.ts
edge.test.ts
feature_class_status.test.ts
feature_switch_cache.test.ts
… +7 more</t>
        </is>
      </c>
      <c r="R381" s="8" t="inlineStr">
        <is>
          <t>1 step(s) in its backend files answer "not ported" (see Not ported tab).</t>
        </is>
      </c>
      <c r="S381" s="8" t="inlineStr">
        <is>
          <t>View due/overdue/submitted work; submit files/text where enabled.</t>
        </is>
      </c>
    </row>
    <row r="382">
      <c r="A382" s="8" t="inlineStr">
        <is>
          <t>Student</t>
        </is>
      </c>
      <c r="B382" s="8" t="inlineStr">
        <is>
          <t>Academics</t>
        </is>
      </c>
      <c r="C382" s="8" t="inlineStr">
        <is>
          <t>Learning</t>
        </is>
      </c>
      <c r="D382" s="8" t="inlineStr">
        <is>
          <t>Courses / subjects</t>
        </is>
      </c>
      <c r="E382" s="11" t="inlineStr">
        <is>
          <t>Good</t>
        </is>
      </c>
      <c r="F382" s="8" t="inlineStr">
        <is>
          <t>core</t>
        </is>
      </c>
      <c r="G382" s="8" t="inlineStr">
        <is>
          <t>Must-Have</t>
        </is>
      </c>
      <c r="H382" s="8" t="inlineStr">
        <is>
          <t>self</t>
        </is>
      </c>
      <c r="I382" s="8" t="inlineStr">
        <is>
          <t>student.learning.courses_subjects</t>
        </is>
      </c>
      <c r="J382" s="8" t="inlineStr">
        <is>
          <t>web/src/features/learning/StudentCourses.tsx</t>
        </is>
      </c>
      <c r="K382" s="8" t="inlineStr"/>
      <c r="L382" s="8" t="n">
        <v>17</v>
      </c>
      <c r="M382" s="8" t="inlineStr">
        <is>
          <t>/files
/files/{}
/lms/videos/{}/stream
/lms/videos/{}/thumbnail
/portal/learning/resources
/portal/learning/resources/{}/seen
/portal/lms/assignments/{}/submit
/portal/lms/course
… +9 more</t>
        </is>
      </c>
      <c r="N382" s="8" t="inlineStr">
        <is>
          <t>worker/src/routes/misc/files.ts
worker/src/routes/portal/learning.ts
worker/src/routes/portal/life.ts
worker/src/routes/portal/lms.ts
worker/src/routes/teaching/videos.ts</t>
        </is>
      </c>
      <c r="O382" s="8" t="n">
        <v>66</v>
      </c>
      <c r="P382" s="8" t="inlineStr">
        <is>
          <t>announcement_sections
announcements
application_documents
campuses
class_subjects
classes
club_event_tickets
club_events
discipline_records
employee_documents
… +56 more</t>
        </is>
      </c>
      <c r="Q382" s="8" t="inlineStr">
        <is>
          <t>edge.test.ts
lms_modules.test.ts
lms_nesting.test.ts
lms_progression.test.ts
lms_videos.test.ts
perf.test.ts
… +1 more</t>
        </is>
      </c>
      <c r="R382" s="8" t="inlineStr"/>
      <c r="S382" s="8" t="inlineStr">
        <is>
          <t>Current enrolled courses/subjects, teacher and learning resources.</t>
        </is>
      </c>
    </row>
    <row r="383">
      <c r="A383" s="8" t="inlineStr">
        <is>
          <t>Student</t>
        </is>
      </c>
      <c r="B383" s="8" t="inlineStr">
        <is>
          <t>Academics</t>
        </is>
      </c>
      <c r="C383" s="8" t="inlineStr">
        <is>
          <t>Learning</t>
        </is>
      </c>
      <c r="D383" s="8" t="inlineStr">
        <is>
          <t>LMS</t>
        </is>
      </c>
      <c r="E383" s="11" t="inlineStr">
        <is>
          <t>Good</t>
        </is>
      </c>
      <c r="F383" s="8" t="inlineStr">
        <is>
          <t>core</t>
        </is>
      </c>
      <c r="G383" s="8" t="inlineStr">
        <is>
          <t>Must-Have</t>
        </is>
      </c>
      <c r="H383" s="8" t="inlineStr">
        <is>
          <t>self</t>
        </is>
      </c>
      <c r="I383" s="8" t="inlineStr">
        <is>
          <t>student.learning.e_learning_resource_hub</t>
        </is>
      </c>
      <c r="J383" s="8" t="inlineStr">
        <is>
          <t>web/src/features/learning/StudentCourses.tsx</t>
        </is>
      </c>
      <c r="K383" s="8" t="inlineStr"/>
      <c r="L383" s="8" t="n">
        <v>17</v>
      </c>
      <c r="M383" s="8" t="inlineStr">
        <is>
          <t>/files
/files/{}
/lms/videos/{}/stream
/lms/videos/{}/thumbnail
/portal/learning/resources
/portal/learning/resources/{}/seen
/portal/lms/assignments/{}/submit
/portal/lms/course
… +9 more</t>
        </is>
      </c>
      <c r="N383" s="8" t="inlineStr">
        <is>
          <t>worker/src/routes/misc/files.ts
worker/src/routes/portal/learning.ts
worker/src/routes/portal/life.ts
worker/src/routes/portal/lms.ts
worker/src/routes/teaching/videos.ts</t>
        </is>
      </c>
      <c r="O383" s="8" t="n">
        <v>66</v>
      </c>
      <c r="P383" s="8" t="inlineStr">
        <is>
          <t>announcement_sections
announcements
application_documents
campuses
class_subjects
classes
club_event_tickets
club_events
discipline_records
employee_documents
… +56 more</t>
        </is>
      </c>
      <c r="Q383" s="8" t="inlineStr">
        <is>
          <t>edge.test.ts
lms_modules.test.ts
lms_nesting.test.ts
lms_progression.test.ts
lms_videos.test.ts
perf.test.ts
… +1 more</t>
        </is>
      </c>
      <c r="R383" s="8" t="inlineStr"/>
      <c r="S383" s="8" t="inlineStr">
        <is>
          <t>Access teacher-uploaded video lectures, PDF notes, chapter slides, and reference links.</t>
        </is>
      </c>
    </row>
    <row r="384">
      <c r="A384" s="8" t="inlineStr">
        <is>
          <t>Student</t>
        </is>
      </c>
      <c r="B384" s="8" t="inlineStr">
        <is>
          <t>Academics</t>
        </is>
      </c>
      <c r="C384" s="8" t="inlineStr">
        <is>
          <t>Learning</t>
        </is>
      </c>
      <c r="D384" s="8" t="inlineStr">
        <is>
          <t>AI Personal Learning Companion</t>
        </is>
      </c>
      <c r="E384" s="12" t="inlineStr">
        <is>
          <t>Planned</t>
        </is>
      </c>
      <c r="F384" s="8" t="inlineStr">
        <is>
          <t>core</t>
        </is>
      </c>
      <c r="G384" s="8" t="inlineStr">
        <is>
          <t>Nice-to-Have</t>
        </is>
      </c>
      <c r="H384" s="8" t="inlineStr">
        <is>
          <t>self</t>
        </is>
      </c>
      <c r="I384" s="8" t="inlineStr">
        <is>
          <t>student.learning.ai_personal_learning_companion</t>
        </is>
      </c>
      <c r="J384" s="8" t="inlineStr"/>
      <c r="K384" s="8" t="inlineStr"/>
      <c r="L384" s="8" t="n">
        <v>0</v>
      </c>
      <c r="M384" s="8" t="inlineStr"/>
      <c r="N384" s="8" t="inlineStr"/>
      <c r="O384" s="8" t="n">
        <v>0</v>
      </c>
      <c r="P384" s="8" t="inlineStr"/>
      <c r="Q384" s="8" t="inlineStr"/>
      <c r="R384" s="8" t="inlineStr">
        <is>
          <t>In the catalogue, no screen built yet.</t>
        </is>
      </c>
      <c r="S384" s="8" t="inlineStr">
        <is>
          <t>Not built: needs an outside AI service the school would have to buy and be answerable for; nothing here can honestly tutor a child without it. 24/7 AI tutor answering student doubts, explaining math problems step-by-step, and generating practice quizzes.</t>
        </is>
      </c>
    </row>
    <row r="385">
      <c r="A385" s="8" t="inlineStr">
        <is>
          <t>Student</t>
        </is>
      </c>
      <c r="B385" s="8" t="inlineStr">
        <is>
          <t>Academics</t>
        </is>
      </c>
      <c r="C385" s="8" t="inlineStr">
        <is>
          <t>Learning</t>
        </is>
      </c>
      <c r="D385" s="8" t="inlineStr">
        <is>
          <t>Peer Tutoring &amp; Study Groups</t>
        </is>
      </c>
      <c r="E385" s="11" t="inlineStr">
        <is>
          <t>Good</t>
        </is>
      </c>
      <c r="F385" s="8" t="inlineStr">
        <is>
          <t>optional</t>
        </is>
      </c>
      <c r="G385" s="8" t="inlineStr">
        <is>
          <t>Must-Have</t>
        </is>
      </c>
      <c r="H385" s="8" t="inlineStr">
        <is>
          <t>self</t>
        </is>
      </c>
      <c r="I385" s="8" t="inlineStr">
        <is>
          <t>student.learning.peer_tutoring_study_groups</t>
        </is>
      </c>
      <c r="J385" s="8" t="inlineStr">
        <is>
          <t>web/src/features/learning/StudyGroups.tsx</t>
        </is>
      </c>
      <c r="K385" s="8" t="inlineStr"/>
      <c r="L385" s="8" t="n">
        <v>6</v>
      </c>
      <c r="M385" s="8" t="inlineStr">
        <is>
          <t>/portal/learning/study-groups
/portal/learning/study-groups/{}/join
/portal/learning/study-groups/{}/leave
/portal/learning/study-groups/{}/members
/portal/students
/portal/students/everywhere</t>
        </is>
      </c>
      <c r="N385" s="8" t="inlineStr">
        <is>
          <t>worker/src/routes/portal/family.ts
worker/src/routes/portal/learning.ts</t>
        </is>
      </c>
      <c r="O385" s="8" t="n">
        <v>58</v>
      </c>
      <c r="P385" s="8" t="inlineStr">
        <is>
          <t>academic_years
admission_form_versions
admission_forms
application_documents
applications
branding_profiles
campuses
class_subjects
classes
club_event_tickets
… +48 more</t>
        </is>
      </c>
      <c r="Q385" s="8" t="inlineStr">
        <is>
          <t>access.test.ts</t>
        </is>
      </c>
      <c r="R385" s="8" t="inlineStr"/>
      <c r="S385" s="8" t="inlineStr">
        <is>
          <t>Sign up as student tutors or request peer study group assistance in specific subjects.</t>
        </is>
      </c>
    </row>
    <row r="386">
      <c r="A386" s="8" t="inlineStr">
        <is>
          <t>Student</t>
        </is>
      </c>
      <c r="B386" s="8" t="inlineStr">
        <is>
          <t>Academics</t>
        </is>
      </c>
      <c r="C386" s="8" t="inlineStr">
        <is>
          <t>Learning</t>
        </is>
      </c>
      <c r="D386" s="8" t="inlineStr">
        <is>
          <t>Gamified Learning Streak Counter</t>
        </is>
      </c>
      <c r="E386" s="11" t="inlineStr">
        <is>
          <t>Good</t>
        </is>
      </c>
      <c r="F386" s="8" t="inlineStr">
        <is>
          <t>optional</t>
        </is>
      </c>
      <c r="G386" s="8" t="inlineStr">
        <is>
          <t>Nice-to-Have</t>
        </is>
      </c>
      <c r="H386" s="8" t="inlineStr">
        <is>
          <t>self</t>
        </is>
      </c>
      <c r="I386" s="8" t="inlineStr">
        <is>
          <t>student.learning.gamified_learning_streak_counter</t>
        </is>
      </c>
      <c r="J386" s="8" t="inlineStr">
        <is>
          <t>web/src/features/learning/Streak.tsx</t>
        </is>
      </c>
      <c r="K386" s="8" t="inlineStr"/>
      <c r="L386" s="8" t="n">
        <v>3</v>
      </c>
      <c r="M386" s="8" t="inlineStr">
        <is>
          <t>/portal/learning/streak
/portal/students
/portal/students/everywhere</t>
        </is>
      </c>
      <c r="N386" s="8" t="inlineStr">
        <is>
          <t>worker/src/routes/portal/family.ts
worker/src/routes/portal/life.ts</t>
        </is>
      </c>
      <c r="O386" s="8" t="n">
        <v>56</v>
      </c>
      <c r="P386" s="8" t="inlineStr">
        <is>
          <t>academic_years
admission_form_versions
admission_forms
application_documents
applications
branding_profiles
class_subjects
classes
club_events
discipline_records
… +46 more</t>
        </is>
      </c>
      <c r="Q386" s="8" t="inlineStr">
        <is>
          <t>access.test.ts</t>
        </is>
      </c>
      <c r="R386" s="8" t="inlineStr"/>
      <c r="S386" s="8" t="inlineStr">
        <is>
          <t>Visual daily login and homework completion streak counter rewarding students with digital badges.</t>
        </is>
      </c>
    </row>
    <row r="387">
      <c r="A387" s="8" t="inlineStr">
        <is>
          <t>Student</t>
        </is>
      </c>
      <c r="B387" s="8" t="inlineStr">
        <is>
          <t>Academics</t>
        </is>
      </c>
      <c r="C387" s="8" t="inlineStr">
        <is>
          <t>Learning</t>
        </is>
      </c>
      <c r="D387" s="8" t="inlineStr">
        <is>
          <t>Gamified Learning Badge Showcase</t>
        </is>
      </c>
      <c r="E387" s="11" t="inlineStr">
        <is>
          <t>Good</t>
        </is>
      </c>
      <c r="F387" s="8" t="inlineStr">
        <is>
          <t>optional</t>
        </is>
      </c>
      <c r="G387" s="8" t="inlineStr">
        <is>
          <t>Nice-to-Have</t>
        </is>
      </c>
      <c r="H387" s="8" t="inlineStr">
        <is>
          <t>self</t>
        </is>
      </c>
      <c r="I387" s="8" t="inlineStr">
        <is>
          <t>student.learning.gamified_learning_badge_showcase</t>
        </is>
      </c>
      <c r="J387" s="8" t="inlineStr">
        <is>
          <t>web/src/features/learning/Badges.tsx</t>
        </is>
      </c>
      <c r="K387" s="8" t="inlineStr"/>
      <c r="L387" s="8" t="n">
        <v>4</v>
      </c>
      <c r="M387" s="8" t="inlineStr">
        <is>
          <t>/portal/learning/badges
/portal/learning/streak
/portal/students
/portal/students/everywhere</t>
        </is>
      </c>
      <c r="N387" s="8" t="inlineStr">
        <is>
          <t>worker/src/routes/portal/family.ts
worker/src/routes/portal/life.ts</t>
        </is>
      </c>
      <c r="O387" s="8" t="n">
        <v>56</v>
      </c>
      <c r="P387" s="8" t="inlineStr">
        <is>
          <t>academic_years
admission_form_versions
admission_forms
application_documents
applications
branding_profiles
class_subjects
classes
club_events
discipline_records
… +46 more</t>
        </is>
      </c>
      <c r="Q387" s="8" t="inlineStr">
        <is>
          <t>access.test.ts</t>
        </is>
      </c>
      <c r="R387" s="8" t="inlineStr"/>
      <c r="S387" s="8" t="inlineStr">
        <is>
          <t>Display earned academic, behavioral, and extracurricular digital badges on public student profile.</t>
        </is>
      </c>
    </row>
    <row r="388">
      <c r="A388" s="8" t="inlineStr">
        <is>
          <t>Student</t>
        </is>
      </c>
      <c r="B388" s="8" t="inlineStr">
        <is>
          <t>Academics</t>
        </is>
      </c>
      <c r="C388" s="8" t="inlineStr">
        <is>
          <t>Learning</t>
        </is>
      </c>
      <c r="D388" s="8" t="inlineStr">
        <is>
          <t>Virtual Classroom Hand-Raise Telemetry</t>
        </is>
      </c>
      <c r="E388" s="11" t="inlineStr">
        <is>
          <t>Good</t>
        </is>
      </c>
      <c r="F388" s="8" t="inlineStr">
        <is>
          <t>optional</t>
        </is>
      </c>
      <c r="G388" s="8" t="inlineStr">
        <is>
          <t>Must-Have</t>
        </is>
      </c>
      <c r="H388" s="8" t="inlineStr">
        <is>
          <t>self</t>
        </is>
      </c>
      <c r="I388" s="8" t="inlineStr">
        <is>
          <t>student.learning.virtual_classroom_hand_raise_telemetry</t>
        </is>
      </c>
      <c r="J388" s="8" t="inlineStr">
        <is>
          <t>web/src/features/learning/HandRaise.tsx</t>
        </is>
      </c>
      <c r="K388" s="8" t="inlineStr"/>
      <c r="L388" s="8" t="n">
        <v>6</v>
      </c>
      <c r="M388" s="8" t="inlineStr">
        <is>
          <t>/portal/live-classes
/portal/live-classes/my-engagement
/portal/live-classes/{}/hand
/portal/live-classes/{}/hand/lower
/portal/students
/portal/students/everywhere</t>
        </is>
      </c>
      <c r="N388" s="8" t="inlineStr">
        <is>
          <t>worker/src/routes/portal/family.ts
worker/src/routes/portal/life.ts</t>
        </is>
      </c>
      <c r="O388" s="8" t="n">
        <v>56</v>
      </c>
      <c r="P388" s="8" t="inlineStr">
        <is>
          <t>academic_years
admission_form_versions
admission_forms
application_documents
applications
branding_profiles
class_subjects
classes
club_events
discipline_records
… +46 more</t>
        </is>
      </c>
      <c r="Q388" s="8" t="inlineStr">
        <is>
          <t>access.test.ts</t>
        </is>
      </c>
      <c r="R388" s="8" t="inlineStr"/>
      <c r="S388" s="8" t="inlineStr">
        <is>
          <t>Log student digital hand-raises during live virtual classes to measure real-time engagement.</t>
        </is>
      </c>
    </row>
    <row r="389">
      <c r="A389" s="8" t="inlineStr">
        <is>
          <t>Student</t>
        </is>
      </c>
      <c r="B389" s="8" t="inlineStr">
        <is>
          <t>Academics</t>
        </is>
      </c>
      <c r="C389" s="8" t="inlineStr">
        <is>
          <t>Learning</t>
        </is>
      </c>
      <c r="D389" s="8" t="inlineStr">
        <is>
          <t>Global University Guidance Counselor</t>
        </is>
      </c>
      <c r="E389" s="11" t="inlineStr">
        <is>
          <t>Good</t>
        </is>
      </c>
      <c r="F389" s="8" t="inlineStr">
        <is>
          <t>optional</t>
        </is>
      </c>
      <c r="G389" s="8" t="inlineStr">
        <is>
          <t>Nice-to-Have</t>
        </is>
      </c>
      <c r="H389" s="8" t="inlineStr">
        <is>
          <t>self</t>
        </is>
      </c>
      <c r="I389" s="8" t="inlineStr">
        <is>
          <t>student.learning.global_university_guidance_counselor</t>
        </is>
      </c>
      <c r="J389" s="8" t="inlineStr">
        <is>
          <t>web/src/features/learning/Universities.tsx</t>
        </is>
      </c>
      <c r="K389" s="8" t="inlineStr"/>
      <c r="L389" s="8" t="n">
        <v>4</v>
      </c>
      <c r="M389" s="8" t="inlineStr">
        <is>
          <t>/portal/learning/universities
/portal/learning/universities/{}
/portal/students
/portal/students/everywhere</t>
        </is>
      </c>
      <c r="N389" s="8" t="inlineStr">
        <is>
          <t>worker/src/routes/portal/family.ts
worker/src/routes/portal/learning.ts</t>
        </is>
      </c>
      <c r="O389" s="8" t="n">
        <v>58</v>
      </c>
      <c r="P389" s="8" t="inlineStr">
        <is>
          <t>academic_years
admission_form_versions
admission_forms
application_documents
applications
branding_profiles
campuses
class_subjects
classes
club_event_tickets
… +48 more</t>
        </is>
      </c>
      <c r="Q389" s="8" t="inlineStr">
        <is>
          <t>access.test.ts</t>
        </is>
      </c>
      <c r="R389" s="8" t="inlineStr"/>
      <c r="S389" s="8" t="inlineStr">
        <is>
          <t>Track college application deadlines, essay drafts, and request teacher Letters of Recommendation (LOR).</t>
        </is>
      </c>
    </row>
    <row r="390">
      <c r="A390" s="8" t="inlineStr">
        <is>
          <t>Student</t>
        </is>
      </c>
      <c r="B390" s="8" t="inlineStr">
        <is>
          <t>Academics</t>
        </is>
      </c>
      <c r="C390" s="8" t="inlineStr">
        <is>
          <t>Learning</t>
        </is>
      </c>
      <c r="D390" s="8" t="inlineStr">
        <is>
          <t>Student Portfolio Management</t>
        </is>
      </c>
      <c r="E390" s="11" t="inlineStr">
        <is>
          <t>Good</t>
        </is>
      </c>
      <c r="F390" s="8" t="inlineStr">
        <is>
          <t>advanced</t>
        </is>
      </c>
      <c r="G390" s="8" t="inlineStr">
        <is>
          <t>Must-Have</t>
        </is>
      </c>
      <c r="H390" s="8" t="inlineStr">
        <is>
          <t>self</t>
        </is>
      </c>
      <c r="I390" s="8" t="inlineStr">
        <is>
          <t>student.learning.student_portfolio_management</t>
        </is>
      </c>
      <c r="J390" s="8" t="inlineStr">
        <is>
          <t>web/src/features/learning/Portfolio.tsx</t>
        </is>
      </c>
      <c r="K390" s="8" t="inlineStr"/>
      <c r="L390" s="8" t="n">
        <v>4</v>
      </c>
      <c r="M390" s="8" t="inlineStr">
        <is>
          <t>/portal/learning/portfolio
/portal/learning/portfolio/{}
/portal/students
/portal/students/everywhere</t>
        </is>
      </c>
      <c r="N390" s="8" t="inlineStr">
        <is>
          <t>worker/src/routes/portal/family.ts
worker/src/routes/portal/learning.ts</t>
        </is>
      </c>
      <c r="O390" s="8" t="n">
        <v>58</v>
      </c>
      <c r="P390" s="8" t="inlineStr">
        <is>
          <t>academic_years
admission_form_versions
admission_forms
application_documents
applications
branding_profiles
campuses
class_subjects
classes
club_event_tickets
… +48 more</t>
        </is>
      </c>
      <c r="Q390" s="8" t="inlineStr">
        <is>
          <t>access.test.ts</t>
        </is>
      </c>
      <c r="R390" s="8" t="inlineStr"/>
      <c r="S390" s="8" t="inlineStr">
        <is>
          <t>Maintain personal showcase portfolio containing certificates, creative projects, and sports records.</t>
        </is>
      </c>
    </row>
    <row r="391">
      <c r="A391" s="8" t="inlineStr">
        <is>
          <t>Student</t>
        </is>
      </c>
      <c r="B391" s="8" t="inlineStr">
        <is>
          <t>Academics</t>
        </is>
      </c>
      <c r="C391" s="8" t="inlineStr">
        <is>
          <t>Exams &amp; Results</t>
        </is>
      </c>
      <c r="D391" s="8" t="inlineStr">
        <is>
          <t>Exams &amp; grades</t>
        </is>
      </c>
      <c r="E391" s="11" t="inlineStr">
        <is>
          <t>Good</t>
        </is>
      </c>
      <c r="F391" s="8" t="inlineStr">
        <is>
          <t>core</t>
        </is>
      </c>
      <c r="G391" s="8" t="inlineStr">
        <is>
          <t>Must-Have</t>
        </is>
      </c>
      <c r="H391" s="8" t="inlineStr">
        <is>
          <t>self</t>
        </is>
      </c>
      <c r="I391" s="8" t="inlineStr">
        <is>
          <t>student.exams_results.exams_grades</t>
        </is>
      </c>
      <c r="J391" s="8" t="inlineStr">
        <is>
          <t>web/src/features/portal/StudentResults.tsx</t>
        </is>
      </c>
      <c r="K391" s="8" t="inlineStr"/>
      <c r="L391" s="8" t="n">
        <v>3</v>
      </c>
      <c r="M391" s="8" t="inlineStr">
        <is>
          <t>/portal/preferences/display
/portal/results
/portal/results/card</t>
        </is>
      </c>
      <c r="N391" s="8" t="inlineStr">
        <is>
          <t>worker/src/routes/portal/family.ts
worker/src/routes/portal/life.ts</t>
        </is>
      </c>
      <c r="O391" s="8" t="n">
        <v>56</v>
      </c>
      <c r="P391" s="8" t="inlineStr">
        <is>
          <t>academic_years
admission_form_versions
admission_forms
application_documents
applications
branding_profiles
class_subjects
classes
club_events
discipline_records
… +46 more</t>
        </is>
      </c>
      <c r="Q391" s="8" t="inlineStr">
        <is>
          <t>edge.test.ts
student_lms.test.ts</t>
        </is>
      </c>
      <c r="R391" s="8" t="inlineStr"/>
      <c r="S391" s="8" t="inlineStr">
        <is>
          <t>Exam schedule, marks, grades, published results and report cards.</t>
        </is>
      </c>
    </row>
    <row r="392">
      <c r="A392" s="8" t="inlineStr">
        <is>
          <t>Student</t>
        </is>
      </c>
      <c r="B392" s="8" t="inlineStr">
        <is>
          <t>Academics</t>
        </is>
      </c>
      <c r="C392" s="8" t="inlineStr">
        <is>
          <t>Exams &amp; Results</t>
        </is>
      </c>
      <c r="D392" s="8" t="inlineStr">
        <is>
          <t>Academic record</t>
        </is>
      </c>
      <c r="E392" s="11" t="inlineStr">
        <is>
          <t>Good</t>
        </is>
      </c>
      <c r="F392" s="8" t="inlineStr">
        <is>
          <t>core</t>
        </is>
      </c>
      <c r="G392" s="8" t="inlineStr">
        <is>
          <t>Must-Have</t>
        </is>
      </c>
      <c r="H392" s="8" t="inlineStr">
        <is>
          <t>self</t>
        </is>
      </c>
      <c r="I392" s="8" t="inlineStr">
        <is>
          <t>student.exams_results.academic_record</t>
        </is>
      </c>
      <c r="J392" s="8" t="inlineStr">
        <is>
          <t>web/src/features/portal/StudentRecord.tsx</t>
        </is>
      </c>
      <c r="K392" s="8" t="inlineStr"/>
      <c r="L392" s="8" t="n">
        <v>4</v>
      </c>
      <c r="M392" s="8" t="inlineStr">
        <is>
          <t>/portal/academic-record
/portal/preferences/display
/portal/results
/portal/results/card</t>
        </is>
      </c>
      <c r="N392" s="8" t="inlineStr">
        <is>
          <t>worker/src/routes/portal/family.ts
worker/src/routes/portal/life.ts
worker/src/routes/portal/records.ts</t>
        </is>
      </c>
      <c r="O392" s="8" t="n">
        <v>63</v>
      </c>
      <c r="P392" s="8" t="inlineStr">
        <is>
          <t>abc_credit_entries
academic_years
admission_form_versions
admission_forms
alumni_job_interests
alumni_job_posts
alumni_profiles
application_documents
applications
branding_profiles
… +53 more</t>
        </is>
      </c>
      <c r="Q392" s="8" t="inlineStr">
        <is>
          <t>edge.test.ts
student_lms.test.ts</t>
        </is>
      </c>
      <c r="R392" s="8" t="inlineStr"/>
      <c r="S392" s="8" t="inlineStr">
        <is>
          <t>Current/previous grades, transcript/academic history when published.</t>
        </is>
      </c>
    </row>
    <row r="393">
      <c r="A393" s="8" t="inlineStr">
        <is>
          <t>Student</t>
        </is>
      </c>
      <c r="B393" s="8" t="inlineStr">
        <is>
          <t>Fees</t>
        </is>
      </c>
      <c r="C393" s="8" t="inlineStr">
        <is>
          <t>Fees</t>
        </is>
      </c>
      <c r="D393" s="8" t="inlineStr">
        <is>
          <t>Fees</t>
        </is>
      </c>
      <c r="E393" s="11" t="inlineStr">
        <is>
          <t>Good</t>
        </is>
      </c>
      <c r="F393" s="8" t="inlineStr">
        <is>
          <t>core</t>
        </is>
      </c>
      <c r="G393" s="8" t="inlineStr">
        <is>
          <t>Must-Have</t>
        </is>
      </c>
      <c r="H393" s="8" t="inlineStr">
        <is>
          <t>self</t>
        </is>
      </c>
      <c r="I393" s="8" t="inlineStr">
        <is>
          <t>student.fees.fees</t>
        </is>
      </c>
      <c r="J393" s="8" t="inlineStr">
        <is>
          <t>web/src/features/portal/Fees.tsx</t>
        </is>
      </c>
      <c r="K393" s="8" t="inlineStr"/>
      <c r="L393" s="8" t="n">
        <v>5</v>
      </c>
      <c r="M393" s="8" t="inlineStr">
        <is>
          <t>/fees/upi-code
/files
/portal/fees
/portal/fees/pay
/portal/students</t>
        </is>
      </c>
      <c r="N393" s="8" t="inlineStr">
        <is>
          <t>worker/src/routes/fees/counter.ts
worker/src/routes/misc/files.ts
worker/src/routes/portal/family.ts</t>
        </is>
      </c>
      <c r="O393" s="8" t="n">
        <v>51</v>
      </c>
      <c r="P393" s="8" t="inlineStr">
        <is>
          <t>academic_years
admission_form_versions
admission_forms
application_documents
applications
branding_profiles
class_subjects
classes
discipline_records
employee_documents
… +41 more</t>
        </is>
      </c>
      <c r="Q393" s="8" t="inlineStr">
        <is>
          <t>access.test.ts
student_lms.test.ts</t>
        </is>
      </c>
      <c r="R393" s="8" t="inlineStr"/>
      <c r="S393" s="8" t="inlineStr">
        <is>
          <t>Current dues, fee history, payment status, online payment and receipts.</t>
        </is>
      </c>
    </row>
    <row r="394">
      <c r="A394" s="8" t="inlineStr">
        <is>
          <t>Student</t>
        </is>
      </c>
      <c r="B394" s="8" t="inlineStr">
        <is>
          <t>School</t>
        </is>
      </c>
      <c r="C394" s="8" t="inlineStr">
        <is>
          <t>Notices &amp; Calendar</t>
        </is>
      </c>
      <c r="D394" s="8" t="inlineStr">
        <is>
          <t>Calendar</t>
        </is>
      </c>
      <c r="E394" s="11" t="inlineStr">
        <is>
          <t>Good</t>
        </is>
      </c>
      <c r="F394" s="8" t="inlineStr">
        <is>
          <t>core</t>
        </is>
      </c>
      <c r="G394" s="8" t="inlineStr">
        <is>
          <t>Must-Have</t>
        </is>
      </c>
      <c r="H394" s="8" t="inlineStr">
        <is>
          <t>self</t>
        </is>
      </c>
      <c r="I394" s="8" t="inlineStr">
        <is>
          <t>student.notices_calendar.calendar</t>
        </is>
      </c>
      <c r="J394" s="8" t="inlineStr">
        <is>
          <t>web/src/features/portal/StudentCalendar.tsx</t>
        </is>
      </c>
      <c r="K394" s="8" t="inlineStr"/>
      <c r="L394" s="8" t="n">
        <v>2</v>
      </c>
      <c r="M394" s="8" t="inlineStr">
        <is>
          <t>/portal/calendar
/portal/preferences/display</t>
        </is>
      </c>
      <c r="N394" s="8" t="inlineStr">
        <is>
          <t>worker/src/routes/portal/life.ts
worker/src/routes/portal/records.ts</t>
        </is>
      </c>
      <c r="O394" s="8" t="n">
        <v>40</v>
      </c>
      <c r="P394" s="8" t="inlineStr">
        <is>
          <t>abc_credit_entries
academic_years
alumni_job_interests
alumni_job_posts
alumni_profiles
class_subjects
classes
club_events
discipline_records
enrollments
… +30 more</t>
        </is>
      </c>
      <c r="Q394" s="8" t="inlineStr">
        <is>
          <t>edge.test.ts</t>
        </is>
      </c>
      <c r="R394" s="8" t="inlineStr"/>
      <c r="S394" s="8" t="inlineStr">
        <is>
          <t>Academic calendar, holidays, events and deadlines.</t>
        </is>
      </c>
    </row>
    <row r="395">
      <c r="A395" s="8" t="inlineStr">
        <is>
          <t>Student</t>
        </is>
      </c>
      <c r="B395" s="8" t="inlineStr">
        <is>
          <t>School</t>
        </is>
      </c>
      <c r="C395" s="8" t="inlineStr">
        <is>
          <t>Notices &amp; Calendar</t>
        </is>
      </c>
      <c r="D395" s="8" t="inlineStr">
        <is>
          <t>Library Book Hold Request</t>
        </is>
      </c>
      <c r="E395" s="11" t="inlineStr">
        <is>
          <t>Good</t>
        </is>
      </c>
      <c r="F395" s="8" t="inlineStr">
        <is>
          <t>core</t>
        </is>
      </c>
      <c r="G395" s="8" t="inlineStr">
        <is>
          <t>Must-Have</t>
        </is>
      </c>
      <c r="H395" s="8" t="inlineStr">
        <is>
          <t>self</t>
        </is>
      </c>
      <c r="I395" s="8" t="inlineStr">
        <is>
          <t>student.notices_calendar.library_book_hold_request</t>
        </is>
      </c>
      <c r="J395" s="8" t="inlineStr">
        <is>
          <t>web/src/features/learning/LibraryHolds.tsx</t>
        </is>
      </c>
      <c r="K395" s="8" t="inlineStr"/>
      <c r="L395" s="8" t="n">
        <v>5</v>
      </c>
      <c r="M395" s="8" t="inlineStr">
        <is>
          <t>/portal/library/holds
/portal/library/holds/{}/cancel
/portal/library/titles
/portal/students
/portal/students/everywhere</t>
        </is>
      </c>
      <c r="N395" s="8" t="inlineStr">
        <is>
          <t>worker/src/routes/portal/family.ts
worker/src/routes/portal/records.ts</t>
        </is>
      </c>
      <c r="O395" s="8" t="n">
        <v>50</v>
      </c>
      <c r="P395" s="8" t="inlineStr">
        <is>
          <t>abc_credit_entries
academic_years
admission_form_versions
admission_forms
alumni_job_interests
alumni_job_posts
alumni_profiles
application_documents
applications
branding_profiles
… +40 more</t>
        </is>
      </c>
      <c r="Q395" s="8" t="inlineStr">
        <is>
          <t>access.test.ts</t>
        </is>
      </c>
      <c r="R395" s="8" t="inlineStr"/>
      <c r="S395" s="8" t="inlineStr">
        <is>
          <t>Reserve available library books online for pickup at the start of the next school day.</t>
        </is>
      </c>
    </row>
    <row r="396">
      <c r="A396" s="8" t="inlineStr">
        <is>
          <t>Student</t>
        </is>
      </c>
      <c r="B396" s="8" t="inlineStr">
        <is>
          <t>School</t>
        </is>
      </c>
      <c r="C396" s="8" t="inlineStr">
        <is>
          <t>Campus Life</t>
        </is>
      </c>
      <c r="D396" s="8" t="inlineStr">
        <is>
          <t>Student Wall &amp; Peer Recognition</t>
        </is>
      </c>
      <c r="E396" s="11" t="inlineStr">
        <is>
          <t>Good</t>
        </is>
      </c>
      <c r="F396" s="8" t="inlineStr">
        <is>
          <t>optional</t>
        </is>
      </c>
      <c r="G396" s="8" t="inlineStr">
        <is>
          <t>Must-Have</t>
        </is>
      </c>
      <c r="H396" s="8" t="inlineStr">
        <is>
          <t>self</t>
        </is>
      </c>
      <c r="I396" s="8" t="inlineStr">
        <is>
          <t>student.campus_life.student_wall_peer_recognition</t>
        </is>
      </c>
      <c r="J396" s="8" t="inlineStr">
        <is>
          <t>web/src/features/learning/StudentWall.tsx</t>
        </is>
      </c>
      <c r="K396" s="8" t="inlineStr"/>
      <c r="L396" s="8" t="n">
        <v>4</v>
      </c>
      <c r="M396" s="8" t="inlineStr">
        <is>
          <t>/portal/campus/wall
/portal/campus/wall/{}/report
/portal/students
/portal/students/everywhere</t>
        </is>
      </c>
      <c r="N396" s="8" t="inlineStr">
        <is>
          <t>worker/src/routes/portal/family.ts
worker/src/routes/portal/life.ts</t>
        </is>
      </c>
      <c r="O396" s="8" t="n">
        <v>56</v>
      </c>
      <c r="P396" s="8" t="inlineStr">
        <is>
          <t>academic_years
admission_form_versions
admission_forms
application_documents
applications
branding_profiles
class_subjects
classes
club_events
discipline_records
… +46 more</t>
        </is>
      </c>
      <c r="Q396" s="8" t="inlineStr">
        <is>
          <t>access.test.ts</t>
        </is>
      </c>
      <c r="R396" s="8" t="inlineStr"/>
      <c r="S396" s="8" t="inlineStr">
        <is>
          <t>View school news, student council announcements, badge achievements, and art features.</t>
        </is>
      </c>
    </row>
    <row r="397">
      <c r="A397" s="8" t="inlineStr">
        <is>
          <t>Student</t>
        </is>
      </c>
      <c r="B397" s="8" t="inlineStr">
        <is>
          <t>School</t>
        </is>
      </c>
      <c r="C397" s="8" t="inlineStr">
        <is>
          <t>Campus Life</t>
        </is>
      </c>
      <c r="D397" s="8" t="inlineStr">
        <is>
          <t>Digital Hall of Fame</t>
        </is>
      </c>
      <c r="E397" s="11" t="inlineStr">
        <is>
          <t>Good</t>
        </is>
      </c>
      <c r="F397" s="8" t="inlineStr">
        <is>
          <t>optional</t>
        </is>
      </c>
      <c r="G397" s="8" t="inlineStr">
        <is>
          <t>Must-Have</t>
        </is>
      </c>
      <c r="H397" s="8" t="inlineStr">
        <is>
          <t>self</t>
        </is>
      </c>
      <c r="I397" s="8" t="inlineStr">
        <is>
          <t>student.campus_life.digital_hall_of_fame</t>
        </is>
      </c>
      <c r="J397" s="8" t="inlineStr">
        <is>
          <t>web/src/features/learning/HallOfFame.tsx</t>
        </is>
      </c>
      <c r="K397" s="8" t="inlineStr"/>
      <c r="L397" s="8" t="n">
        <v>2</v>
      </c>
      <c r="M397" s="8" t="inlineStr">
        <is>
          <t>/portal/campus/hall-of-fame
/portal/campus/hall-of-fame/{}/retire</t>
        </is>
      </c>
      <c r="N397" s="8" t="inlineStr">
        <is>
          <t>worker/src/routes/portal/life.ts</t>
        </is>
      </c>
      <c r="O397" s="8" t="n">
        <v>29</v>
      </c>
      <c r="P397" s="8" t="inlineStr">
        <is>
          <t>class_subjects
classes
club_events
discipline_records
enrollments
exam_subjects
exams
hall_of_fame_entries
holidays
homework
… +19 more</t>
        </is>
      </c>
      <c r="Q397" s="8" t="inlineStr"/>
      <c r="R397" s="8" t="inlineStr"/>
      <c r="S397" s="8" t="inlineStr">
        <is>
          <t>Showcase historic trophies, school record holders, and national rankers across academic/sports.</t>
        </is>
      </c>
    </row>
    <row r="398">
      <c r="A398" s="8" t="inlineStr">
        <is>
          <t>Student</t>
        </is>
      </c>
      <c r="B398" s="8" t="inlineStr">
        <is>
          <t>School</t>
        </is>
      </c>
      <c r="C398" s="8" t="inlineStr">
        <is>
          <t>Campus Life</t>
        </is>
      </c>
      <c r="D398" s="8" t="inlineStr">
        <is>
          <t>Student Club Event Ticketing &amp; QR Check-In</t>
        </is>
      </c>
      <c r="E398" s="11" t="inlineStr">
        <is>
          <t>Good</t>
        </is>
      </c>
      <c r="F398" s="8" t="inlineStr">
        <is>
          <t>optional</t>
        </is>
      </c>
      <c r="G398" s="8" t="inlineStr">
        <is>
          <t>Must-Have</t>
        </is>
      </c>
      <c r="H398" s="8" t="inlineStr">
        <is>
          <t>self</t>
        </is>
      </c>
      <c r="I398" s="8" t="inlineStr">
        <is>
          <t>student.campus_life.student_club_event_ticketing_qr_check_in</t>
        </is>
      </c>
      <c r="J398" s="8" t="inlineStr">
        <is>
          <t>web/src/features/learning/ClubEvents.tsx</t>
        </is>
      </c>
      <c r="K398" s="8" t="inlineStr"/>
      <c r="L398" s="8" t="n">
        <v>5</v>
      </c>
      <c r="M398" s="8" t="inlineStr">
        <is>
          <t>/portal/campus/events
/portal/campus/events/{}/ticket
/portal/campus/tickets/{}/cancel
/portal/students
/portal/students/everywhere</t>
        </is>
      </c>
      <c r="N398" s="8" t="inlineStr">
        <is>
          <t>worker/src/routes/portal/family.ts
worker/src/routes/portal/learning.ts</t>
        </is>
      </c>
      <c r="O398" s="8" t="n">
        <v>58</v>
      </c>
      <c r="P398" s="8" t="inlineStr">
        <is>
          <t>academic_years
admission_form_versions
admission_forms
application_documents
applications
branding_profiles
campuses
class_subjects
classes
club_event_tickets
… +48 more</t>
        </is>
      </c>
      <c r="Q398" s="8" t="inlineStr">
        <is>
          <t>access.test.ts</t>
        </is>
      </c>
      <c r="R398" s="8" t="inlineStr"/>
      <c r="S398" s="8" t="inlineStr">
        <is>
          <t>Register for campus drama, music, or science events and generate QR-coded admission tickets.</t>
        </is>
      </c>
    </row>
    <row r="399">
      <c r="A399" s="8" t="inlineStr">
        <is>
          <t>Student</t>
        </is>
      </c>
      <c r="B399" s="8" t="inlineStr">
        <is>
          <t>School</t>
        </is>
      </c>
      <c r="C399" s="8" t="inlineStr">
        <is>
          <t>Campus Life</t>
        </is>
      </c>
      <c r="D399" s="8" t="inlineStr">
        <is>
          <t>Lost &amp; Found Item Board</t>
        </is>
      </c>
      <c r="E399" s="11" t="inlineStr">
        <is>
          <t>Good</t>
        </is>
      </c>
      <c r="F399" s="8" t="inlineStr">
        <is>
          <t>optional</t>
        </is>
      </c>
      <c r="G399" s="8" t="inlineStr">
        <is>
          <t>Must-Have</t>
        </is>
      </c>
      <c r="H399" s="8" t="inlineStr">
        <is>
          <t>self</t>
        </is>
      </c>
      <c r="I399" s="8" t="inlineStr">
        <is>
          <t>student.campus_life.lost_found_item_board</t>
        </is>
      </c>
      <c r="J399" s="8" t="inlineStr">
        <is>
          <t>web/src/features/learning/LostFound.tsx</t>
        </is>
      </c>
      <c r="K399" s="8" t="inlineStr"/>
      <c r="L399" s="8" t="n">
        <v>4</v>
      </c>
      <c r="M399" s="8" t="inlineStr">
        <is>
          <t>/portal/campus/lost-found
/portal/campus/lost-found/{}/resolve
/portal/students
/portal/students/everywhere</t>
        </is>
      </c>
      <c r="N399" s="8" t="inlineStr">
        <is>
          <t>worker/src/routes/portal/family.ts
worker/src/routes/portal/learning.ts</t>
        </is>
      </c>
      <c r="O399" s="8" t="n">
        <v>58</v>
      </c>
      <c r="P399" s="8" t="inlineStr">
        <is>
          <t>academic_years
admission_form_versions
admission_forms
application_documents
applications
branding_profiles
campuses
class_subjects
classes
club_event_tickets
… +48 more</t>
        </is>
      </c>
      <c r="Q399" s="8" t="inlineStr">
        <is>
          <t>access.test.ts</t>
        </is>
      </c>
      <c r="R399" s="8" t="inlineStr"/>
      <c r="S399" s="8" t="inlineStr">
        <is>
          <t>Post missing items or report found items with photos on the digital lost-and-found board.</t>
        </is>
      </c>
    </row>
    <row r="400">
      <c r="A400" s="8" t="inlineStr">
        <is>
          <t>Student</t>
        </is>
      </c>
      <c r="B400" s="8" t="inlineStr">
        <is>
          <t>School</t>
        </is>
      </c>
      <c r="C400" s="8" t="inlineStr">
        <is>
          <t>Campus Life</t>
        </is>
      </c>
      <c r="D400" s="8" t="inlineStr">
        <is>
          <t>Lost &amp; Found Photo Board with Claim Verification</t>
        </is>
      </c>
      <c r="E400" s="11" t="inlineStr">
        <is>
          <t>Good</t>
        </is>
      </c>
      <c r="F400" s="8" t="inlineStr">
        <is>
          <t>optional</t>
        </is>
      </c>
      <c r="G400" s="8" t="inlineStr">
        <is>
          <t>Must-Have</t>
        </is>
      </c>
      <c r="H400" s="8" t="inlineStr">
        <is>
          <t>self</t>
        </is>
      </c>
      <c r="I400" s="8" t="inlineStr">
        <is>
          <t>student.campus_life.lost_found_photo_board_with_claim_verification</t>
        </is>
      </c>
      <c r="J400" s="8" t="inlineStr">
        <is>
          <t>web/src/features/learning/LostFoundClaims.tsx</t>
        </is>
      </c>
      <c r="K400" s="8" t="inlineStr"/>
      <c r="L400" s="8" t="n">
        <v>7</v>
      </c>
      <c r="M400" s="8" t="inlineStr">
        <is>
          <t>/portal/campus/lost-found
/portal/campus/lost-found/claims/{}/decide
/portal/campus/lost-found/claims/{}/withdraw
/portal/campus/lost-found/{}/claims
/portal/campus/lost-found/{}/photo
/portal/students
/portal/students/everywhere</t>
        </is>
      </c>
      <c r="N400" s="8" t="inlineStr">
        <is>
          <t>worker/src/routes/portal/family.ts
worker/src/routes/portal/learning.ts
worker/src/routes/portal/life.ts</t>
        </is>
      </c>
      <c r="O400" s="8" t="n">
        <v>69</v>
      </c>
      <c r="P400" s="8" t="inlineStr">
        <is>
          <t>academic_years
admission_form_versions
admission_forms
application_documents
applications
branding_profiles
campuses
class_subjects
classes
club_event_tickets
… +59 more</t>
        </is>
      </c>
      <c r="Q400" s="8" t="inlineStr">
        <is>
          <t>access.test.ts</t>
        </is>
      </c>
      <c r="R400" s="8" t="inlineStr"/>
      <c r="S400" s="8" t="inlineStr">
        <is>
          <t>View photos of lost items found on campus and submit digital claim proof to reclaim items.</t>
        </is>
      </c>
    </row>
    <row r="401">
      <c r="A401" s="8" t="inlineStr">
        <is>
          <t>Student</t>
        </is>
      </c>
      <c r="B401" s="8" t="inlineStr">
        <is>
          <t>School</t>
        </is>
      </c>
      <c r="C401" s="8" t="inlineStr">
        <is>
          <t>Campus Life</t>
        </is>
      </c>
      <c r="D401" s="8" t="inlineStr">
        <is>
          <t>Digital Locker Combination &amp; Access Log</t>
        </is>
      </c>
      <c r="E401" s="11" t="inlineStr">
        <is>
          <t>Good</t>
        </is>
      </c>
      <c r="F401" s="8" t="inlineStr">
        <is>
          <t>optional</t>
        </is>
      </c>
      <c r="G401" s="8" t="inlineStr">
        <is>
          <t>Must-Have</t>
        </is>
      </c>
      <c r="H401" s="8" t="inlineStr">
        <is>
          <t>self</t>
        </is>
      </c>
      <c r="I401" s="8" t="inlineStr">
        <is>
          <t>student.campus_life.digital_locker_combination_access_log</t>
        </is>
      </c>
      <c r="J401" s="8" t="inlineStr">
        <is>
          <t>web/src/features/learning/Locker.tsx</t>
        </is>
      </c>
      <c r="K401" s="8" t="inlineStr"/>
      <c r="L401" s="8" t="n">
        <v>5</v>
      </c>
      <c r="M401" s="8" t="inlineStr">
        <is>
          <t>/portal/campus/locker
/portal/campus/locker/access
/portal/campus/locker/reveal
/portal/students
/portal/students/everywhere</t>
        </is>
      </c>
      <c r="N401" s="8" t="inlineStr">
        <is>
          <t>worker/src/routes/portal/family.ts
worker/src/routes/portal/learning.ts</t>
        </is>
      </c>
      <c r="O401" s="8" t="n">
        <v>58</v>
      </c>
      <c r="P401" s="8" t="inlineStr">
        <is>
          <t>academic_years
admission_form_versions
admission_forms
application_documents
applications
branding_profiles
campuses
class_subjects
classes
club_event_tickets
… +48 more</t>
        </is>
      </c>
      <c r="Q401" s="8" t="inlineStr">
        <is>
          <t>access.test.ts</t>
        </is>
      </c>
      <c r="R401" s="8" t="inlineStr"/>
      <c r="S401" s="8" t="inlineStr">
        <is>
          <t>Manage assigned physical hallway locker numbers and view digital access keycode history.</t>
        </is>
      </c>
    </row>
    <row r="402">
      <c r="A402" s="8" t="inlineStr">
        <is>
          <t>Student</t>
        </is>
      </c>
      <c r="B402" s="8" t="inlineStr">
        <is>
          <t>School</t>
        </is>
      </c>
      <c r="C402" s="8" t="inlineStr">
        <is>
          <t>Alumni</t>
        </is>
      </c>
      <c r="D402" s="8" t="inlineStr">
        <is>
          <t>Alumni Network Registration</t>
        </is>
      </c>
      <c r="E402" s="11" t="inlineStr">
        <is>
          <t>Good</t>
        </is>
      </c>
      <c r="F402" s="8" t="inlineStr">
        <is>
          <t>optional</t>
        </is>
      </c>
      <c r="G402" s="8" t="inlineStr">
        <is>
          <t>Nice-to-Have</t>
        </is>
      </c>
      <c r="H402" s="8" t="inlineStr">
        <is>
          <t>self</t>
        </is>
      </c>
      <c r="I402" s="8" t="inlineStr">
        <is>
          <t>student.alumni.alumni_network_registration</t>
        </is>
      </c>
      <c r="J402" s="8" t="inlineStr">
        <is>
          <t>web/src/features/learning/AlumniNetwork.tsx</t>
        </is>
      </c>
      <c r="K402" s="8" t="inlineStr"/>
      <c r="L402" s="8" t="n">
        <v>4</v>
      </c>
      <c r="M402" s="8" t="inlineStr">
        <is>
          <t>/portal/alumni/directory
/portal/alumni/profile
/portal/students
/portal/students/everywhere</t>
        </is>
      </c>
      <c r="N402" s="8" t="inlineStr">
        <is>
          <t>worker/src/routes/portal/family.ts
worker/src/routes/portal/records.ts</t>
        </is>
      </c>
      <c r="O402" s="8" t="n">
        <v>50</v>
      </c>
      <c r="P402" s="8" t="inlineStr">
        <is>
          <t>abc_credit_entries
academic_years
admission_form_versions
admission_forms
alumni_job_interests
alumni_job_posts
alumni_profiles
application_documents
applications
branding_profiles
… +40 more</t>
        </is>
      </c>
      <c r="Q402" s="8" t="inlineStr">
        <is>
          <t>access.test.ts</t>
        </is>
      </c>
      <c r="R402" s="8" t="inlineStr"/>
      <c r="S402" s="8" t="inlineStr">
        <is>
          <t>Register for the official school alumni network upon passing out to stay connected with batchmates.</t>
        </is>
      </c>
    </row>
    <row r="403">
      <c r="A403" s="8" t="inlineStr">
        <is>
          <t>Student</t>
        </is>
      </c>
      <c r="B403" s="8" t="inlineStr">
        <is>
          <t>School</t>
        </is>
      </c>
      <c r="C403" s="8" t="inlineStr">
        <is>
          <t>Alumni</t>
        </is>
      </c>
      <c r="D403" s="8" t="inlineStr">
        <is>
          <t>Alumni Job &amp; Internship Board</t>
        </is>
      </c>
      <c r="E403" s="11" t="inlineStr">
        <is>
          <t>Good</t>
        </is>
      </c>
      <c r="F403" s="8" t="inlineStr">
        <is>
          <t>optional</t>
        </is>
      </c>
      <c r="G403" s="8" t="inlineStr">
        <is>
          <t>Nice-to-Have</t>
        </is>
      </c>
      <c r="H403" s="8" t="inlineStr">
        <is>
          <t>self</t>
        </is>
      </c>
      <c r="I403" s="8" t="inlineStr">
        <is>
          <t>student.alumni.alumni_job_internship_board</t>
        </is>
      </c>
      <c r="J403" s="8" t="inlineStr">
        <is>
          <t>web/src/features/learning/AlumniJobs.tsx</t>
        </is>
      </c>
      <c r="K403" s="8" t="inlineStr"/>
      <c r="L403" s="8" t="n">
        <v>5</v>
      </c>
      <c r="M403" s="8" t="inlineStr">
        <is>
          <t>/portal/alumni/jobs
/portal/alumni/jobs/{}/interest
/portal/alumni/jobs/{}/withdraw
/portal/students
/portal/students/everywhere</t>
        </is>
      </c>
      <c r="N403" s="8" t="inlineStr">
        <is>
          <t>worker/src/routes/portal/family.ts
worker/src/routes/portal/records.ts</t>
        </is>
      </c>
      <c r="O403" s="8" t="n">
        <v>50</v>
      </c>
      <c r="P403" s="8" t="inlineStr">
        <is>
          <t>abc_credit_entries
academic_years
admission_form_versions
admission_forms
alumni_job_interests
alumni_job_posts
alumni_profiles
application_documents
applications
branding_profiles
… +40 more</t>
        </is>
      </c>
      <c r="Q403" s="8" t="inlineStr">
        <is>
          <t>access.test.ts</t>
        </is>
      </c>
      <c r="R403" s="8" t="inlineStr"/>
      <c r="S403" s="8" t="inlineStr">
        <is>
          <t>Senior students access exclusive internship and entry-level job posts shared by alumni network.</t>
        </is>
      </c>
    </row>
    <row r="404">
      <c r="A404" s="8" t="inlineStr">
        <is>
          <t>Student</t>
        </is>
      </c>
      <c r="B404" s="8" t="inlineStr">
        <is>
          <t>Requests</t>
        </is>
      </c>
      <c r="C404" s="8" t="inlineStr">
        <is>
          <t>Requests</t>
        </is>
      </c>
      <c r="D404" s="8" t="inlineStr">
        <is>
          <t>Requests</t>
        </is>
      </c>
      <c r="E404" s="11" t="inlineStr">
        <is>
          <t>Good</t>
        </is>
      </c>
      <c r="F404" s="8" t="inlineStr">
        <is>
          <t>core</t>
        </is>
      </c>
      <c r="G404" s="8" t="inlineStr">
        <is>
          <t>Must-Have</t>
        </is>
      </c>
      <c r="H404" s="8" t="inlineStr">
        <is>
          <t>self</t>
        </is>
      </c>
      <c r="I404" s="8" t="inlineStr">
        <is>
          <t>student.requests.requests</t>
        </is>
      </c>
      <c r="J404" s="8" t="inlineStr">
        <is>
          <t>web/src/features/portal/StudentRequests.tsx</t>
        </is>
      </c>
      <c r="K404" s="8" t="inlineStr"/>
      <c r="L404" s="8" t="n">
        <v>4</v>
      </c>
      <c r="M404" s="8" t="inlineStr">
        <is>
          <t>/portal/preferences/display
/portal/requests
/portal/requests/types
/portal/students</t>
        </is>
      </c>
      <c r="N404" s="8" t="inlineStr">
        <is>
          <t>worker/src/routes/portal/family.ts
worker/src/routes/portal/life.ts
worker/src/routes/portal/requests.ts</t>
        </is>
      </c>
      <c r="O404" s="8" t="n">
        <v>68</v>
      </c>
      <c r="P404" s="8" t="inlineStr">
        <is>
          <t>academic_years
admission_form_versions
admission_forms
application_documents
applications
branding_profiles
certificate_types
class_subjects
classes
club_events
… +58 more</t>
        </is>
      </c>
      <c r="Q404" s="8" t="inlineStr">
        <is>
          <t>access.test.ts
edge.test.ts</t>
        </is>
      </c>
      <c r="R404" s="8" t="inlineStr"/>
      <c r="S404" s="8" t="inlineStr">
        <is>
          <t>Ask the office for a document, bonafide, transfer certificate, conduct certificate, a duplicate ID card, and follow each request until the signed copy is ready to download. Leave is asked for separately, where the days can be given.</t>
        </is>
      </c>
    </row>
    <row r="405">
      <c r="A405" s="8" t="inlineStr">
        <is>
          <t>Student</t>
        </is>
      </c>
      <c r="B405" s="8" t="inlineStr">
        <is>
          <t>Profile</t>
        </is>
      </c>
      <c r="C405" s="8" t="inlineStr">
        <is>
          <t>Profile</t>
        </is>
      </c>
      <c r="D405" s="8" t="inlineStr">
        <is>
          <t>My ID card</t>
        </is>
      </c>
      <c r="E405" s="11" t="inlineStr">
        <is>
          <t>Good</t>
        </is>
      </c>
      <c r="F405" s="8" t="inlineStr">
        <is>
          <t>optional</t>
        </is>
      </c>
      <c r="G405" s="8" t="inlineStr">
        <is>
          <t>Must-Have</t>
        </is>
      </c>
      <c r="H405" s="8" t="inlineStr">
        <is>
          <t>self</t>
        </is>
      </c>
      <c r="I405" s="8" t="inlineStr">
        <is>
          <t>student.profile.my_id_card</t>
        </is>
      </c>
      <c r="J405" s="8" t="inlineStr">
        <is>
          <t>web/src/features/portal/StudentMyCard.tsx</t>
        </is>
      </c>
      <c r="K405" s="8" t="inlineStr"/>
      <c r="L405" s="8" t="n">
        <v>3</v>
      </c>
      <c r="M405" s="8" t="inlineStr">
        <is>
          <t>/files/{}
/portal/preferences/display
/portal/profile/student-id-card</t>
        </is>
      </c>
      <c r="N405" s="8" t="inlineStr">
        <is>
          <t>worker/src/routes/misc/files.ts
worker/src/routes/portal/life.ts
worker/src/routes/portal/school_life.ts</t>
        </is>
      </c>
      <c r="O405" s="8" t="n">
        <v>64</v>
      </c>
      <c r="P405" s="8" t="inlineStr">
        <is>
          <t>announcement_sections
announcements
application_documents
appointments
branding_profiles
cafeteria_purchase_items
cafeteria_purchases
campus_entry_passes
campuses
class_subjects
… +54 more</t>
        </is>
      </c>
      <c r="Q405" s="8" t="inlineStr">
        <is>
          <t>edge.test.ts</t>
        </is>
      </c>
      <c r="R405" s="8" t="inlineStr"/>
      <c r="S405" s="8" t="inlineStr">
        <is>
          <t>Your own school identity card: photo, name, admission number, class and the emergency contact, with the QR a gate reader scans. Tapping it on an NFC reader needs the school to have one; the card itself is here either way.</t>
        </is>
      </c>
    </row>
    <row r="406">
      <c r="A406" s="8" t="inlineStr">
        <is>
          <t>Parent / Guardian</t>
        </is>
      </c>
      <c r="B406" s="8" t="inlineStr">
        <is>
          <t>Home</t>
        </is>
      </c>
      <c r="C406" s="8" t="inlineStr">
        <is>
          <t>Home</t>
        </is>
      </c>
      <c r="D406" s="8" t="inlineStr">
        <is>
          <t>Dashboard</t>
        </is>
      </c>
      <c r="E406" s="10" t="inlineStr">
        <is>
          <t>Check</t>
        </is>
      </c>
      <c r="F406" s="8" t="inlineStr">
        <is>
          <t>core</t>
        </is>
      </c>
      <c r="G406" s="8" t="inlineStr">
        <is>
          <t>Must-Have</t>
        </is>
      </c>
      <c r="H406" s="8" t="inlineStr">
        <is>
          <t>children</t>
        </is>
      </c>
      <c r="I406" s="8" t="inlineStr">
        <is>
          <t>parent.home.dashboard</t>
        </is>
      </c>
      <c r="J406" s="8" t="inlineStr">
        <is>
          <t>web/src/features/portal/Portal.tsx</t>
        </is>
      </c>
      <c r="K406" s="8" t="inlineStr">
        <is>
          <t>web/src/features/bento/ParentWeek.tsx</t>
        </is>
      </c>
      <c r="L406" s="8" t="n">
        <v>23</v>
      </c>
      <c r="M406" s="8" t="inlineStr">
        <is>
          <t>/ai/briefs/principal
/ai/briefs/student/{}
/ai/draft
/ai/status
/ai/translate
/attention
/files/{}
/me/child-bus
… +15 more</t>
        </is>
      </c>
      <c r="N406" s="8" t="inlineStr">
        <is>
          <t>worker/src/routes/admin/loose.ts
worker/src/routes/admin/metrics.ts
worker/src/routes/ai/briefs.ts
worker/src/routes/ai/drafting.ts
worker/src/routes/comms/class_status.ts
worker/src/routes/misc/files.ts
… +4 more</t>
        </is>
      </c>
      <c r="O406" s="8" t="n">
        <v>98</v>
      </c>
      <c r="P406" s="8" t="inlineStr">
        <is>
          <t>academic_years
admission_form_versions
admission_forms
api_keys
application_documents
applications
attendance_corrections
branding_profiles
campuses
certificate_types
… +88 more</t>
        </is>
      </c>
      <c r="Q406" s="8" t="inlineStr">
        <is>
          <t>access.test.ts
admissions_crm.test.ts
ai_briefs.test.ts
attendance.test.ts
class_status_gaps.test.ts
edge.test.ts
… +4 more</t>
        </is>
      </c>
      <c r="R406" s="8" t="inlineStr">
        <is>
          <t>1 step(s) in its backend files answer "not ported" (see Not ported tab).</t>
        </is>
      </c>
      <c r="S406" s="8" t="inlineStr">
        <is>
          <t>Your child's day on one page: attendance, fees, homework and what the school has said, with anything waiting on you at the top. Switch children from the same page if you have more than one.</t>
        </is>
      </c>
    </row>
    <row r="407">
      <c r="A407" s="8" t="inlineStr">
        <is>
          <t>Parent / Guardian</t>
        </is>
      </c>
      <c r="B407" s="8" t="inlineStr">
        <is>
          <t>My Child</t>
        </is>
      </c>
      <c r="C407" s="8" t="inlineStr">
        <is>
          <t>Attendance</t>
        </is>
      </c>
      <c r="D407" s="8" t="inlineStr">
        <is>
          <t>Attendance</t>
        </is>
      </c>
      <c r="E407" s="11" t="inlineStr">
        <is>
          <t>Good</t>
        </is>
      </c>
      <c r="F407" s="8" t="inlineStr">
        <is>
          <t>core</t>
        </is>
      </c>
      <c r="G407" s="8" t="inlineStr">
        <is>
          <t>Must-Have</t>
        </is>
      </c>
      <c r="H407" s="8" t="inlineStr">
        <is>
          <t>children</t>
        </is>
      </c>
      <c r="I407" s="8" t="inlineStr">
        <is>
          <t>parent.attendance.attendance</t>
        </is>
      </c>
      <c r="J407" s="8" t="inlineStr">
        <is>
          <t>web/src/features/portal/Portal.tsx</t>
        </is>
      </c>
      <c r="K407" s="8" t="inlineStr"/>
      <c r="L407" s="8" t="n">
        <v>16</v>
      </c>
      <c r="M407" s="8" t="inlineStr">
        <is>
          <t>/ai/briefs/principal
/ai/briefs/student/{}
/ai/draft
/ai/status
/ai/translate
/files/{}
/portal/ai/weekly
/portal/attendance
… +8 more</t>
        </is>
      </c>
      <c r="N407" s="8" t="inlineStr">
        <is>
          <t>worker/src/routes/ai/briefs.ts
worker/src/routes/ai/drafting.ts
worker/src/routes/comms/class_status.ts
worker/src/routes/misc/files.ts
worker/src/routes/portal/family.ts</t>
        </is>
      </c>
      <c r="O407" s="8" t="n">
        <v>54</v>
      </c>
      <c r="P407" s="8" t="inlineStr">
        <is>
          <t>academic_years
admission_form_versions
admission_forms
application_documents
applications
branding_profiles
class_subjects
classes
discipline_records
employee_documents
… +44 more</t>
        </is>
      </c>
      <c r="Q407" s="8" t="inlineStr">
        <is>
          <t>access.test.ts
admissions_crm.test.ts
ai_briefs.test.ts
attendance.test.ts
class_status_gaps.test.ts
feature_class_status.test.ts
… +3 more</t>
        </is>
      </c>
      <c r="R407" s="8" t="inlineStr"/>
      <c r="S407" s="8" t="inlineStr">
        <is>
          <t>Daily/monthly attendance and absence history for the selected child.</t>
        </is>
      </c>
    </row>
    <row r="408">
      <c r="A408" s="8" t="inlineStr">
        <is>
          <t>Parent / Guardian</t>
        </is>
      </c>
      <c r="B408" s="8" t="inlineStr">
        <is>
          <t>My Child</t>
        </is>
      </c>
      <c r="C408" s="8" t="inlineStr">
        <is>
          <t>Academics</t>
        </is>
      </c>
      <c r="D408" s="8" t="inlineStr">
        <is>
          <t>Homework &amp; academics</t>
        </is>
      </c>
      <c r="E408" s="10" t="inlineStr">
        <is>
          <t>Check</t>
        </is>
      </c>
      <c r="F408" s="8" t="inlineStr">
        <is>
          <t>core</t>
        </is>
      </c>
      <c r="G408" s="8" t="inlineStr">
        <is>
          <t>Should-Have</t>
        </is>
      </c>
      <c r="H408" s="8" t="inlineStr">
        <is>
          <t>children</t>
        </is>
      </c>
      <c r="I408" s="8" t="inlineStr">
        <is>
          <t>parent.academics.homework_academics</t>
        </is>
      </c>
      <c r="J408" s="8" t="inlineStr">
        <is>
          <t>web/src/features/workflow/Homework.tsx</t>
        </is>
      </c>
      <c r="K408" s="8" t="inlineStr"/>
      <c r="L408" s="8" t="n">
        <v>8</v>
      </c>
      <c r="M408" s="8" t="inlineStr">
        <is>
          <t>/academics/sections
/academics/subjects
/files
/files/{}
/homework
/homework/{}/submissions
/homework/{}/submit
/session</t>
        </is>
      </c>
      <c r="N408" s="8" t="inlineStr">
        <is>
          <t>worker/src/routes/academics.ts
worker/src/routes/daily.ts
worker/src/routes/misc/files.ts
worker/src/routes/misc/profile.ts</t>
        </is>
      </c>
      <c r="O408" s="8" t="n">
        <v>68</v>
      </c>
      <c r="P408" s="8" t="inlineStr">
        <is>
          <t>absence_followup_section_done
academic_years
activities
application_documents
applications
attendance_corrections
bell_schedules
board_memberships
campuses
class_subjects
… +58 more</t>
        </is>
      </c>
      <c r="Q408" s="8" t="inlineStr">
        <is>
          <t>access.test.ts
admissions_rte.test.ts
auth.test.ts
edge.test.ts
session_activity.test.ts
student_lms.test.ts</t>
        </is>
      </c>
      <c r="R408" s="8" t="inlineStr">
        <is>
          <t>1 step(s) in its backend files answer "not ported" (see Not ported tab).</t>
        </is>
      </c>
      <c r="S408" s="8" t="inlineStr">
        <is>
          <t>Homework, classwork, subjects and published academic progress.</t>
        </is>
      </c>
    </row>
    <row r="409">
      <c r="A409" s="8" t="inlineStr">
        <is>
          <t>Parent / Guardian</t>
        </is>
      </c>
      <c r="B409" s="8" t="inlineStr">
        <is>
          <t>My Child</t>
        </is>
      </c>
      <c r="C409" s="8" t="inlineStr">
        <is>
          <t>Academics</t>
        </is>
      </c>
      <c r="D409" s="8" t="inlineStr">
        <is>
          <t>Timetable</t>
        </is>
      </c>
      <c r="E409" s="10" t="inlineStr">
        <is>
          <t>Check</t>
        </is>
      </c>
      <c r="F409" s="8" t="inlineStr">
        <is>
          <t>core</t>
        </is>
      </c>
      <c r="G409" s="8" t="inlineStr">
        <is>
          <t>Must-Have</t>
        </is>
      </c>
      <c r="H409" s="8" t="inlineStr">
        <is>
          <t>children</t>
        </is>
      </c>
      <c r="I409" s="8" t="inlineStr">
        <is>
          <t>parent.academics.timetable</t>
        </is>
      </c>
      <c r="J409" s="8" t="inlineStr">
        <is>
          <t>web/src/features/portal/ChildTimetable.tsx</t>
        </is>
      </c>
      <c r="K409" s="8" t="inlineStr"/>
      <c r="L409" s="8" t="n">
        <v>4</v>
      </c>
      <c r="M409" s="8" t="inlineStr">
        <is>
          <t>/portal/students
/portal/students/everywhere
/timetable/entries
/timetable/periods</t>
        </is>
      </c>
      <c r="N409" s="8" t="inlineStr">
        <is>
          <t>worker/src/routes/daily.ts
worker/src/routes/portal/family.ts</t>
        </is>
      </c>
      <c r="O409" s="8" t="n">
        <v>69</v>
      </c>
      <c r="P409" s="8" t="inlineStr">
        <is>
          <t>absence_followup_section_done
academic_years
admission_form_versions
admission_forms
application_documents
applications
attendance_corrections
bell_schedules
board_memberships
branding_profiles
… +59 more</t>
        </is>
      </c>
      <c r="Q409" s="8" t="inlineStr">
        <is>
          <t>access.test.ts</t>
        </is>
      </c>
      <c r="R409" s="8" t="inlineStr">
        <is>
          <t>1 step(s) in its backend files answer "not ported" (see Not ported tab).</t>
        </is>
      </c>
      <c r="S409" s="8" t="inlineStr">
        <is>
          <t>Your child's week, period by period, the subject, the teacher and the room, the same grid the class teacher reads, so tomorrow's PT kit or lab day is never a surprise.</t>
        </is>
      </c>
    </row>
    <row r="410">
      <c r="A410" s="8" t="inlineStr">
        <is>
          <t>Parent / Guardian</t>
        </is>
      </c>
      <c r="B410" s="8" t="inlineStr">
        <is>
          <t>My Child</t>
        </is>
      </c>
      <c r="C410" s="8" t="inlineStr">
        <is>
          <t>Academics</t>
        </is>
      </c>
      <c r="D410" s="8" t="inlineStr">
        <is>
          <t>Results &amp; report cards</t>
        </is>
      </c>
      <c r="E410" s="11" t="inlineStr">
        <is>
          <t>Good</t>
        </is>
      </c>
      <c r="F410" s="8" t="inlineStr">
        <is>
          <t>core</t>
        </is>
      </c>
      <c r="G410" s="8" t="inlineStr">
        <is>
          <t>Must-Have</t>
        </is>
      </c>
      <c r="H410" s="8" t="inlineStr">
        <is>
          <t>children</t>
        </is>
      </c>
      <c r="I410" s="8" t="inlineStr">
        <is>
          <t>parent.academics.results_report_cards</t>
        </is>
      </c>
      <c r="J410" s="8" t="inlineStr">
        <is>
          <t>web/src/features/portal/Results.tsx</t>
        </is>
      </c>
      <c r="K410" s="8" t="inlineStr"/>
      <c r="L410" s="8" t="n">
        <v>3</v>
      </c>
      <c r="M410" s="8" t="inlineStr">
        <is>
          <t>/portal/results
/portal/results/card
/portal/students</t>
        </is>
      </c>
      <c r="N410" s="8" t="inlineStr">
        <is>
          <t>worker/src/routes/portal/family.ts</t>
        </is>
      </c>
      <c r="O410" s="8" t="n">
        <v>42</v>
      </c>
      <c r="P410" s="8" t="inlineStr">
        <is>
          <t>academic_years
admission_form_versions
admission_forms
application_documents
applications
branding_profiles
class_subjects
classes
discipline_records
enquiries
… +32 more</t>
        </is>
      </c>
      <c r="Q410" s="8" t="inlineStr">
        <is>
          <t>access.test.ts
student_lms.test.ts</t>
        </is>
      </c>
      <c r="R410" s="8" t="inlineStr"/>
      <c r="S410" s="8" t="inlineStr">
        <is>
          <t>Exam schedule, marks/grades and downloadable published report cards.</t>
        </is>
      </c>
    </row>
    <row r="411">
      <c r="A411" s="8" t="inlineStr">
        <is>
          <t>Parent / Guardian</t>
        </is>
      </c>
      <c r="B411" s="8" t="inlineStr">
        <is>
          <t>My Child</t>
        </is>
      </c>
      <c r="C411" s="8" t="inlineStr">
        <is>
          <t>Academics</t>
        </is>
      </c>
      <c r="D411" s="8" t="inlineStr">
        <is>
          <t>Child remarks</t>
        </is>
      </c>
      <c r="E411" s="11" t="inlineStr">
        <is>
          <t>Good</t>
        </is>
      </c>
      <c r="F411" s="8" t="inlineStr">
        <is>
          <t>core</t>
        </is>
      </c>
      <c r="G411" s="8" t="inlineStr">
        <is>
          <t>Must-Have</t>
        </is>
      </c>
      <c r="H411" s="8" t="inlineStr">
        <is>
          <t>children</t>
        </is>
      </c>
      <c r="I411" s="8" t="inlineStr">
        <is>
          <t>parent.academics.child_remarks</t>
        </is>
      </c>
      <c r="J411" s="8" t="inlineStr">
        <is>
          <t>web/src/features/portal/ChildRemarks.tsx</t>
        </is>
      </c>
      <c r="K411" s="8" t="inlineStr"/>
      <c r="L411" s="8" t="n">
        <v>3</v>
      </c>
      <c r="M411" s="8" t="inlineStr">
        <is>
          <t>/portal/remarks
/portal/students
/portal/students/everywhere</t>
        </is>
      </c>
      <c r="N411" s="8" t="inlineStr">
        <is>
          <t>worker/src/routes/portal/family.ts
worker/src/routes/teaching/comms.ts</t>
        </is>
      </c>
      <c r="O411" s="8" t="n">
        <v>48</v>
      </c>
      <c r="P411" s="8" t="inlineStr">
        <is>
          <t>academic_years
admission_form_versions
admission_forms
announcement_acks
announcement_sections
announcement_students
announcements
application_documents
applications
branding_profiles
… +38 more</t>
        </is>
      </c>
      <c r="Q411" s="8" t="inlineStr">
        <is>
          <t>access.test.ts</t>
        </is>
      </c>
      <c r="R411" s="8" t="inlineStr"/>
      <c r="S411" s="8" t="inlineStr">
        <is>
          <t>Everything your child's teachers have written about them, commendations and concerns alike, newest first, with the teacher's name and the day it happened. You are told the same day rather than at the next parents' evening.</t>
        </is>
      </c>
    </row>
    <row r="412">
      <c r="A412" s="8" t="inlineStr">
        <is>
          <t>Parent / Guardian</t>
        </is>
      </c>
      <c r="B412" s="8" t="inlineStr">
        <is>
          <t>Fees</t>
        </is>
      </c>
      <c r="C412" s="8" t="inlineStr">
        <is>
          <t>Fees</t>
        </is>
      </c>
      <c r="D412" s="8" t="inlineStr">
        <is>
          <t>Fees &amp; payments</t>
        </is>
      </c>
      <c r="E412" s="10" t="inlineStr">
        <is>
          <t>Check</t>
        </is>
      </c>
      <c r="F412" s="8" t="inlineStr">
        <is>
          <t>core</t>
        </is>
      </c>
      <c r="G412" s="8" t="inlineStr">
        <is>
          <t>Must-Have</t>
        </is>
      </c>
      <c r="H412" s="8" t="inlineStr">
        <is>
          <t>children</t>
        </is>
      </c>
      <c r="I412" s="8" t="inlineStr">
        <is>
          <t>parent.fees.fees_payments</t>
        </is>
      </c>
      <c r="J412" s="8" t="inlineStr">
        <is>
          <t>web/src/features/portal/FeesHub.tsx</t>
        </is>
      </c>
      <c r="K412" s="8" t="inlineStr"/>
      <c r="L412" s="8" t="n">
        <v>0</v>
      </c>
      <c r="M412" s="8" t="inlineStr"/>
      <c r="N412" s="8" t="inlineStr"/>
      <c r="O412" s="8" t="n">
        <v>0</v>
      </c>
      <c r="P412" s="8" t="inlineStr"/>
      <c r="Q412" s="8" t="inlineStr"/>
      <c r="R412" s="8" t="inlineStr">
        <is>
          <t>Screen found; its data calls are made in shared parts this scan did not follow. Open it to confirm.</t>
        </is>
      </c>
      <c r="S412" s="8" t="inlineStr">
        <is>
          <t>Dues, installments, online payment and payment history, with a Receipts tab holding every payment the school has banked, to save as a PDF or print on the school's letterhead.</t>
        </is>
      </c>
    </row>
    <row r="413">
      <c r="A413" s="8" t="inlineStr">
        <is>
          <t>Parent / Guardian</t>
        </is>
      </c>
      <c r="B413" s="8" t="inlineStr">
        <is>
          <t>Fees</t>
        </is>
      </c>
      <c r="C413" s="8" t="inlineStr">
        <is>
          <t>Fees</t>
        </is>
      </c>
      <c r="D413" s="8" t="inlineStr">
        <is>
          <t>Wallet</t>
        </is>
      </c>
      <c r="E413" s="11" t="inlineStr">
        <is>
          <t>Good</t>
        </is>
      </c>
      <c r="F413" s="8" t="inlineStr">
        <is>
          <t>core</t>
        </is>
      </c>
      <c r="G413" s="8" t="inlineStr">
        <is>
          <t>Must-Have</t>
        </is>
      </c>
      <c r="H413" s="8" t="inlineStr">
        <is>
          <t>children</t>
        </is>
      </c>
      <c r="I413" s="8" t="inlineStr">
        <is>
          <t>parent.fees.wallet</t>
        </is>
      </c>
      <c r="J413" s="8" t="inlineStr">
        <is>
          <t>web/src/features/portal/Wallet.tsx</t>
        </is>
      </c>
      <c r="K413" s="8" t="inlineStr"/>
      <c r="L413" s="8" t="n">
        <v>2</v>
      </c>
      <c r="M413" s="8" t="inlineStr">
        <is>
          <t>/fees/students/{}/wallet
/portal/students</t>
        </is>
      </c>
      <c r="N413" s="8" t="inlineStr">
        <is>
          <t>worker/src/routes/fees/counter.ts
worker/src/routes/portal/family.ts</t>
        </is>
      </c>
      <c r="O413" s="8" t="n">
        <v>46</v>
      </c>
      <c r="P413" s="8" t="inlineStr">
        <is>
          <t>academic_years
admission_form_versions
admission_forms
application_documents
applications
branding_profiles
class_subjects
classes
discipline_records
enquiries
… +36 more</t>
        </is>
      </c>
      <c r="Q413" s="8" t="inlineStr">
        <is>
          <t>access.test.ts
fees.test.ts
student_lms.test.ts</t>
        </is>
      </c>
      <c r="R413" s="8" t="inlineStr"/>
      <c r="S413" s="8" t="inlineStr">
        <is>
          <t>Your child's digital money: the prepaid balance the school holds, every top-up you have paid in and everything it has been spent on, per child.</t>
        </is>
      </c>
    </row>
    <row r="414">
      <c r="A414" s="8" t="inlineStr">
        <is>
          <t>Parent / Guardian</t>
        </is>
      </c>
      <c r="B414" s="8" t="inlineStr">
        <is>
          <t>Transport</t>
        </is>
      </c>
      <c r="C414" s="8" t="inlineStr">
        <is>
          <t>My Child's Bus</t>
        </is>
      </c>
      <c r="D414" s="8" t="inlineStr">
        <is>
          <t>Live bus tracking</t>
        </is>
      </c>
      <c r="E414" s="11" t="inlineStr">
        <is>
          <t>Good</t>
        </is>
      </c>
      <c r="F414" s="8" t="inlineStr">
        <is>
          <t>core</t>
        </is>
      </c>
      <c r="G414" s="8" t="inlineStr">
        <is>
          <t>Should-Have</t>
        </is>
      </c>
      <c r="H414" s="8" t="inlineStr">
        <is>
          <t>children</t>
        </is>
      </c>
      <c r="I414" s="8" t="inlineStr">
        <is>
          <t>parent.my_childs_bus.live_bus_tracking</t>
        </is>
      </c>
      <c r="J414" s="8" t="inlineStr">
        <is>
          <t>web/src/features/portal/ChildBus.tsx</t>
        </is>
      </c>
      <c r="K414" s="8" t="inlineStr"/>
      <c r="L414" s="8" t="n">
        <v>1</v>
      </c>
      <c r="M414" s="8" t="inlineStr">
        <is>
          <t>/me/child-bus</t>
        </is>
      </c>
      <c r="N414" s="8" t="inlineStr">
        <is>
          <t>worker/src/routes/scheduling/child_bus.ts</t>
        </is>
      </c>
      <c r="O414" s="8" t="n">
        <v>12</v>
      </c>
      <c r="P414" s="8" t="inlineStr">
        <is>
          <t>employees
guardians
route_stops
routes
student_guardians
students
transport_allocations
transport_stop_events
transport_watch_prefs
vehicle_last_position
… +2 more</t>
        </is>
      </c>
      <c r="Q414" s="8" t="inlineStr"/>
      <c r="R414" s="8" t="inlineStr"/>
      <c r="S414" s="8" t="inlineStr">
        <is>
          <t>Your child's bus: the route, the vehicle, their stop and when it is due, and where the bus is now, how far from the stop, and which way it is heading. Only appears if your child actually travels by bus.</t>
        </is>
      </c>
    </row>
    <row r="415">
      <c r="A415" s="8" t="inlineStr">
        <is>
          <t>Parent / Guardian</t>
        </is>
      </c>
      <c r="B415" s="8" t="inlineStr">
        <is>
          <t>Transport</t>
        </is>
      </c>
      <c r="C415" s="8" t="inlineStr">
        <is>
          <t>Alerts &amp; Preferences</t>
        </is>
      </c>
      <c r="D415" s="8" t="inlineStr">
        <is>
          <t>Parent Bus Proximity Radius Customizer</t>
        </is>
      </c>
      <c r="E415" s="11" t="inlineStr">
        <is>
          <t>Good</t>
        </is>
      </c>
      <c r="F415" s="8" t="inlineStr">
        <is>
          <t>optional</t>
        </is>
      </c>
      <c r="G415" s="8" t="inlineStr">
        <is>
          <t>Should-Have</t>
        </is>
      </c>
      <c r="H415" s="8" t="inlineStr">
        <is>
          <t>children</t>
        </is>
      </c>
      <c r="I415" s="8" t="inlineStr">
        <is>
          <t>parent.alerts_preferences.parent_bus_proximity_radius_customizer</t>
        </is>
      </c>
      <c r="J415" s="8" t="inlineStr">
        <is>
          <t>web/src/features/portal/BusProximityAlert.tsx</t>
        </is>
      </c>
      <c r="K415" s="8" t="inlineStr"/>
      <c r="L415" s="8" t="n">
        <v>2</v>
      </c>
      <c r="M415" s="8" t="inlineStr">
        <is>
          <t>/me/child-bus
/me/child-bus/prefs</t>
        </is>
      </c>
      <c r="N415" s="8" t="inlineStr">
        <is>
          <t>worker/src/routes/scheduling/child_bus.ts</t>
        </is>
      </c>
      <c r="O415" s="8" t="n">
        <v>12</v>
      </c>
      <c r="P415" s="8" t="inlineStr">
        <is>
          <t>employees
guardians
route_stops
routes
student_guardians
students
transport_allocations
transport_stop_events
transport_watch_prefs
vehicle_last_position
… +2 more</t>
        </is>
      </c>
      <c r="Q415" s="8" t="inlineStr"/>
      <c r="R415" s="8" t="inlineStr"/>
      <c r="S415" s="8" t="inlineStr">
        <is>
          <t>Allow parents to set custom distance alerts (e.g., alert me when bus is 1 km or 500m away).</t>
        </is>
      </c>
    </row>
    <row r="416">
      <c r="A416" s="8" t="inlineStr">
        <is>
          <t>Parent / Guardian</t>
        </is>
      </c>
      <c r="B416" s="8" t="inlineStr">
        <is>
          <t>School</t>
        </is>
      </c>
      <c r="C416" s="8" t="inlineStr">
        <is>
          <t>Messages</t>
        </is>
      </c>
      <c r="D416" s="8" t="inlineStr">
        <is>
          <t>Communication</t>
        </is>
      </c>
      <c r="E416" s="10" t="inlineStr">
        <is>
          <t>Check</t>
        </is>
      </c>
      <c r="F416" s="8" t="inlineStr">
        <is>
          <t>core</t>
        </is>
      </c>
      <c r="G416" s="8" t="inlineStr">
        <is>
          <t>Must-Have</t>
        </is>
      </c>
      <c r="H416" s="8" t="inlineStr">
        <is>
          <t>children</t>
        </is>
      </c>
      <c r="I416" s="8" t="inlineStr">
        <is>
          <t>parent.messages.communication</t>
        </is>
      </c>
      <c r="J416" s="8" t="inlineStr">
        <is>
          <t>web/src/features/portal/MessagesHub.tsx</t>
        </is>
      </c>
      <c r="K416" s="8" t="inlineStr"/>
      <c r="L416" s="8" t="n">
        <v>0</v>
      </c>
      <c r="M416" s="8" t="inlineStr"/>
      <c r="N416" s="8" t="inlineStr"/>
      <c r="O416" s="8" t="n">
        <v>0</v>
      </c>
      <c r="P416" s="8" t="inlineStr"/>
      <c r="Q416" s="8" t="inlineStr"/>
      <c r="R416" s="8" t="inlineStr">
        <is>
          <t>Screen found; its data calls are made in shared parts this scan did not follow. Open it to confirm.</t>
        </is>
      </c>
      <c r="S416" s="8" t="inlineStr">
        <is>
          <t>Three tabs on one screen: circulars and announcements from the school, a message to your child's class teacher, and any concern you have raised, what you asked, who is handling it and their reply.</t>
        </is>
      </c>
    </row>
    <row r="417">
      <c r="A417" s="8" t="inlineStr">
        <is>
          <t>Parent / Guardian</t>
        </is>
      </c>
      <c r="B417" s="8" t="inlineStr">
        <is>
          <t>School</t>
        </is>
      </c>
      <c r="C417" s="8" t="inlineStr">
        <is>
          <t>Messages</t>
        </is>
      </c>
      <c r="D417" s="8" t="inlineStr">
        <is>
          <t>Teacher remarks</t>
        </is>
      </c>
      <c r="E417" s="11" t="inlineStr">
        <is>
          <t>Good</t>
        </is>
      </c>
      <c r="F417" s="8" t="inlineStr">
        <is>
          <t>core</t>
        </is>
      </c>
      <c r="G417" s="8" t="inlineStr">
        <is>
          <t>Should-Have</t>
        </is>
      </c>
      <c r="H417" s="8" t="inlineStr">
        <is>
          <t>children</t>
        </is>
      </c>
      <c r="I417" s="8" t="inlineStr">
        <is>
          <t>parent.messages.teacher_remarks</t>
        </is>
      </c>
      <c r="J417" s="8" t="inlineStr">
        <is>
          <t>web/src/features/shared/StaffRemarks.tsx</t>
        </is>
      </c>
      <c r="K417" s="8" t="inlineStr"/>
      <c r="L417" s="8" t="n">
        <v>2</v>
      </c>
      <c r="M417" s="8" t="inlineStr">
        <is>
          <t>/staff-remarks
/staff-remarks/teachers</t>
        </is>
      </c>
      <c r="N417" s="8" t="inlineStr">
        <is>
          <t>worker/src/routes/misc/chat.ts</t>
        </is>
      </c>
      <c r="O417" s="8" t="n">
        <v>17</v>
      </c>
      <c r="P417" s="8" t="inlineStr">
        <is>
          <t>class_subjects
designations
employees
enrollments
files
notifications
parent_teacher_messages
roles
section_subject_teachers
sections
… +7 more</t>
        </is>
      </c>
      <c r="Q417" s="8" t="inlineStr"/>
      <c r="R417" s="8" t="inlineStr"/>
      <c r="S417" s="8" t="inlineStr">
        <is>
          <t>Write a remark about one of your child's teachers. It reaches the head of department and the teacher.</t>
        </is>
      </c>
    </row>
    <row r="418">
      <c r="A418" s="8" t="inlineStr">
        <is>
          <t>Parent / Guardian</t>
        </is>
      </c>
      <c r="B418" s="8" t="inlineStr">
        <is>
          <t>School</t>
        </is>
      </c>
      <c r="C418" s="8" t="inlineStr">
        <is>
          <t>School Life</t>
        </is>
      </c>
      <c r="D418" s="8" t="inlineStr">
        <is>
          <t>Calendar &amp; PTM</t>
        </is>
      </c>
      <c r="E418" s="11" t="inlineStr">
        <is>
          <t>Good</t>
        </is>
      </c>
      <c r="F418" s="8" t="inlineStr">
        <is>
          <t>core</t>
        </is>
      </c>
      <c r="G418" s="8" t="inlineStr">
        <is>
          <t>Must-Have</t>
        </is>
      </c>
      <c r="H418" s="8" t="inlineStr">
        <is>
          <t>children</t>
        </is>
      </c>
      <c r="I418" s="8" t="inlineStr">
        <is>
          <t>parent.school_life.calendar_ptm</t>
        </is>
      </c>
      <c r="J418" s="8" t="inlineStr">
        <is>
          <t>web/src/features/portal/Calendar.tsx</t>
        </is>
      </c>
      <c r="K418" s="8" t="inlineStr"/>
      <c r="L418" s="8" t="n">
        <v>7</v>
      </c>
      <c r="M418" s="8" t="inlineStr">
        <is>
          <t>/portal/school-life/calendar
/portal/school-life/ptm/book
/portal/school-life/ptm/bookings
/portal/school-life/ptm/slots
/portal/school-life/ptm/{}/cancel
/portal/students
/portal/students/everywhere</t>
        </is>
      </c>
      <c r="N418" s="8" t="inlineStr">
        <is>
          <t>worker/src/routes/portal/family.ts
worker/src/routes/portal/school_life.ts</t>
        </is>
      </c>
      <c r="O418" s="8" t="n">
        <v>64</v>
      </c>
      <c r="P418" s="8" t="inlineStr">
        <is>
          <t>academic_years
admission_form_versions
admission_forms
announcement_sections
announcements
application_documents
applications
appointments
branding_profiles
cafeteria_purchase_items
… +54 more</t>
        </is>
      </c>
      <c r="Q418" s="8" t="inlineStr">
        <is>
          <t>access.test.ts</t>
        </is>
      </c>
      <c r="R418" s="8" t="inlineStr"/>
      <c r="S418" s="8" t="inlineStr">
        <is>
          <t>Exams, holidays, events, parent-teacher meetings and booking where enabled.</t>
        </is>
      </c>
    </row>
    <row r="419">
      <c r="A419" s="8" t="inlineStr">
        <is>
          <t>Parent / Guardian</t>
        </is>
      </c>
      <c r="B419" s="8" t="inlineStr">
        <is>
          <t>Documents</t>
        </is>
      </c>
      <c r="C419" s="8" t="inlineStr">
        <is>
          <t>Documents</t>
        </is>
      </c>
      <c r="D419" s="8" t="inlineStr">
        <is>
          <t>Certificate requests</t>
        </is>
      </c>
      <c r="E419" s="11" t="inlineStr">
        <is>
          <t>Good</t>
        </is>
      </c>
      <c r="F419" s="8" t="inlineStr">
        <is>
          <t>core</t>
        </is>
      </c>
      <c r="G419" s="8" t="inlineStr">
        <is>
          <t>Must-Have</t>
        </is>
      </c>
      <c r="H419" s="8" t="inlineStr">
        <is>
          <t>children</t>
        </is>
      </c>
      <c r="I419" s="8" t="inlineStr">
        <is>
          <t>parent.documents.certificate_requests</t>
        </is>
      </c>
      <c r="J419" s="8" t="inlineStr">
        <is>
          <t>web/src/features/portal/Requests.tsx</t>
        </is>
      </c>
      <c r="K419" s="8" t="inlineStr"/>
      <c r="L419" s="8" t="n">
        <v>5</v>
      </c>
      <c r="M419" s="8" t="inlineStr">
        <is>
          <t>/portal/documents
/portal/requests
/portal/requests/types
/portal/students
/portal/students/everywhere</t>
        </is>
      </c>
      <c r="N419" s="8" t="inlineStr">
        <is>
          <t>worker/src/routes/portal/family.ts
worker/src/routes/portal/requests.ts</t>
        </is>
      </c>
      <c r="O419" s="8" t="n">
        <v>54</v>
      </c>
      <c r="P419" s="8" t="inlineStr">
        <is>
          <t>academic_years
admission_form_versions
admission_forms
application_documents
applications
branding_profiles
certificate_types
class_subjects
classes
discipline_records
… +44 more</t>
        </is>
      </c>
      <c r="Q419" s="8" t="inlineStr">
        <is>
          <t>access.test.ts</t>
        </is>
      </c>
      <c r="R419" s="8" t="inlineStr"/>
      <c r="S419" s="8" t="inlineStr">
        <is>
          <t>Ask the office for a document about your child, bonafide, transfer certificate, conduct certificate, a duplicate ID card, and follow each request until the signed copy is ready to download.</t>
        </is>
      </c>
    </row>
    <row r="420">
      <c r="A420" s="8" t="inlineStr">
        <is>
          <t>Parent / Guardian</t>
        </is>
      </c>
      <c r="B420" s="8" t="inlineStr">
        <is>
          <t>Requests</t>
        </is>
      </c>
      <c r="C420" s="8" t="inlineStr">
        <is>
          <t>Leave &amp; Absence</t>
        </is>
      </c>
      <c r="D420" s="8" t="inlineStr">
        <is>
          <t>Apply Student Leave</t>
        </is>
      </c>
      <c r="E420" s="10" t="inlineStr">
        <is>
          <t>Check</t>
        </is>
      </c>
      <c r="F420" s="8" t="inlineStr">
        <is>
          <t>core</t>
        </is>
      </c>
      <c r="G420" s="8" t="inlineStr">
        <is>
          <t>Must-Have</t>
        </is>
      </c>
      <c r="H420" s="8" t="inlineStr">
        <is>
          <t>children</t>
        </is>
      </c>
      <c r="I420" s="8" t="inlineStr">
        <is>
          <t>parent.leave_absence.apply_student_leave</t>
        </is>
      </c>
      <c r="J420" s="8" t="inlineStr">
        <is>
          <t>web/src/features/portal/AbsenceHub.tsx</t>
        </is>
      </c>
      <c r="K420" s="8" t="inlineStr"/>
      <c r="L420" s="8" t="n">
        <v>0</v>
      </c>
      <c r="M420" s="8" t="inlineStr"/>
      <c r="N420" s="8" t="inlineStr"/>
      <c r="O420" s="8" t="n">
        <v>0</v>
      </c>
      <c r="P420" s="8" t="inlineStr"/>
      <c r="Q420" s="8" t="inlineStr"/>
      <c r="R420" s="8" t="inlineStr">
        <is>
          <t>Screen found; its data calls are made in shared parts this scan did not follow. Open it to confirm.</t>
        </is>
      </c>
      <c r="S420" s="8" t="inlineStr">
        <is>
          <t>Report absence or apply for leave on one screen: a one-tap reason for tomorrow, or a longer leave application with a medical certificate, and follow each until it is answered.</t>
        </is>
      </c>
    </row>
    <row r="421">
      <c r="A421" s="8" t="inlineStr">
        <is>
          <t>Parent / Guardian</t>
        </is>
      </c>
      <c r="B421" s="8" t="inlineStr">
        <is>
          <t>Requests</t>
        </is>
      </c>
      <c r="C421" s="8" t="inlineStr">
        <is>
          <t>Consent &amp; Permissions</t>
        </is>
      </c>
      <c r="D421" s="8" t="inlineStr">
        <is>
          <t>Permission Slips</t>
        </is>
      </c>
      <c r="E421" s="11" t="inlineStr">
        <is>
          <t>Good</t>
        </is>
      </c>
      <c r="F421" s="8" t="inlineStr">
        <is>
          <t>core</t>
        </is>
      </c>
      <c r="G421" s="8" t="inlineStr">
        <is>
          <t>Must-Have</t>
        </is>
      </c>
      <c r="H421" s="8" t="inlineStr">
        <is>
          <t>children</t>
        </is>
      </c>
      <c r="I421" s="8" t="inlineStr">
        <is>
          <t>parent.consent_permissions.permission_slips</t>
        </is>
      </c>
      <c r="J421" s="8" t="inlineStr">
        <is>
          <t>web/src/features/portal/Consent.tsx</t>
        </is>
      </c>
      <c r="K421" s="8" t="inlineStr"/>
      <c r="L421" s="8" t="n">
        <v>5</v>
      </c>
      <c r="M421" s="8" t="inlineStr">
        <is>
          <t>/communication/circulars
/communication/circulars/{}/ack
/ops/hostel/outpasses
/ops/hostel/outpasses/{}/decide
/portal/students</t>
        </is>
      </c>
      <c r="N421" s="8" t="inlineStr">
        <is>
          <t>worker/src/routes/ops/hostel.ts
worker/src/routes/payroll.ts
worker/src/routes/portal/family.ts</t>
        </is>
      </c>
      <c r="O421" s="8" t="n">
        <v>74</v>
      </c>
      <c r="P421" s="8" t="inlineStr">
        <is>
          <t>academic_years
admission_form_versions
admission_forms
announcement_acks
announcement_sections
announcement_students
announcements
application_documents
applications
branding_profiles
… +64 more</t>
        </is>
      </c>
      <c r="Q421" s="8" t="inlineStr">
        <is>
          <t>access.test.ts</t>
        </is>
      </c>
      <c r="R421" s="8" t="inlineStr"/>
      <c r="S421" s="8" t="inlineStr">
        <is>
          <t>Every slip the school needs signed, trips, medical, photography, data, with what you have already agreed to and when. Signing is one tap and the record is kept.</t>
        </is>
      </c>
    </row>
    <row r="422">
      <c r="A422" s="8" t="inlineStr">
        <is>
          <t>Parent / Guardian</t>
        </is>
      </c>
      <c r="B422" s="8" t="inlineStr">
        <is>
          <t>Profile</t>
        </is>
      </c>
      <c r="C422" s="8" t="inlineStr">
        <is>
          <t>Profile</t>
        </is>
      </c>
      <c r="D422" s="8" t="inlineStr">
        <is>
          <t>Digital Student ID Card View</t>
        </is>
      </c>
      <c r="E422" s="11" t="inlineStr">
        <is>
          <t>Good</t>
        </is>
      </c>
      <c r="F422" s="8" t="inlineStr">
        <is>
          <t>optional</t>
        </is>
      </c>
      <c r="G422" s="8" t="inlineStr">
        <is>
          <t>Must-Have</t>
        </is>
      </c>
      <c r="H422" s="8" t="inlineStr">
        <is>
          <t>children</t>
        </is>
      </c>
      <c r="I422" s="8" t="inlineStr">
        <is>
          <t>parent.profile.digital_student_id_card_view</t>
        </is>
      </c>
      <c r="J422" s="8" t="inlineStr">
        <is>
          <t>web/src/features/portal/StudentIDCard.tsx</t>
        </is>
      </c>
      <c r="K422" s="8" t="inlineStr"/>
      <c r="L422" s="8" t="n">
        <v>3</v>
      </c>
      <c r="M422" s="8" t="inlineStr">
        <is>
          <t>/portal/profile/student-id-card
/portal/students
/portal/students/everywhere</t>
        </is>
      </c>
      <c r="N422" s="8" t="inlineStr">
        <is>
          <t>worker/src/routes/portal/family.ts
worker/src/routes/portal/school_life.ts</t>
        </is>
      </c>
      <c r="O422" s="8" t="n">
        <v>64</v>
      </c>
      <c r="P422" s="8" t="inlineStr">
        <is>
          <t>academic_years
admission_form_versions
admission_forms
announcement_sections
announcements
application_documents
applications
appointments
branding_profiles
cafeteria_purchase_items
… +54 more</t>
        </is>
      </c>
      <c r="Q422" s="8" t="inlineStr">
        <is>
          <t>access.test.ts</t>
        </is>
      </c>
      <c r="R422" s="8" t="inlineStr"/>
      <c r="S422" s="8" t="inlineStr">
        <is>
          <t>Access child's digital student ID card with QR code directly within the mobile app.</t>
        </is>
      </c>
    </row>
    <row r="423">
      <c r="A423" s="8" t="inlineStr">
        <is>
          <t>Parent / Guardian</t>
        </is>
      </c>
      <c r="B423" s="8" t="inlineStr">
        <is>
          <t>Profile</t>
        </is>
      </c>
      <c r="C423" s="8" t="inlineStr">
        <is>
          <t>Profile</t>
        </is>
      </c>
      <c r="D423" s="8" t="inlineStr">
        <is>
          <t>Update my details</t>
        </is>
      </c>
      <c r="E423" s="11" t="inlineStr">
        <is>
          <t>Good</t>
        </is>
      </c>
      <c r="F423" s="8" t="inlineStr">
        <is>
          <t>core</t>
        </is>
      </c>
      <c r="G423" s="8" t="inlineStr">
        <is>
          <t>Must-Have</t>
        </is>
      </c>
      <c r="H423" s="8" t="inlineStr">
        <is>
          <t>children</t>
        </is>
      </c>
      <c r="I423" s="8" t="inlineStr">
        <is>
          <t>parent.profile.update_my_details</t>
        </is>
      </c>
      <c r="J423" s="8" t="inlineStr">
        <is>
          <t>web/src/features/portal/MyDetails.tsx</t>
        </is>
      </c>
      <c r="K423" s="8" t="inlineStr"/>
      <c r="L423" s="8" t="n">
        <v>3</v>
      </c>
      <c r="M423" s="8" t="inlineStr">
        <is>
          <t>/portal/family-details
/portal/students
/portal/students/everywhere</t>
        </is>
      </c>
      <c r="N423" s="8" t="inlineStr">
        <is>
          <t>worker/src/routes/portal/family.ts</t>
        </is>
      </c>
      <c r="O423" s="8" t="n">
        <v>42</v>
      </c>
      <c r="P423" s="8" t="inlineStr">
        <is>
          <t>academic_years
admission_form_versions
admission_forms
application_documents
applications
branding_profiles
class_subjects
classes
discipline_records
enquiries
… +32 more</t>
        </is>
      </c>
      <c r="Q423" s="8" t="inlineStr">
        <is>
          <t>access.test.ts</t>
        </is>
      </c>
      <c r="R423" s="8" t="inlineStr"/>
      <c r="S423" s="8" t="inlineStr">
        <is>
          <t>What the school holds about your child and your household, as the office sees it, and the parts you own left open to correct: home address, blood group, and each parent's name, mobile, email and occupation. Saved straight onto the school's record.</t>
        </is>
      </c>
    </row>
    <row r="424">
      <c r="A424" s="8" t="inlineStr">
        <is>
          <t>Parent / Guardian</t>
        </is>
      </c>
      <c r="B424" s="8" t="inlineStr">
        <is>
          <t>Profile</t>
        </is>
      </c>
      <c r="C424" s="8" t="inlineStr">
        <is>
          <t>Profile</t>
        </is>
      </c>
      <c r="D424" s="8" t="inlineStr">
        <is>
          <t>Language</t>
        </is>
      </c>
      <c r="E424" s="11" t="inlineStr">
        <is>
          <t>Good</t>
        </is>
      </c>
      <c r="F424" s="8" t="inlineStr">
        <is>
          <t>core</t>
        </is>
      </c>
      <c r="G424" s="8" t="inlineStr">
        <is>
          <t>Should-Have</t>
        </is>
      </c>
      <c r="H424" s="8" t="inlineStr">
        <is>
          <t>children</t>
        </is>
      </c>
      <c r="I424" s="8" t="inlineStr">
        <is>
          <t>parent.profile.language</t>
        </is>
      </c>
      <c r="J424" s="8" t="inlineStr">
        <is>
          <t>web/src/features/learning/ThemeSelection.tsx</t>
        </is>
      </c>
      <c r="K424" s="8" t="inlineStr"/>
      <c r="L424" s="8" t="n">
        <v>1</v>
      </c>
      <c r="M424" s="8" t="inlineStr">
        <is>
          <t>/portal/preferences/display</t>
        </is>
      </c>
      <c r="N424" s="8" t="inlineStr">
        <is>
          <t>worker/src/routes/portal/life.ts</t>
        </is>
      </c>
      <c r="O424" s="8" t="n">
        <v>29</v>
      </c>
      <c r="P424" s="8" t="inlineStr">
        <is>
          <t>class_subjects
classes
club_events
discipline_records
enrollments
exam_subjects
exams
hall_of_fame_entries
holidays
homework
… +19 more</t>
        </is>
      </c>
      <c r="Q424" s="8" t="inlineStr">
        <is>
          <t>edge.test.ts</t>
        </is>
      </c>
      <c r="R424" s="8" t="inlineStr"/>
      <c r="S424" s="8" t="inlineStr">
        <is>
          <t>Read the app in English or Telugu. The choice is yours alone, it does not change what anybody else sees.</t>
        </is>
      </c>
    </row>
    <row r="425">
      <c r="A425" s="8" t="inlineStr">
        <is>
          <t>Parent / Guardian</t>
        </is>
      </c>
      <c r="B425" s="8" t="inlineStr">
        <is>
          <t>Admissions</t>
        </is>
      </c>
      <c r="C425" s="8" t="inlineStr">
        <is>
          <t>Admissions</t>
        </is>
      </c>
      <c r="D425" s="8" t="inlineStr">
        <is>
          <t>Admission status</t>
        </is>
      </c>
      <c r="E425" s="11" t="inlineStr">
        <is>
          <t>Good</t>
        </is>
      </c>
      <c r="F425" s="8" t="inlineStr">
        <is>
          <t>core</t>
        </is>
      </c>
      <c r="G425" s="8" t="inlineStr">
        <is>
          <t>Must-Have</t>
        </is>
      </c>
      <c r="H425" s="8" t="inlineStr">
        <is>
          <t>self</t>
        </is>
      </c>
      <c r="I425" s="8" t="inlineStr">
        <is>
          <t>parent.admissions.admission_status</t>
        </is>
      </c>
      <c r="J425" s="8" t="inlineStr">
        <is>
          <t>web/src/features/portal/AdmissionStatus.tsx</t>
        </is>
      </c>
      <c r="K425" s="8" t="inlineStr"/>
      <c r="L425" s="8" t="n">
        <v>1</v>
      </c>
      <c r="M425" s="8" t="inlineStr">
        <is>
          <t>/portal/admission</t>
        </is>
      </c>
      <c r="N425" s="8" t="inlineStr">
        <is>
          <t>worker/src/routes/portal/family.ts</t>
        </is>
      </c>
      <c r="O425" s="8" t="n">
        <v>42</v>
      </c>
      <c r="P425" s="8" t="inlineStr">
        <is>
          <t>academic_years
admission_form_versions
admission_forms
application_documents
applications
branding_profiles
class_subjects
classes
discipline_records
enquiries
… +32 more</t>
        </is>
      </c>
      <c r="Q425" s="8" t="inlineStr"/>
      <c r="R425" s="8" t="inlineStr"/>
      <c r="S425" s="8" t="inlineStr">
        <is>
          <t>Follow your own admission from the enquiry onwards: the application, the documents still wanted, the test and the decision.</t>
        </is>
      </c>
    </row>
    <row r="426">
      <c r="A426" s="8" t="inlineStr">
        <is>
          <t>Parent / Guardian</t>
        </is>
      </c>
      <c r="B426" s="8" t="inlineStr">
        <is>
          <t>Store</t>
        </is>
      </c>
      <c r="C426" s="8" t="inlineStr">
        <is>
          <t>Store</t>
        </is>
      </c>
      <c r="D426" s="8" t="inlineStr">
        <is>
          <t>Product catalogue</t>
        </is>
      </c>
      <c r="E426" s="11" t="inlineStr">
        <is>
          <t>Good</t>
        </is>
      </c>
      <c r="F426" s="8" t="inlineStr">
        <is>
          <t>core</t>
        </is>
      </c>
      <c r="G426" s="8" t="inlineStr">
        <is>
          <t>Should-Have</t>
        </is>
      </c>
      <c r="H426" s="8" t="inlineStr">
        <is>
          <t>self</t>
        </is>
      </c>
      <c r="I426" s="8" t="inlineStr">
        <is>
          <t>parent.store.product_catalogue</t>
        </is>
      </c>
      <c r="J426" s="8" t="inlineStr">
        <is>
          <t>web/src/features/finance/StoreCatalogue.tsx</t>
        </is>
      </c>
      <c r="K426" s="8" t="inlineStr"/>
      <c r="L426" s="8" t="n">
        <v>3</v>
      </c>
      <c r="M426" s="8" t="inlineStr">
        <is>
          <t>/finance/collections
/finance/ledgers
/store/catalogue</t>
        </is>
      </c>
      <c r="N426" s="8" t="inlineStr">
        <is>
          <t>worker/src/routes/fees/collections.ts
worker/src/routes/fees/ledgers.ts
worker/src/routes/misc/shell.ts</t>
        </is>
      </c>
      <c r="O426" s="8" t="n">
        <v>57</v>
      </c>
      <c r="P426" s="8" t="inlineStr">
        <is>
          <t>academic_years
accounting_years
bank_accounts
budget_lines
budgets
cafeteria_purchase_items
cafeteria_purchases
class_subjects
classes
collections_settings
… +47 more</t>
        </is>
      </c>
      <c r="Q426" s="8" t="inlineStr"/>
      <c r="R426" s="8" t="inlineStr"/>
      <c r="S426" s="8" t="inlineStr">
        <is>
          <t>The school store, to browse, uniforms, books, stationery and sports items with their prices and whether they are in stock. Display only; buy at the school counter.</t>
        </is>
      </c>
    </row>
  </sheetData>
  <autoFilter ref="A1:S4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61"/>
  <sheetViews>
    <sheetView workbookViewId="0">
      <pane ySplit="1" topLeftCell="A2" activePane="bottomLeft" state="frozen"/>
      <selection pane="bottomLeft" activeCell="A1" sqref="A1"/>
    </sheetView>
  </sheetViews>
  <sheetFormatPr baseColWidth="8" defaultRowHeight="15"/>
  <cols>
    <col width="9" customWidth="1" min="1" max="1"/>
    <col width="60" customWidth="1" min="2" max="2"/>
    <col width="34" customWidth="1" min="3" max="3"/>
    <col width="46" customWidth="1" min="4" max="4"/>
    <col width="7" customWidth="1" min="5" max="5"/>
    <col width="14" customWidth="1" min="6" max="6"/>
    <col width="12" customWidth="1" min="7" max="7"/>
  </cols>
  <sheetData>
    <row r="1" ht="30" customHeight="1">
      <c r="A1" s="9" t="inlineStr">
        <is>
          <t>Method</t>
        </is>
      </c>
      <c r="B1" s="9" t="inlineStr">
        <is>
          <t>Path</t>
        </is>
      </c>
      <c r="C1" s="9" t="inlineStr">
        <is>
          <t>Permission needed</t>
        </is>
      </c>
      <c r="D1" s="9" t="inlineStr">
        <is>
          <t>File</t>
        </is>
      </c>
      <c r="E1" s="9" t="inlineStr">
        <is>
          <t>Line</t>
        </is>
      </c>
      <c r="F1" s="9" t="inlineStr">
        <is>
          <t>Called by the web app</t>
        </is>
      </c>
      <c r="G1" s="9" t="inlineStr">
        <is>
          <t>Tables its file touches</t>
        </is>
      </c>
    </row>
    <row r="2">
      <c r="A2" s="8" t="inlineStr">
        <is>
          <t>GET</t>
        </is>
      </c>
      <c r="B2" s="8" t="inlineStr">
        <is>
          <t>/api/v1/students</t>
        </is>
      </c>
      <c r="C2" s="8" t="inlineStr">
        <is>
          <t>perm</t>
        </is>
      </c>
      <c r="D2" s="8" t="inlineStr">
        <is>
          <t>worker/src/router.ts</t>
        </is>
      </c>
      <c r="E2" s="8" t="n">
        <v>23</v>
      </c>
      <c r="F2" s="8" t="inlineStr">
        <is>
          <t>Yes</t>
        </is>
      </c>
      <c r="G2" s="8" t="n">
        <v>0</v>
      </c>
    </row>
    <row r="3">
      <c r="A3" s="8" t="inlineStr">
        <is>
          <t>GET</t>
        </is>
      </c>
      <c r="B3" s="8" t="inlineStr">
        <is>
          <t>/api/v1/syllabus/units</t>
        </is>
      </c>
      <c r="C3" s="8" t="inlineStr">
        <is>
          <t>auth</t>
        </is>
      </c>
      <c r="D3" s="8" t="inlineStr">
        <is>
          <t>worker/src/routes/academics.ts</t>
        </is>
      </c>
      <c r="E3" s="8" t="n">
        <v>16</v>
      </c>
      <c r="F3" s="8" t="inlineStr">
        <is>
          <t>Yes</t>
        </is>
      </c>
      <c r="G3" s="8" t="n">
        <v>18</v>
      </c>
    </row>
    <row r="4">
      <c r="A4" s="8" t="inlineStr">
        <is>
          <t>PUT</t>
        </is>
      </c>
      <c r="B4" s="8" t="inlineStr">
        <is>
          <t>/api/v1/syllabus/units</t>
        </is>
      </c>
      <c r="C4" s="8" t="inlineStr">
        <is>
          <t>academics.write</t>
        </is>
      </c>
      <c r="D4" s="8" t="inlineStr">
        <is>
          <t>worker/src/routes/academics.ts</t>
        </is>
      </c>
      <c r="E4" s="8" t="n">
        <v>17</v>
      </c>
      <c r="F4" s="8" t="inlineStr">
        <is>
          <t>Yes</t>
        </is>
      </c>
      <c r="G4" s="8" t="n">
        <v>18</v>
      </c>
    </row>
    <row r="5">
      <c r="A5" s="8" t="inlineStr">
        <is>
          <t>GET</t>
        </is>
      </c>
      <c r="B5" s="8" t="inlineStr">
        <is>
          <t>/api/v1/syllabus/coverage</t>
        </is>
      </c>
      <c r="C5" s="8" t="inlineStr">
        <is>
          <t>auth</t>
        </is>
      </c>
      <c r="D5" s="8" t="inlineStr">
        <is>
          <t>worker/src/routes/academics.ts</t>
        </is>
      </c>
      <c r="E5" s="8" t="n">
        <v>18</v>
      </c>
      <c r="F5" s="8" t="inlineStr">
        <is>
          <t>Yes</t>
        </is>
      </c>
      <c r="G5" s="8" t="n">
        <v>18</v>
      </c>
    </row>
    <row r="6">
      <c r="A6" s="8" t="inlineStr">
        <is>
          <t>GET</t>
        </is>
      </c>
      <c r="B6" s="8" t="inlineStr">
        <is>
          <t>/api/v1/syllabus/lesson-plans</t>
        </is>
      </c>
      <c r="C6" s="8" t="inlineStr">
        <is>
          <t>auth</t>
        </is>
      </c>
      <c r="D6" s="8" t="inlineStr">
        <is>
          <t>worker/src/routes/academics.ts</t>
        </is>
      </c>
      <c r="E6" s="8" t="n">
        <v>19</v>
      </c>
      <c r="F6" s="8" t="inlineStr">
        <is>
          <t>Yes</t>
        </is>
      </c>
      <c r="G6" s="8" t="n">
        <v>18</v>
      </c>
    </row>
    <row r="7">
      <c r="A7" s="8" t="inlineStr">
        <is>
          <t>POST</t>
        </is>
      </c>
      <c r="B7" s="8" t="inlineStr">
        <is>
          <t>/api/v1/syllabus/lesson-plans</t>
        </is>
      </c>
      <c r="C7" s="8" t="inlineStr">
        <is>
          <t>auth</t>
        </is>
      </c>
      <c r="D7" s="8" t="inlineStr">
        <is>
          <t>worker/src/routes/academics.ts</t>
        </is>
      </c>
      <c r="E7" s="8" t="n">
        <v>20</v>
      </c>
      <c r="F7" s="8" t="inlineStr">
        <is>
          <t>Yes</t>
        </is>
      </c>
      <c r="G7" s="8" t="n">
        <v>18</v>
      </c>
    </row>
    <row r="8">
      <c r="A8" s="8" t="inlineStr">
        <is>
          <t>POST</t>
        </is>
      </c>
      <c r="B8" s="8" t="inlineStr">
        <is>
          <t>/api/v1/syllabus/lesson-plans/{id}/decide</t>
        </is>
      </c>
      <c r="C8" s="8" t="inlineStr">
        <is>
          <t>academics.write</t>
        </is>
      </c>
      <c r="D8" s="8" t="inlineStr">
        <is>
          <t>worker/src/routes/academics.ts</t>
        </is>
      </c>
      <c r="E8" s="8" t="n">
        <v>21</v>
      </c>
      <c r="F8" s="8" t="inlineStr">
        <is>
          <t>Yes</t>
        </is>
      </c>
      <c r="G8" s="8" t="n">
        <v>18</v>
      </c>
    </row>
    <row r="9">
      <c r="A9" s="8" t="inlineStr">
        <is>
          <t>GET</t>
        </is>
      </c>
      <c r="B9" s="8" t="inlineStr">
        <is>
          <t>/api/v1/academics/years</t>
        </is>
      </c>
      <c r="C9" s="8" t="inlineStr">
        <is>
          <t>academics.read</t>
        </is>
      </c>
      <c r="D9" s="8" t="inlineStr">
        <is>
          <t>worker/src/routes/academics.ts</t>
        </is>
      </c>
      <c r="E9" s="8" t="n">
        <v>25</v>
      </c>
      <c r="F9" s="8" t="inlineStr">
        <is>
          <t>Yes</t>
        </is>
      </c>
      <c r="G9" s="8" t="n">
        <v>18</v>
      </c>
    </row>
    <row r="10">
      <c r="A10" s="8" t="inlineStr">
        <is>
          <t>GET</t>
        </is>
      </c>
      <c r="B10" s="8" t="inlineStr">
        <is>
          <t>/api/v1/academics/classes</t>
        </is>
      </c>
      <c r="C10" s="8" t="inlineStr">
        <is>
          <t>academics.read</t>
        </is>
      </c>
      <c r="D10" s="8" t="inlineStr">
        <is>
          <t>worker/src/routes/academics.ts</t>
        </is>
      </c>
      <c r="E10" s="8" t="n">
        <v>26</v>
      </c>
      <c r="F10" s="8" t="inlineStr">
        <is>
          <t>Yes</t>
        </is>
      </c>
      <c r="G10" s="8" t="n">
        <v>18</v>
      </c>
    </row>
    <row r="11">
      <c r="A11" s="8" t="inlineStr">
        <is>
          <t>GET</t>
        </is>
      </c>
      <c r="B11" s="8" t="inlineStr">
        <is>
          <t>/api/v1/academics/sections</t>
        </is>
      </c>
      <c r="C11" s="8" t="inlineStr">
        <is>
          <t>academics.read</t>
        </is>
      </c>
      <c r="D11" s="8" t="inlineStr">
        <is>
          <t>worker/src/routes/academics.ts</t>
        </is>
      </c>
      <c r="E11" s="8" t="n">
        <v>27</v>
      </c>
      <c r="F11" s="8" t="inlineStr">
        <is>
          <t>Yes</t>
        </is>
      </c>
      <c r="G11" s="8" t="n">
        <v>18</v>
      </c>
    </row>
    <row r="12">
      <c r="A12" s="8" t="inlineStr">
        <is>
          <t>GET</t>
        </is>
      </c>
      <c r="B12" s="8" t="inlineStr">
        <is>
          <t>/api/v1/academics/subjects</t>
        </is>
      </c>
      <c r="C12" s="8" t="inlineStr">
        <is>
          <t>academics.read</t>
        </is>
      </c>
      <c r="D12" s="8" t="inlineStr">
        <is>
          <t>worker/src/routes/academics.ts</t>
        </is>
      </c>
      <c r="E12" s="8" t="n">
        <v>28</v>
      </c>
      <c r="F12" s="8" t="inlineStr">
        <is>
          <t>Yes</t>
        </is>
      </c>
      <c r="G12" s="8" t="n">
        <v>18</v>
      </c>
    </row>
    <row r="13">
      <c r="A13" s="8" t="inlineStr">
        <is>
          <t>GET</t>
        </is>
      </c>
      <c r="B13" s="8" t="inlineStr">
        <is>
          <t>/api/v1/academics/terms</t>
        </is>
      </c>
      <c r="C13" s="8" t="inlineStr">
        <is>
          <t>academics.read</t>
        </is>
      </c>
      <c r="D13" s="8" t="inlineStr">
        <is>
          <t>worker/src/routes/academics.ts</t>
        </is>
      </c>
      <c r="E13" s="8" t="n">
        <v>29</v>
      </c>
      <c r="F13" s="8" t="inlineStr">
        <is>
          <t>No</t>
        </is>
      </c>
      <c r="G13" s="8" t="n">
        <v>18</v>
      </c>
    </row>
    <row r="14">
      <c r="A14" s="8" t="inlineStr">
        <is>
          <t>GET</t>
        </is>
      </c>
      <c r="B14" s="8" t="inlineStr">
        <is>
          <t>/api/v1/academics/calendar/terms</t>
        </is>
      </c>
      <c r="C14" s="8" t="inlineStr">
        <is>
          <t>academics.read</t>
        </is>
      </c>
      <c r="D14" s="8" t="inlineStr">
        <is>
          <t>worker/src/routes/academics.ts</t>
        </is>
      </c>
      <c r="E14" s="8" t="n">
        <v>30</v>
      </c>
      <c r="F14" s="8" t="inlineStr">
        <is>
          <t>Yes</t>
        </is>
      </c>
      <c r="G14" s="8" t="n">
        <v>18</v>
      </c>
    </row>
    <row r="15">
      <c r="A15" s="8" t="inlineStr">
        <is>
          <t>POST</t>
        </is>
      </c>
      <c r="B15" s="8" t="inlineStr">
        <is>
          <t>/api/v1/academics/calendar/terms</t>
        </is>
      </c>
      <c r="C15" s="8" t="inlineStr">
        <is>
          <t>academics.write</t>
        </is>
      </c>
      <c r="D15" s="8" t="inlineStr">
        <is>
          <t>worker/src/routes/academics.ts</t>
        </is>
      </c>
      <c r="E15" s="8" t="n">
        <v>31</v>
      </c>
      <c r="F15" s="8" t="inlineStr">
        <is>
          <t>Yes</t>
        </is>
      </c>
      <c r="G15" s="8" t="n">
        <v>18</v>
      </c>
    </row>
    <row r="16">
      <c r="A16" s="8" t="inlineStr">
        <is>
          <t>PATCH</t>
        </is>
      </c>
      <c r="B16" s="8" t="inlineStr">
        <is>
          <t>/api/v1/academics/calendar/terms/{id}</t>
        </is>
      </c>
      <c r="C16" s="8" t="inlineStr">
        <is>
          <t>academics.write</t>
        </is>
      </c>
      <c r="D16" s="8" t="inlineStr">
        <is>
          <t>worker/src/routes/academics.ts</t>
        </is>
      </c>
      <c r="E16" s="8" t="n">
        <v>32</v>
      </c>
      <c r="F16" s="8" t="inlineStr">
        <is>
          <t>Yes</t>
        </is>
      </c>
      <c r="G16" s="8" t="n">
        <v>18</v>
      </c>
    </row>
    <row r="17">
      <c r="A17" s="8" t="inlineStr">
        <is>
          <t>DELETE</t>
        </is>
      </c>
      <c r="B17" s="8" t="inlineStr">
        <is>
          <t>/api/v1/academics/calendar/terms/{id}</t>
        </is>
      </c>
      <c r="C17" s="8" t="inlineStr">
        <is>
          <t>academics.write</t>
        </is>
      </c>
      <c r="D17" s="8" t="inlineStr">
        <is>
          <t>worker/src/routes/academics.ts</t>
        </is>
      </c>
      <c r="E17" s="8" t="n">
        <v>33</v>
      </c>
      <c r="F17" s="8" t="inlineStr">
        <is>
          <t>Yes</t>
        </is>
      </c>
      <c r="G17" s="8" t="n">
        <v>18</v>
      </c>
    </row>
    <row r="18">
      <c r="A18" s="8" t="inlineStr">
        <is>
          <t>GET</t>
        </is>
      </c>
      <c r="B18" s="8" t="inlineStr">
        <is>
          <t>/api/v1/academics/co-scholastic-areas</t>
        </is>
      </c>
      <c r="C18" s="8" t="inlineStr">
        <is>
          <t>academics.read</t>
        </is>
      </c>
      <c r="D18" s="8" t="inlineStr">
        <is>
          <t>worker/src/routes/academics.ts</t>
        </is>
      </c>
      <c r="E18" s="8" t="n">
        <v>34</v>
      </c>
      <c r="F18" s="8" t="inlineStr">
        <is>
          <t>No</t>
        </is>
      </c>
      <c r="G18" s="8" t="n">
        <v>18</v>
      </c>
    </row>
    <row r="19">
      <c r="A19" s="8" t="inlineStr">
        <is>
          <t>POST</t>
        </is>
      </c>
      <c r="B19" s="8" t="inlineStr">
        <is>
          <t>/api/v1/academics/co-scholastic-areas</t>
        </is>
      </c>
      <c r="C19" s="8" t="inlineStr">
        <is>
          <t>academics.write</t>
        </is>
      </c>
      <c r="D19" s="8" t="inlineStr">
        <is>
          <t>worker/src/routes/academics.ts</t>
        </is>
      </c>
      <c r="E19" s="8" t="n">
        <v>35</v>
      </c>
      <c r="F19" s="8" t="inlineStr">
        <is>
          <t>No</t>
        </is>
      </c>
      <c r="G19" s="8" t="n">
        <v>18</v>
      </c>
    </row>
    <row r="20">
      <c r="A20" s="8" t="inlineStr">
        <is>
          <t>GET</t>
        </is>
      </c>
      <c r="B20" s="8" t="inlineStr">
        <is>
          <t>/api/v1/academics/houses</t>
        </is>
      </c>
      <c r="C20" s="8" t="inlineStr">
        <is>
          <t>academics.read</t>
        </is>
      </c>
      <c r="D20" s="8" t="inlineStr">
        <is>
          <t>worker/src/routes/academics.ts</t>
        </is>
      </c>
      <c r="E20" s="8" t="n">
        <v>36</v>
      </c>
      <c r="F20" s="8" t="inlineStr">
        <is>
          <t>Yes</t>
        </is>
      </c>
      <c r="G20" s="8" t="n">
        <v>18</v>
      </c>
    </row>
    <row r="21">
      <c r="A21" s="8" t="inlineStr">
        <is>
          <t>GET</t>
        </is>
      </c>
      <c r="B21" s="8" t="inlineStr">
        <is>
          <t>/api/v1/academics/activities</t>
        </is>
      </c>
      <c r="C21" s="8" t="inlineStr">
        <is>
          <t>academics.read</t>
        </is>
      </c>
      <c r="D21" s="8" t="inlineStr">
        <is>
          <t>worker/src/routes/academics.ts</t>
        </is>
      </c>
      <c r="E21" s="8" t="n">
        <v>37</v>
      </c>
      <c r="F21" s="8" t="inlineStr">
        <is>
          <t>Yes</t>
        </is>
      </c>
      <c r="G21" s="8" t="n">
        <v>18</v>
      </c>
    </row>
    <row r="22">
      <c r="A22" s="8" t="inlineStr">
        <is>
          <t>POST</t>
        </is>
      </c>
      <c r="B22" s="8" t="inlineStr">
        <is>
          <t>/api/v1/academics/activities</t>
        </is>
      </c>
      <c r="C22" s="8" t="inlineStr">
        <is>
          <t>academics.write</t>
        </is>
      </c>
      <c r="D22" s="8" t="inlineStr">
        <is>
          <t>worker/src/routes/academics.ts</t>
        </is>
      </c>
      <c r="E22" s="8" t="n">
        <v>38</v>
      </c>
      <c r="F22" s="8" t="inlineStr">
        <is>
          <t>Yes</t>
        </is>
      </c>
      <c r="G22" s="8" t="n">
        <v>18</v>
      </c>
    </row>
    <row r="23">
      <c r="A23" s="8" t="inlineStr">
        <is>
          <t>POST</t>
        </is>
      </c>
      <c r="B23" s="8" t="inlineStr">
        <is>
          <t>/api/v1/academics/houses</t>
        </is>
      </c>
      <c r="C23" s="8" t="inlineStr">
        <is>
          <t>academics.write</t>
        </is>
      </c>
      <c r="D23" s="8" t="inlineStr">
        <is>
          <t>worker/src/routes/academics.ts</t>
        </is>
      </c>
      <c r="E23" s="8" t="n">
        <v>39</v>
      </c>
      <c r="F23" s="8" t="inlineStr">
        <is>
          <t>Yes</t>
        </is>
      </c>
      <c r="G23" s="8" t="n">
        <v>18</v>
      </c>
    </row>
    <row r="24">
      <c r="A24" s="8" t="inlineStr">
        <is>
          <t>DELETE</t>
        </is>
      </c>
      <c r="B24" s="8" t="inlineStr">
        <is>
          <t>/api/v1/academics/houses/{id}</t>
        </is>
      </c>
      <c r="C24" s="8" t="inlineStr">
        <is>
          <t>academics.write</t>
        </is>
      </c>
      <c r="D24" s="8" t="inlineStr">
        <is>
          <t>worker/src/routes/academics.ts</t>
        </is>
      </c>
      <c r="E24" s="8" t="n">
        <v>40</v>
      </c>
      <c r="F24" s="8" t="inlineStr">
        <is>
          <t>Yes</t>
        </is>
      </c>
      <c r="G24" s="8" t="n">
        <v>18</v>
      </c>
    </row>
    <row r="25">
      <c r="A25" s="8" t="inlineStr">
        <is>
          <t>PATCH</t>
        </is>
      </c>
      <c r="B25" s="8" t="inlineStr">
        <is>
          <t>/api/v1/academics/houses/{id}</t>
        </is>
      </c>
      <c r="C25" s="8" t="inlineStr">
        <is>
          <t>academics.write</t>
        </is>
      </c>
      <c r="D25" s="8" t="inlineStr">
        <is>
          <t>worker/src/routes/academics.ts</t>
        </is>
      </c>
      <c r="E25" s="8" t="n">
        <v>42</v>
      </c>
      <c r="F25" s="8" t="inlineStr">
        <is>
          <t>Yes</t>
        </is>
      </c>
      <c r="G25" s="8" t="n">
        <v>18</v>
      </c>
    </row>
    <row r="26">
      <c r="A26" s="8" t="inlineStr">
        <is>
          <t>PATCH</t>
        </is>
      </c>
      <c r="B26" s="8" t="inlineStr">
        <is>
          <t>/api/v1/academics/activities/{id}</t>
        </is>
      </c>
      <c r="C26" s="8" t="inlineStr">
        <is>
          <t>academics.write</t>
        </is>
      </c>
      <c r="D26" s="8" t="inlineStr">
        <is>
          <t>worker/src/routes/academics.ts</t>
        </is>
      </c>
      <c r="E26" s="8" t="n">
        <v>43</v>
      </c>
      <c r="F26" s="8" t="inlineStr">
        <is>
          <t>No</t>
        </is>
      </c>
      <c r="G26" s="8" t="n">
        <v>18</v>
      </c>
    </row>
    <row r="27">
      <c r="A27" s="8" t="inlineStr">
        <is>
          <t>DELETE</t>
        </is>
      </c>
      <c r="B27" s="8" t="inlineStr">
        <is>
          <t>/api/v1/academics/activities/{id}</t>
        </is>
      </c>
      <c r="C27" s="8" t="inlineStr">
        <is>
          <t>academics.write</t>
        </is>
      </c>
      <c r="D27" s="8" t="inlineStr">
        <is>
          <t>worker/src/routes/academics.ts</t>
        </is>
      </c>
      <c r="E27" s="8" t="n">
        <v>44</v>
      </c>
      <c r="F27" s="8" t="inlineStr">
        <is>
          <t>No</t>
        </is>
      </c>
      <c r="G27" s="8" t="n">
        <v>18</v>
      </c>
    </row>
    <row r="28">
      <c r="A28" s="8" t="inlineStr">
        <is>
          <t>GET</t>
        </is>
      </c>
      <c r="B28" s="8" t="inlineStr">
        <is>
          <t>/api/v1/academics/admin/calendar</t>
        </is>
      </c>
      <c r="C28" s="8" t="inlineStr">
        <is>
          <t>academics.read</t>
        </is>
      </c>
      <c r="D28" s="8" t="inlineStr">
        <is>
          <t>worker/src/routes/academics/admin.ts</t>
        </is>
      </c>
      <c r="E28" s="8" t="n">
        <v>14</v>
      </c>
      <c r="F28" s="8" t="inlineStr">
        <is>
          <t>Yes</t>
        </is>
      </c>
      <c r="G28" s="8" t="n">
        <v>42</v>
      </c>
    </row>
    <row r="29">
      <c r="A29" s="8" t="inlineStr">
        <is>
          <t>GET</t>
        </is>
      </c>
      <c r="B29" s="8" t="inlineStr">
        <is>
          <t>/api/v1/academics/admin/calendar/day</t>
        </is>
      </c>
      <c r="C29" s="8" t="inlineStr">
        <is>
          <t>academics.read</t>
        </is>
      </c>
      <c r="D29" s="8" t="inlineStr">
        <is>
          <t>worker/src/routes/academics/admin.ts</t>
        </is>
      </c>
      <c r="E29" s="8" t="n">
        <v>15</v>
      </c>
      <c r="F29" s="8" t="inlineStr">
        <is>
          <t>Yes</t>
        </is>
      </c>
      <c r="G29" s="8" t="n">
        <v>42</v>
      </c>
    </row>
    <row r="30">
      <c r="A30" s="8" t="inlineStr">
        <is>
          <t>GET</t>
        </is>
      </c>
      <c r="B30" s="8" t="inlineStr">
        <is>
          <t>/api/v1/academics/admin/year-plan</t>
        </is>
      </c>
      <c r="C30" s="8" t="inlineStr">
        <is>
          <t>academics.read</t>
        </is>
      </c>
      <c r="D30" s="8" t="inlineStr">
        <is>
          <t>worker/src/routes/academics/admin.ts</t>
        </is>
      </c>
      <c r="E30" s="8" t="n">
        <v>16</v>
      </c>
      <c r="F30" s="8" t="inlineStr">
        <is>
          <t>Yes</t>
        </is>
      </c>
      <c r="G30" s="8" t="n">
        <v>42</v>
      </c>
    </row>
    <row r="31">
      <c r="A31" s="8" t="inlineStr">
        <is>
          <t>POST</t>
        </is>
      </c>
      <c r="B31" s="8" t="inlineStr">
        <is>
          <t>/api/v1/academics/admin/year-plan/import</t>
        </is>
      </c>
      <c r="C31" s="8" t="inlineStr">
        <is>
          <t>academics.write</t>
        </is>
      </c>
      <c r="D31" s="8" t="inlineStr">
        <is>
          <t>worker/src/routes/academics/admin.ts</t>
        </is>
      </c>
      <c r="E31" s="8" t="n">
        <v>17</v>
      </c>
      <c r="F31" s="8" t="inlineStr">
        <is>
          <t>Yes</t>
        </is>
      </c>
      <c r="G31" s="8" t="n">
        <v>42</v>
      </c>
    </row>
    <row r="32">
      <c r="A32" s="8" t="inlineStr">
        <is>
          <t>GET</t>
        </is>
      </c>
      <c r="B32" s="8" t="inlineStr">
        <is>
          <t>/api/v1/academics/admin/year-plan/template</t>
        </is>
      </c>
      <c r="C32" s="8" t="inlineStr">
        <is>
          <t>academics.read</t>
        </is>
      </c>
      <c r="D32" s="8" t="inlineStr">
        <is>
          <t>worker/src/routes/academics/admin.ts</t>
        </is>
      </c>
      <c r="E32" s="8" t="n">
        <v>18</v>
      </c>
      <c r="F32" s="8" t="inlineStr">
        <is>
          <t>Yes</t>
        </is>
      </c>
      <c r="G32" s="8" t="n">
        <v>42</v>
      </c>
    </row>
    <row r="33">
      <c r="A33" s="8" t="inlineStr">
        <is>
          <t>POST</t>
        </is>
      </c>
      <c r="B33" s="8" t="inlineStr">
        <is>
          <t>/api/v1/academics/admin/calendar</t>
        </is>
      </c>
      <c r="C33" s="8" t="inlineStr">
        <is>
          <t>academics.write</t>
        </is>
      </c>
      <c r="D33" s="8" t="inlineStr">
        <is>
          <t>worker/src/routes/academics/admin.ts</t>
        </is>
      </c>
      <c r="E33" s="8" t="n">
        <v>21</v>
      </c>
      <c r="F33" s="8" t="inlineStr">
        <is>
          <t>Yes</t>
        </is>
      </c>
      <c r="G33" s="8" t="n">
        <v>42</v>
      </c>
    </row>
    <row r="34">
      <c r="A34" s="8" t="inlineStr">
        <is>
          <t>DELETE</t>
        </is>
      </c>
      <c r="B34" s="8" t="inlineStr">
        <is>
          <t>/api/v1/academics/admin/calendar/{id}</t>
        </is>
      </c>
      <c r="C34" s="8" t="inlineStr">
        <is>
          <t>academics.write</t>
        </is>
      </c>
      <c r="D34" s="8" t="inlineStr">
        <is>
          <t>worker/src/routes/academics/admin.ts</t>
        </is>
      </c>
      <c r="E34" s="8" t="n">
        <v>22</v>
      </c>
      <c r="F34" s="8" t="inlineStr">
        <is>
          <t>Yes</t>
        </is>
      </c>
      <c r="G34" s="8" t="n">
        <v>42</v>
      </c>
    </row>
    <row r="35">
      <c r="A35" s="8" t="inlineStr">
        <is>
          <t>GET</t>
        </is>
      </c>
      <c r="B35" s="8" t="inlineStr">
        <is>
          <t>/api/v1/academics/admin/exam-monitor</t>
        </is>
      </c>
      <c r="C35" s="8" t="inlineStr">
        <is>
          <t>admin.reports.read</t>
        </is>
      </c>
      <c r="D35" s="8" t="inlineStr">
        <is>
          <t>worker/src/routes/academics/admin.ts</t>
        </is>
      </c>
      <c r="E35" s="8" t="n">
        <v>23</v>
      </c>
      <c r="F35" s="8" t="inlineStr">
        <is>
          <t>Yes</t>
        </is>
      </c>
      <c r="G35" s="8" t="n">
        <v>42</v>
      </c>
    </row>
    <row r="36">
      <c r="A36" s="8" t="inlineStr">
        <is>
          <t>POST</t>
        </is>
      </c>
      <c r="B36" s="8" t="inlineStr">
        <is>
          <t>/api/v1/academics/admin/exam-monitor/approve</t>
        </is>
      </c>
      <c r="C36" s="8" t="inlineStr">
        <is>
          <t>academics.exams.write</t>
        </is>
      </c>
      <c r="D36" s="8" t="inlineStr">
        <is>
          <t>worker/src/routes/academics/admin.ts</t>
        </is>
      </c>
      <c r="E36" s="8" t="n">
        <v>24</v>
      </c>
      <c r="F36" s="8" t="inlineStr">
        <is>
          <t>Yes</t>
        </is>
      </c>
      <c r="G36" s="8" t="n">
        <v>42</v>
      </c>
    </row>
    <row r="37">
      <c r="A37" s="8" t="inlineStr">
        <is>
          <t>POST</t>
        </is>
      </c>
      <c r="B37" s="8" t="inlineStr">
        <is>
          <t>/api/v1/academics/admin/exam-monitor/publish</t>
        </is>
      </c>
      <c r="C37" s="8" t="inlineStr">
        <is>
          <t>academics.exams.approve</t>
        </is>
      </c>
      <c r="D37" s="8" t="inlineStr">
        <is>
          <t>worker/src/routes/academics/admin.ts</t>
        </is>
      </c>
      <c r="E37" s="8" t="n">
        <v>25</v>
      </c>
      <c r="F37" s="8" t="inlineStr">
        <is>
          <t>Yes</t>
        </is>
      </c>
      <c r="G37" s="8" t="n">
        <v>42</v>
      </c>
    </row>
    <row r="38">
      <c r="A38" s="8" t="inlineStr">
        <is>
          <t>GET</t>
        </is>
      </c>
      <c r="B38" s="8" t="inlineStr">
        <is>
          <t>/api/v1/academics/admin/faculty-allocation</t>
        </is>
      </c>
      <c r="C38" s="8" t="inlineStr">
        <is>
          <t>academics.write</t>
        </is>
      </c>
      <c r="D38" s="8" t="inlineStr">
        <is>
          <t>worker/src/routes/academics/admin.ts</t>
        </is>
      </c>
      <c r="E38" s="8" t="n">
        <v>26</v>
      </c>
      <c r="F38" s="8" t="inlineStr">
        <is>
          <t>Yes</t>
        </is>
      </c>
      <c r="G38" s="8" t="n">
        <v>42</v>
      </c>
    </row>
    <row r="39">
      <c r="A39" s="8" t="inlineStr">
        <is>
          <t>POST</t>
        </is>
      </c>
      <c r="B39" s="8" t="inlineStr">
        <is>
          <t>/api/v1/academics/admin/faculty-allocation</t>
        </is>
      </c>
      <c r="C39" s="8" t="inlineStr">
        <is>
          <t>academics.write</t>
        </is>
      </c>
      <c r="D39" s="8" t="inlineStr">
        <is>
          <t>worker/src/routes/academics/admin.ts</t>
        </is>
      </c>
      <c r="E39" s="8" t="n">
        <v>27</v>
      </c>
      <c r="F39" s="8" t="inlineStr">
        <is>
          <t>Yes</t>
        </is>
      </c>
      <c r="G39" s="8" t="n">
        <v>42</v>
      </c>
    </row>
    <row r="40">
      <c r="A40" s="8" t="inlineStr">
        <is>
          <t>POST</t>
        </is>
      </c>
      <c r="B40" s="8" t="inlineStr">
        <is>
          <t>/api/v1/academics/admin/faculty-allocation/apply</t>
        </is>
      </c>
      <c r="C40" s="8" t="inlineStr">
        <is>
          <t>academics.write</t>
        </is>
      </c>
      <c r="D40" s="8" t="inlineStr">
        <is>
          <t>worker/src/routes/academics/admin.ts</t>
        </is>
      </c>
      <c r="E40" s="8" t="n">
        <v>28</v>
      </c>
      <c r="F40" s="8" t="inlineStr">
        <is>
          <t>Yes</t>
        </is>
      </c>
      <c r="G40" s="8" t="n">
        <v>42</v>
      </c>
    </row>
    <row r="41">
      <c r="A41" s="8" t="inlineStr">
        <is>
          <t>GET</t>
        </is>
      </c>
      <c r="B41" s="8" t="inlineStr">
        <is>
          <t>/api/v1/academics/admin/substitution-board</t>
        </is>
      </c>
      <c r="C41" s="8" t="inlineStr">
        <is>
          <t>academics.timetable.write</t>
        </is>
      </c>
      <c r="D41" s="8" t="inlineStr">
        <is>
          <t>worker/src/routes/academics/admin.ts</t>
        </is>
      </c>
      <c r="E41" s="8" t="n">
        <v>29</v>
      </c>
      <c r="F41" s="8" t="inlineStr">
        <is>
          <t>Yes</t>
        </is>
      </c>
      <c r="G41" s="8" t="n">
        <v>42</v>
      </c>
    </row>
    <row r="42">
      <c r="A42" s="8" t="inlineStr">
        <is>
          <t>GET</t>
        </is>
      </c>
      <c r="B42" s="8" t="inlineStr">
        <is>
          <t>/api/v1/academics/admin/outcomes</t>
        </is>
      </c>
      <c r="C42" s="8" t="inlineStr">
        <is>
          <t>admin.reports.read</t>
        </is>
      </c>
      <c r="D42" s="8" t="inlineStr">
        <is>
          <t>worker/src/routes/academics/admin.ts</t>
        </is>
      </c>
      <c r="E42" s="8" t="n">
        <v>30</v>
      </c>
      <c r="F42" s="8" t="inlineStr">
        <is>
          <t>Yes</t>
        </is>
      </c>
      <c r="G42" s="8" t="n">
        <v>42</v>
      </c>
    </row>
    <row r="43">
      <c r="A43" s="8" t="inlineStr">
        <is>
          <t>GET</t>
        </is>
      </c>
      <c r="B43" s="8" t="inlineStr">
        <is>
          <t>/api/v1/academics/admin/outcomes/attainment</t>
        </is>
      </c>
      <c r="C43" s="8" t="inlineStr">
        <is>
          <t>admin.reports.read</t>
        </is>
      </c>
      <c r="D43" s="8" t="inlineStr">
        <is>
          <t>worker/src/routes/academics/admin.ts</t>
        </is>
      </c>
      <c r="E43" s="8" t="n">
        <v>31</v>
      </c>
      <c r="F43" s="8" t="inlineStr">
        <is>
          <t>Yes</t>
        </is>
      </c>
      <c r="G43" s="8" t="n">
        <v>42</v>
      </c>
    </row>
    <row r="44">
      <c r="A44" s="8" t="inlineStr">
        <is>
          <t>POST</t>
        </is>
      </c>
      <c r="B44" s="8" t="inlineStr">
        <is>
          <t>/api/v1/academics/admin/outcomes/programme</t>
        </is>
      </c>
      <c r="C44" s="8" t="inlineStr">
        <is>
          <t>academics.write</t>
        </is>
      </c>
      <c r="D44" s="8" t="inlineStr">
        <is>
          <t>worker/src/routes/academics/admin.ts</t>
        </is>
      </c>
      <c r="E44" s="8" t="n">
        <v>32</v>
      </c>
      <c r="F44" s="8" t="inlineStr">
        <is>
          <t>Yes</t>
        </is>
      </c>
      <c r="G44" s="8" t="n">
        <v>42</v>
      </c>
    </row>
    <row r="45">
      <c r="A45" s="8" t="inlineStr">
        <is>
          <t>POST</t>
        </is>
      </c>
      <c r="B45" s="8" t="inlineStr">
        <is>
          <t>/api/v1/academics/admin/outcomes/course</t>
        </is>
      </c>
      <c r="C45" s="8" t="inlineStr">
        <is>
          <t>academics.write</t>
        </is>
      </c>
      <c r="D45" s="8" t="inlineStr">
        <is>
          <t>worker/src/routes/academics/admin.ts</t>
        </is>
      </c>
      <c r="E45" s="8" t="n">
        <v>33</v>
      </c>
      <c r="F45" s="8" t="inlineStr">
        <is>
          <t>Yes</t>
        </is>
      </c>
      <c r="G45" s="8" t="n">
        <v>42</v>
      </c>
    </row>
    <row r="46">
      <c r="A46" s="8" t="inlineStr">
        <is>
          <t>PUT</t>
        </is>
      </c>
      <c r="B46" s="8" t="inlineStr">
        <is>
          <t>/api/v1/academics/admin/outcomes/mapping</t>
        </is>
      </c>
      <c r="C46" s="8" t="inlineStr">
        <is>
          <t>academics.write</t>
        </is>
      </c>
      <c r="D46" s="8" t="inlineStr">
        <is>
          <t>worker/src/routes/academics/admin.ts</t>
        </is>
      </c>
      <c r="E46" s="8" t="n">
        <v>34</v>
      </c>
      <c r="F46" s="8" t="inlineStr">
        <is>
          <t>Yes</t>
        </is>
      </c>
      <c r="G46" s="8" t="n">
        <v>42</v>
      </c>
    </row>
    <row r="47">
      <c r="A47" s="8" t="inlineStr">
        <is>
          <t>GET</t>
        </is>
      </c>
      <c r="B47" s="8" t="inlineStr">
        <is>
          <t>/api/v1/academics/admin/department-students</t>
        </is>
      </c>
      <c r="C47" s="8" t="inlineStr">
        <is>
          <t>students.read.all</t>
        </is>
      </c>
      <c r="D47" s="8" t="inlineStr">
        <is>
          <t>worker/src/routes/academics/admin.ts</t>
        </is>
      </c>
      <c r="E47" s="8" t="n">
        <v>35</v>
      </c>
      <c r="F47" s="8" t="inlineStr">
        <is>
          <t>Yes</t>
        </is>
      </c>
      <c r="G47" s="8" t="n">
        <v>42</v>
      </c>
    </row>
    <row r="48">
      <c r="A48" s="8" t="inlineStr">
        <is>
          <t>GET</t>
        </is>
      </c>
      <c r="B48" s="8" t="inlineStr">
        <is>
          <t>/api/v1/academics/admin/incidents</t>
        </is>
      </c>
      <c r="C48" s="8" t="inlineStr">
        <is>
          <t>students.read.all</t>
        </is>
      </c>
      <c r="D48" s="8" t="inlineStr">
        <is>
          <t>worker/src/routes/academics/admin.ts</t>
        </is>
      </c>
      <c r="E48" s="8" t="n">
        <v>36</v>
      </c>
      <c r="F48" s="8" t="inlineStr">
        <is>
          <t>Yes</t>
        </is>
      </c>
      <c r="G48" s="8" t="n">
        <v>42</v>
      </c>
    </row>
    <row r="49">
      <c r="A49" s="8" t="inlineStr">
        <is>
          <t>POST</t>
        </is>
      </c>
      <c r="B49" s="8" t="inlineStr">
        <is>
          <t>/api/v1/academics/admin/incidents/{id}</t>
        </is>
      </c>
      <c r="C49" s="8" t="inlineStr">
        <is>
          <t>students.write</t>
        </is>
      </c>
      <c r="D49" s="8" t="inlineStr">
        <is>
          <t>worker/src/routes/academics/admin.ts</t>
        </is>
      </c>
      <c r="E49" s="8" t="n">
        <v>37</v>
      </c>
      <c r="F49" s="8" t="inlineStr">
        <is>
          <t>Yes</t>
        </is>
      </c>
      <c r="G49" s="8" t="n">
        <v>42</v>
      </c>
    </row>
    <row r="50">
      <c r="A50" s="8" t="inlineStr">
        <is>
          <t>GET</t>
        </is>
      </c>
      <c r="B50" s="8" t="inlineStr">
        <is>
          <t>/api/v1/academics/admin/council</t>
        </is>
      </c>
      <c r="C50" s="8" t="inlineStr">
        <is>
          <t>students.read.all</t>
        </is>
      </c>
      <c r="D50" s="8" t="inlineStr">
        <is>
          <t>worker/src/routes/academics/admin.ts</t>
        </is>
      </c>
      <c r="E50" s="8" t="n">
        <v>38</v>
      </c>
      <c r="F50" s="8" t="inlineStr">
        <is>
          <t>Yes</t>
        </is>
      </c>
      <c r="G50" s="8" t="n">
        <v>42</v>
      </c>
    </row>
    <row r="51">
      <c r="A51" s="8" t="inlineStr">
        <is>
          <t>POST</t>
        </is>
      </c>
      <c r="B51" s="8" t="inlineStr">
        <is>
          <t>/api/v1/academics/admin/council/positions</t>
        </is>
      </c>
      <c r="C51" s="8" t="inlineStr">
        <is>
          <t>students.write</t>
        </is>
      </c>
      <c r="D51" s="8" t="inlineStr">
        <is>
          <t>worker/src/routes/academics/admin.ts</t>
        </is>
      </c>
      <c r="E51" s="8" t="n">
        <v>39</v>
      </c>
      <c r="F51" s="8" t="inlineStr">
        <is>
          <t>Yes</t>
        </is>
      </c>
      <c r="G51" s="8" t="n">
        <v>42</v>
      </c>
    </row>
    <row r="52">
      <c r="A52" s="8" t="inlineStr">
        <is>
          <t>POST</t>
        </is>
      </c>
      <c r="B52" s="8" t="inlineStr">
        <is>
          <t>/api/v1/academics/admin/council/members</t>
        </is>
      </c>
      <c r="C52" s="8" t="inlineStr">
        <is>
          <t>students.write</t>
        </is>
      </c>
      <c r="D52" s="8" t="inlineStr">
        <is>
          <t>worker/src/routes/academics/admin.ts</t>
        </is>
      </c>
      <c r="E52" s="8" t="n">
        <v>40</v>
      </c>
      <c r="F52" s="8" t="inlineStr">
        <is>
          <t>Yes</t>
        </is>
      </c>
      <c r="G52" s="8" t="n">
        <v>42</v>
      </c>
    </row>
    <row r="53">
      <c r="A53" s="8" t="inlineStr">
        <is>
          <t>POST</t>
        </is>
      </c>
      <c r="B53" s="8" t="inlineStr">
        <is>
          <t>/api/v1/academics/admin/council/duties</t>
        </is>
      </c>
      <c r="C53" s="8" t="inlineStr">
        <is>
          <t>students.write</t>
        </is>
      </c>
      <c r="D53" s="8" t="inlineStr">
        <is>
          <t>worker/src/routes/academics/admin.ts</t>
        </is>
      </c>
      <c r="E53" s="8" t="n">
        <v>41</v>
      </c>
      <c r="F53" s="8" t="inlineStr">
        <is>
          <t>Yes</t>
        </is>
      </c>
      <c r="G53" s="8" t="n">
        <v>42</v>
      </c>
    </row>
    <row r="54">
      <c r="A54" s="8" t="inlineStr">
        <is>
          <t>GET</t>
        </is>
      </c>
      <c r="B54" s="8" t="inlineStr">
        <is>
          <t>/api/v1/academics/admin/alumni</t>
        </is>
      </c>
      <c r="C54" s="8" t="inlineStr">
        <is>
          <t>students.read.all</t>
        </is>
      </c>
      <c r="D54" s="8" t="inlineStr">
        <is>
          <t>worker/src/routes/academics/admin.ts</t>
        </is>
      </c>
      <c r="E54" s="8" t="n">
        <v>42</v>
      </c>
      <c r="F54" s="8" t="inlineStr">
        <is>
          <t>Yes</t>
        </is>
      </c>
      <c r="G54" s="8" t="n">
        <v>42</v>
      </c>
    </row>
    <row r="55">
      <c r="A55" s="8" t="inlineStr">
        <is>
          <t>GET</t>
        </is>
      </c>
      <c r="B55" s="8" t="inlineStr">
        <is>
          <t>/api/v1/academics/admin/alumni/events</t>
        </is>
      </c>
      <c r="C55" s="8" t="inlineStr">
        <is>
          <t>students.read.all</t>
        </is>
      </c>
      <c r="D55" s="8" t="inlineStr">
        <is>
          <t>worker/src/routes/academics/admin.ts</t>
        </is>
      </c>
      <c r="E55" s="8" t="n">
        <v>43</v>
      </c>
      <c r="F55" s="8" t="inlineStr">
        <is>
          <t>Yes</t>
        </is>
      </c>
      <c r="G55" s="8" t="n">
        <v>42</v>
      </c>
    </row>
    <row r="56">
      <c r="A56" s="8" t="inlineStr">
        <is>
          <t>POST</t>
        </is>
      </c>
      <c r="B56" s="8" t="inlineStr">
        <is>
          <t>/api/v1/academics/admin/alumni/profiles</t>
        </is>
      </c>
      <c r="C56" s="8" t="inlineStr">
        <is>
          <t>students.write</t>
        </is>
      </c>
      <c r="D56" s="8" t="inlineStr">
        <is>
          <t>worker/src/routes/academics/admin.ts</t>
        </is>
      </c>
      <c r="E56" s="8" t="n">
        <v>44</v>
      </c>
      <c r="F56" s="8" t="inlineStr">
        <is>
          <t>Yes</t>
        </is>
      </c>
      <c r="G56" s="8" t="n">
        <v>42</v>
      </c>
    </row>
    <row r="57">
      <c r="A57" s="8" t="inlineStr">
        <is>
          <t>POST</t>
        </is>
      </c>
      <c r="B57" s="8" t="inlineStr">
        <is>
          <t>/api/v1/academics/admin/alumni/events</t>
        </is>
      </c>
      <c r="C57" s="8" t="inlineStr">
        <is>
          <t>students.write</t>
        </is>
      </c>
      <c r="D57" s="8" t="inlineStr">
        <is>
          <t>worker/src/routes/academics/admin.ts</t>
        </is>
      </c>
      <c r="E57" s="8" t="n">
        <v>45</v>
      </c>
      <c r="F57" s="8" t="inlineStr">
        <is>
          <t>Yes</t>
        </is>
      </c>
      <c r="G57" s="8" t="n">
        <v>42</v>
      </c>
    </row>
    <row r="58">
      <c r="A58" s="8" t="inlineStr">
        <is>
          <t>POST</t>
        </is>
      </c>
      <c r="B58" s="8" t="inlineStr">
        <is>
          <t>/api/v1/academics/admin/alumni/events/{id}/attendance</t>
        </is>
      </c>
      <c r="C58" s="8" t="inlineStr">
        <is>
          <t>students.write</t>
        </is>
      </c>
      <c r="D58" s="8" t="inlineStr">
        <is>
          <t>worker/src/routes/academics/admin.ts</t>
        </is>
      </c>
      <c r="E58" s="8" t="n">
        <v>46</v>
      </c>
      <c r="F58" s="8" t="inlineStr">
        <is>
          <t>No</t>
        </is>
      </c>
      <c r="G58" s="8" t="n">
        <v>42</v>
      </c>
    </row>
    <row r="59">
      <c r="A59" s="8" t="inlineStr">
        <is>
          <t>POST</t>
        </is>
      </c>
      <c r="B59" s="8" t="inlineStr">
        <is>
          <t>/api/v1/academics/admin/alumni/contributions</t>
        </is>
      </c>
      <c r="C59" s="8" t="inlineStr">
        <is>
          <t>students.write</t>
        </is>
      </c>
      <c r="D59" s="8" t="inlineStr">
        <is>
          <t>worker/src/routes/academics/admin.ts</t>
        </is>
      </c>
      <c r="E59" s="8" t="n">
        <v>47</v>
      </c>
      <c r="F59" s="8" t="inlineStr">
        <is>
          <t>Yes</t>
        </is>
      </c>
      <c r="G59" s="8" t="n">
        <v>42</v>
      </c>
    </row>
    <row r="60">
      <c r="A60" s="8" t="inlineStr">
        <is>
          <t>GET</t>
        </is>
      </c>
      <c r="B60" s="8" t="inlineStr">
        <is>
          <t>/api/v1/academics/admin/certificate-templates</t>
        </is>
      </c>
      <c r="C60" s="8" t="inlineStr">
        <is>
          <t>institution.read</t>
        </is>
      </c>
      <c r="D60" s="8" t="inlineStr">
        <is>
          <t>worker/src/routes/academics/admin.ts</t>
        </is>
      </c>
      <c r="E60" s="8" t="n">
        <v>48</v>
      </c>
      <c r="F60" s="8" t="inlineStr">
        <is>
          <t>Yes</t>
        </is>
      </c>
      <c r="G60" s="8" t="n">
        <v>42</v>
      </c>
    </row>
    <row r="61">
      <c r="A61" s="8" t="inlineStr">
        <is>
          <t>GET</t>
        </is>
      </c>
      <c r="B61" s="8" t="inlineStr">
        <is>
          <t>/api/v1/academics/admin/certificate-templates/{id}/preview</t>
        </is>
      </c>
      <c r="C61" s="8" t="inlineStr">
        <is>
          <t>institution.read</t>
        </is>
      </c>
      <c r="D61" s="8" t="inlineStr">
        <is>
          <t>worker/src/routes/academics/admin.ts</t>
        </is>
      </c>
      <c r="E61" s="8" t="n">
        <v>49</v>
      </c>
      <c r="F61" s="8" t="inlineStr">
        <is>
          <t>Yes</t>
        </is>
      </c>
      <c r="G61" s="8" t="n">
        <v>42</v>
      </c>
    </row>
    <row r="62">
      <c r="A62" s="8" t="inlineStr">
        <is>
          <t>POST</t>
        </is>
      </c>
      <c r="B62" s="8" t="inlineStr">
        <is>
          <t>/api/v1/academics/admin/certificate-templates</t>
        </is>
      </c>
      <c r="C62" s="8" t="inlineStr">
        <is>
          <t>institution.settings.write</t>
        </is>
      </c>
      <c r="D62" s="8" t="inlineStr">
        <is>
          <t>worker/src/routes/academics/admin.ts</t>
        </is>
      </c>
      <c r="E62" s="8" t="n">
        <v>50</v>
      </c>
      <c r="F62" s="8" t="inlineStr">
        <is>
          <t>Yes</t>
        </is>
      </c>
      <c r="G62" s="8" t="n">
        <v>42</v>
      </c>
    </row>
    <row r="63">
      <c r="A63" s="8" t="inlineStr">
        <is>
          <t>GET</t>
        </is>
      </c>
      <c r="B63" s="8" t="inlineStr">
        <is>
          <t>/api/v1/admin/connectors/crm</t>
        </is>
      </c>
      <c r="C63" s="8" t="inlineStr">
        <is>
          <t>PERM_VENDOR</t>
        </is>
      </c>
      <c r="D63" s="8" t="inlineStr">
        <is>
          <t>worker/src/routes/admin/connectors.ts</t>
        </is>
      </c>
      <c r="E63" s="8" t="n">
        <v>250</v>
      </c>
      <c r="F63" s="8" t="inlineStr">
        <is>
          <t>Yes</t>
        </is>
      </c>
      <c r="G63" s="8" t="n">
        <v>13</v>
      </c>
    </row>
    <row r="64">
      <c r="A64" s="8" t="inlineStr">
        <is>
          <t>PUT</t>
        </is>
      </c>
      <c r="B64" s="8" t="inlineStr">
        <is>
          <t>/api/v1/admin/connectors/crm</t>
        </is>
      </c>
      <c r="C64" s="8" t="inlineStr">
        <is>
          <t>PERM_VENDOR</t>
        </is>
      </c>
      <c r="D64" s="8" t="inlineStr">
        <is>
          <t>worker/src/routes/admin/connectors.ts</t>
        </is>
      </c>
      <c r="E64" s="8" t="n">
        <v>294</v>
      </c>
      <c r="F64" s="8" t="inlineStr">
        <is>
          <t>Yes</t>
        </is>
      </c>
      <c r="G64" s="8" t="n">
        <v>13</v>
      </c>
    </row>
    <row r="65">
      <c r="A65" s="8" t="inlineStr">
        <is>
          <t>PUT</t>
        </is>
      </c>
      <c r="B65" s="8" t="inlineStr">
        <is>
          <t>/api/v1/admin/connectors/crm/mappings</t>
        </is>
      </c>
      <c r="C65" s="8" t="inlineStr">
        <is>
          <t>PERM_VENDOR</t>
        </is>
      </c>
      <c r="D65" s="8" t="inlineStr">
        <is>
          <t>worker/src/routes/admin/connectors.ts</t>
        </is>
      </c>
      <c r="E65" s="8" t="n">
        <v>316</v>
      </c>
      <c r="F65" s="8" t="inlineStr">
        <is>
          <t>No</t>
        </is>
      </c>
      <c r="G65" s="8" t="n">
        <v>13</v>
      </c>
    </row>
    <row r="66">
      <c r="A66" s="8" t="inlineStr">
        <is>
          <t>GET</t>
        </is>
      </c>
      <c r="B66" s="8" t="inlineStr">
        <is>
          <t>/api/v1/admin/connectors/crm/queue</t>
        </is>
      </c>
      <c r="C66" s="8" t="inlineStr">
        <is>
          <t>PERM_VENDOR</t>
        </is>
      </c>
      <c r="D66" s="8" t="inlineStr">
        <is>
          <t>worker/src/routes/admin/connectors.ts</t>
        </is>
      </c>
      <c r="E66" s="8" t="n">
        <v>342</v>
      </c>
      <c r="F66" s="8" t="inlineStr">
        <is>
          <t>No</t>
        </is>
      </c>
      <c r="G66" s="8" t="n">
        <v>13</v>
      </c>
    </row>
    <row r="67">
      <c r="A67" s="8" t="inlineStr">
        <is>
          <t>POST</t>
        </is>
      </c>
      <c r="B67" s="8" t="inlineStr">
        <is>
          <t>/api/v1/admin/connectors/crm/export</t>
        </is>
      </c>
      <c r="C67" s="8" t="inlineStr">
        <is>
          <t>PERM_VENDOR</t>
        </is>
      </c>
      <c r="D67" s="8" t="inlineStr">
        <is>
          <t>worker/src/routes/admin/connectors.ts</t>
        </is>
      </c>
      <c r="E67" s="8" t="n">
        <v>359</v>
      </c>
      <c r="F67" s="8" t="inlineStr">
        <is>
          <t>No</t>
        </is>
      </c>
      <c r="G67" s="8" t="n">
        <v>13</v>
      </c>
    </row>
    <row r="68">
      <c r="A68" s="8" t="inlineStr">
        <is>
          <t>GET</t>
        </is>
      </c>
      <c r="B68" s="8" t="inlineStr">
        <is>
          <t>/api/v1/admin/connectors/crm/runs/{id}/file</t>
        </is>
      </c>
      <c r="C68" s="8" t="inlineStr">
        <is>
          <t>PERM_VENDOR</t>
        </is>
      </c>
      <c r="D68" s="8" t="inlineStr">
        <is>
          <t>worker/src/routes/admin/connectors.ts</t>
        </is>
      </c>
      <c r="E68" s="8" t="n">
        <v>404</v>
      </c>
      <c r="F68" s="8" t="inlineStr">
        <is>
          <t>No</t>
        </is>
      </c>
      <c r="G68" s="8" t="n">
        <v>13</v>
      </c>
    </row>
    <row r="69">
      <c r="A69" s="8" t="inlineStr">
        <is>
          <t>POST</t>
        </is>
      </c>
      <c r="B69" s="8" t="inlineStr">
        <is>
          <t>/api/v1/admin/connectors/crm/import</t>
        </is>
      </c>
      <c r="C69" s="8" t="inlineStr">
        <is>
          <t>PERM_VENDOR</t>
        </is>
      </c>
      <c r="D69" s="8" t="inlineStr">
        <is>
          <t>worker/src/routes/admin/connectors.ts</t>
        </is>
      </c>
      <c r="E69" s="8" t="n">
        <v>422</v>
      </c>
      <c r="F69" s="8" t="inlineStr">
        <is>
          <t>No</t>
        </is>
      </c>
      <c r="G69" s="8" t="n">
        <v>13</v>
      </c>
    </row>
    <row r="70">
      <c r="A70" s="8" t="inlineStr">
        <is>
          <t>GET</t>
        </is>
      </c>
      <c r="B70" s="8" t="inlineStr">
        <is>
          <t>/api/v1/admin/connectors/crm/runs</t>
        </is>
      </c>
      <c r="C70" s="8" t="inlineStr">
        <is>
          <t>PERM_VENDOR</t>
        </is>
      </c>
      <c r="D70" s="8" t="inlineStr">
        <is>
          <t>worker/src/routes/admin/connectors.ts</t>
        </is>
      </c>
      <c r="E70" s="8" t="n">
        <v>501</v>
      </c>
      <c r="F70" s="8" t="inlineStr">
        <is>
          <t>No</t>
        </is>
      </c>
      <c r="G70" s="8" t="n">
        <v>13</v>
      </c>
    </row>
    <row r="71">
      <c r="A71" s="8" t="inlineStr">
        <is>
          <t>GET</t>
        </is>
      </c>
      <c r="B71" s="8" t="inlineStr">
        <is>
          <t>/api/v1/admin/connectors/crm/runs/{id}/items</t>
        </is>
      </c>
      <c r="C71" s="8" t="inlineStr">
        <is>
          <t>PERM_VENDOR</t>
        </is>
      </c>
      <c r="D71" s="8" t="inlineStr">
        <is>
          <t>worker/src/routes/admin/connectors.ts</t>
        </is>
      </c>
      <c r="E71" s="8" t="n">
        <v>521</v>
      </c>
      <c r="F71" s="8" t="inlineStr">
        <is>
          <t>No</t>
        </is>
      </c>
      <c r="G71" s="8" t="n">
        <v>13</v>
      </c>
    </row>
    <row r="72">
      <c r="A72" s="8" t="inlineStr">
        <is>
          <t>GET</t>
        </is>
      </c>
      <c r="B72" s="8" t="inlineStr">
        <is>
          <t>/api/v1/admin/connectors/crm/conflicts</t>
        </is>
      </c>
      <c r="C72" s="8" t="inlineStr">
        <is>
          <t>PERM_VENDOR</t>
        </is>
      </c>
      <c r="D72" s="8" t="inlineStr">
        <is>
          <t>worker/src/routes/admin/connectors.ts</t>
        </is>
      </c>
      <c r="E72" s="8" t="n">
        <v>541</v>
      </c>
      <c r="F72" s="8" t="inlineStr">
        <is>
          <t>No</t>
        </is>
      </c>
      <c r="G72" s="8" t="n">
        <v>13</v>
      </c>
    </row>
    <row r="73">
      <c r="A73" s="8" t="inlineStr">
        <is>
          <t>POST</t>
        </is>
      </c>
      <c r="B73" s="8" t="inlineStr">
        <is>
          <t>/api/v1/admin/connectors/crm/conflicts/{id}/resolve</t>
        </is>
      </c>
      <c r="C73" s="8" t="inlineStr">
        <is>
          <t>PERM_VENDOR</t>
        </is>
      </c>
      <c r="D73" s="8" t="inlineStr">
        <is>
          <t>worker/src/routes/admin/connectors.ts</t>
        </is>
      </c>
      <c r="E73" s="8" t="n">
        <v>564</v>
      </c>
      <c r="F73" s="8" t="inlineStr">
        <is>
          <t>No</t>
        </is>
      </c>
      <c r="G73" s="8" t="n">
        <v>13</v>
      </c>
    </row>
    <row r="74">
      <c r="A74" s="8" t="inlineStr">
        <is>
          <t>GET</t>
        </is>
      </c>
      <c r="B74" s="8" t="inlineStr">
        <is>
          <t>/api/v1/admin/connectors/crm/credentials</t>
        </is>
      </c>
      <c r="C74" s="8" t="inlineStr">
        <is>
          <t>PERM_VENDOR</t>
        </is>
      </c>
      <c r="D74" s="8" t="inlineStr">
        <is>
          <t>worker/src/routes/admin/connectors.ts</t>
        </is>
      </c>
      <c r="E74" s="8" t="n">
        <v>580</v>
      </c>
      <c r="F74" s="8" t="inlineStr">
        <is>
          <t>No</t>
        </is>
      </c>
      <c r="G74" s="8" t="n">
        <v>13</v>
      </c>
    </row>
    <row r="75">
      <c r="A75" s="8" t="inlineStr">
        <is>
          <t>PUT</t>
        </is>
      </c>
      <c r="B75" s="8" t="inlineStr">
        <is>
          <t>/api/v1/admin/connectors/crm/credentials</t>
        </is>
      </c>
      <c r="C75" s="8" t="inlineStr">
        <is>
          <t>PERM_VENDOR</t>
        </is>
      </c>
      <c r="D75" s="8" t="inlineStr">
        <is>
          <t>worker/src/routes/admin/connectors.ts</t>
        </is>
      </c>
      <c r="E75" s="8" t="n">
        <v>599</v>
      </c>
      <c r="F75" s="8" t="inlineStr">
        <is>
          <t>No</t>
        </is>
      </c>
      <c r="G75" s="8" t="n">
        <v>13</v>
      </c>
    </row>
    <row r="76">
      <c r="A76" s="8" t="inlineStr">
        <is>
          <t>GET</t>
        </is>
      </c>
      <c r="B76" s="8" t="inlineStr">
        <is>
          <t>/api/v1/admin/connectors/meetings</t>
        </is>
      </c>
      <c r="C76" s="8" t="inlineStr">
        <is>
          <t>PERM_VENDOR</t>
        </is>
      </c>
      <c r="D76" s="8" t="inlineStr">
        <is>
          <t>worker/src/routes/admin/connectors.ts</t>
        </is>
      </c>
      <c r="E76" s="8" t="n">
        <v>622</v>
      </c>
      <c r="F76" s="8" t="inlineStr">
        <is>
          <t>Yes</t>
        </is>
      </c>
      <c r="G76" s="8" t="n">
        <v>13</v>
      </c>
    </row>
    <row r="77">
      <c r="A77" s="8" t="inlineStr">
        <is>
          <t>PUT</t>
        </is>
      </c>
      <c r="B77" s="8" t="inlineStr">
        <is>
          <t>/api/v1/admin/connectors/meetings/providers</t>
        </is>
      </c>
      <c r="C77" s="8" t="inlineStr">
        <is>
          <t>PERM_VENDOR</t>
        </is>
      </c>
      <c r="D77" s="8" t="inlineStr">
        <is>
          <t>worker/src/routes/admin/connectors.ts</t>
        </is>
      </c>
      <c r="E77" s="8" t="n">
        <v>670</v>
      </c>
      <c r="F77" s="8" t="inlineStr">
        <is>
          <t>No</t>
        </is>
      </c>
      <c r="G77" s="8" t="n">
        <v>13</v>
      </c>
    </row>
    <row r="78">
      <c r="A78" s="8" t="inlineStr">
        <is>
          <t>DELETE</t>
        </is>
      </c>
      <c r="B78" s="8" t="inlineStr">
        <is>
          <t>/api/v1/admin/connectors/meetings/providers/{id}</t>
        </is>
      </c>
      <c r="C78" s="8" t="inlineStr">
        <is>
          <t>PERM_VENDOR</t>
        </is>
      </c>
      <c r="D78" s="8" t="inlineStr">
        <is>
          <t>worker/src/routes/admin/connectors.ts</t>
        </is>
      </c>
      <c r="E78" s="8" t="n">
        <v>706</v>
      </c>
      <c r="F78" s="8" t="inlineStr">
        <is>
          <t>No</t>
        </is>
      </c>
      <c r="G78" s="8" t="n">
        <v>13</v>
      </c>
    </row>
    <row r="79">
      <c r="A79" s="8" t="inlineStr">
        <is>
          <t>GET</t>
        </is>
      </c>
      <c r="B79" s="8" t="inlineStr">
        <is>
          <t>/api/v1/admin/connectors/meetings/requests</t>
        </is>
      </c>
      <c r="C79" s="8" t="inlineStr">
        <is>
          <t>PERM_VENDOR</t>
        </is>
      </c>
      <c r="D79" s="8" t="inlineStr">
        <is>
          <t>worker/src/routes/admin/connectors.ts</t>
        </is>
      </c>
      <c r="E79" s="8" t="n">
        <v>715</v>
      </c>
      <c r="F79" s="8" t="inlineStr">
        <is>
          <t>No</t>
        </is>
      </c>
      <c r="G79" s="8" t="n">
        <v>13</v>
      </c>
    </row>
    <row r="80">
      <c r="A80" s="8" t="inlineStr">
        <is>
          <t>POST</t>
        </is>
      </c>
      <c r="B80" s="8" t="inlineStr">
        <is>
          <t>/api/v1/admin/connectors/meetings/sessions/{id}/meeting</t>
        </is>
      </c>
      <c r="C80" s="8" t="inlineStr">
        <is>
          <t>PERM_VENDOR</t>
        </is>
      </c>
      <c r="D80" s="8" t="inlineStr">
        <is>
          <t>worker/src/routes/admin/connectors.ts</t>
        </is>
      </c>
      <c r="E80" s="8" t="n">
        <v>734</v>
      </c>
      <c r="F80" s="8" t="inlineStr">
        <is>
          <t>No</t>
        </is>
      </c>
      <c r="G80" s="8" t="n">
        <v>13</v>
      </c>
    </row>
    <row r="81">
      <c r="A81" s="8" t="inlineStr">
        <is>
          <t>GET</t>
        </is>
      </c>
      <c r="B81" s="8" t="inlineStr">
        <is>
          <t>/api/v1/export</t>
        </is>
      </c>
      <c r="C81" s="8" t="inlineStr">
        <is>
          <t>auth</t>
        </is>
      </c>
      <c r="D81" s="8" t="inlineStr">
        <is>
          <t>worker/src/routes/admin/export.ts</t>
        </is>
      </c>
      <c r="E81" s="8" t="n">
        <v>269</v>
      </c>
      <c r="F81" s="8" t="inlineStr">
        <is>
          <t>Yes</t>
        </is>
      </c>
      <c r="G81" s="8" t="n">
        <v>33</v>
      </c>
    </row>
    <row r="82">
      <c r="A82" s="8" t="inlineStr">
        <is>
          <t>GET</t>
        </is>
      </c>
      <c r="B82" s="8" t="inlineStr">
        <is>
          <t>/api/v1/export/{name}</t>
        </is>
      </c>
      <c r="C82" s="8" t="inlineStr">
        <is>
          <t>auth</t>
        </is>
      </c>
      <c r="D82" s="8" t="inlineStr">
        <is>
          <t>worker/src/routes/admin/export.ts</t>
        </is>
      </c>
      <c r="E82" s="8" t="n">
        <v>275</v>
      </c>
      <c r="F82" s="8" t="inlineStr">
        <is>
          <t>Yes</t>
        </is>
      </c>
      <c r="G82" s="8" t="n">
        <v>33</v>
      </c>
    </row>
    <row r="83">
      <c r="A83" s="8" t="inlineStr">
        <is>
          <t>GET</t>
        </is>
      </c>
      <c r="B83" s="8" t="inlineStr">
        <is>
          <t>/api/v1/admin/inbox</t>
        </is>
      </c>
      <c r="C83" s="8" t="inlineStr">
        <is>
          <t>auth</t>
        </is>
      </c>
      <c r="D83" s="8" t="inlineStr">
        <is>
          <t>worker/src/routes/admin/inbox.ts</t>
        </is>
      </c>
      <c r="E83" s="8" t="n">
        <v>170</v>
      </c>
      <c r="F83" s="8" t="inlineStr">
        <is>
          <t>Yes</t>
        </is>
      </c>
      <c r="G83" s="8" t="n">
        <v>14</v>
      </c>
    </row>
    <row r="84">
      <c r="A84" s="8" t="inlineStr">
        <is>
          <t>GET</t>
        </is>
      </c>
      <c r="B84" s="8" t="inlineStr">
        <is>
          <t>/api/v1/admin/inbox/count</t>
        </is>
      </c>
      <c r="C84" s="8" t="inlineStr">
        <is>
          <t>auth</t>
        </is>
      </c>
      <c r="D84" s="8" t="inlineStr">
        <is>
          <t>worker/src/routes/admin/inbox.ts</t>
        </is>
      </c>
      <c r="E84" s="8" t="n">
        <v>172</v>
      </c>
      <c r="F84" s="8" t="inlineStr">
        <is>
          <t>No</t>
        </is>
      </c>
      <c r="G84" s="8" t="n">
        <v>14</v>
      </c>
    </row>
    <row r="85">
      <c r="A85" s="8" t="inlineStr">
        <is>
          <t>GET</t>
        </is>
      </c>
      <c r="B85" s="8" t="inlineStr">
        <is>
          <t>/api/v1/admin/inbox/thread</t>
        </is>
      </c>
      <c r="C85" s="8" t="inlineStr">
        <is>
          <t>auth</t>
        </is>
      </c>
      <c r="D85" s="8" t="inlineStr">
        <is>
          <t>worker/src/routes/admin/inbox.ts</t>
        </is>
      </c>
      <c r="E85" s="8" t="n">
        <v>185</v>
      </c>
      <c r="F85" s="8" t="inlineStr">
        <is>
          <t>Yes</t>
        </is>
      </c>
      <c r="G85" s="8" t="n">
        <v>14</v>
      </c>
    </row>
    <row r="86">
      <c r="A86" s="8" t="inlineStr">
        <is>
          <t>GET</t>
        </is>
      </c>
      <c r="B86" s="8" t="inlineStr">
        <is>
          <t>/api/v1/admin/inbox/staff-thread</t>
        </is>
      </c>
      <c r="C86" s="8" t="inlineStr">
        <is>
          <t>auth</t>
        </is>
      </c>
      <c r="D86" s="8" t="inlineStr">
        <is>
          <t>worker/src/routes/admin/inbox.ts</t>
        </is>
      </c>
      <c r="E86" s="8" t="n">
        <v>196</v>
      </c>
      <c r="F86" s="8" t="inlineStr">
        <is>
          <t>Yes</t>
        </is>
      </c>
      <c r="G86" s="8" t="n">
        <v>14</v>
      </c>
    </row>
    <row r="87">
      <c r="A87" s="8" t="inlineStr">
        <is>
          <t>GET</t>
        </is>
      </c>
      <c r="B87" s="8" t="inlineStr">
        <is>
          <t>/api/v1/admin/inbox/concern</t>
        </is>
      </c>
      <c r="C87" s="8" t="inlineStr">
        <is>
          <t>auth</t>
        </is>
      </c>
      <c r="D87" s="8" t="inlineStr">
        <is>
          <t>worker/src/routes/admin/inbox.ts</t>
        </is>
      </c>
      <c r="E87" s="8" t="n">
        <v>206</v>
      </c>
      <c r="F87" s="8" t="inlineStr">
        <is>
          <t>Yes</t>
        </is>
      </c>
      <c r="G87" s="8" t="n">
        <v>14</v>
      </c>
    </row>
    <row r="88">
      <c r="A88" s="8" t="inlineStr">
        <is>
          <t>GET</t>
        </is>
      </c>
      <c r="B88" s="8" t="inlineStr">
        <is>
          <t>/api/v1/admin/inbox/circular</t>
        </is>
      </c>
      <c r="C88" s="8" t="inlineStr">
        <is>
          <t>auth</t>
        </is>
      </c>
      <c r="D88" s="8" t="inlineStr">
        <is>
          <t>worker/src/routes/admin/inbox.ts</t>
        </is>
      </c>
      <c r="E88" s="8" t="n">
        <v>221</v>
      </c>
      <c r="F88" s="8" t="inlineStr">
        <is>
          <t>Yes</t>
        </is>
      </c>
      <c r="G88" s="8" t="n">
        <v>14</v>
      </c>
    </row>
    <row r="89">
      <c r="A89" s="8" t="inlineStr">
        <is>
          <t>POST</t>
        </is>
      </c>
      <c r="B89" s="8" t="inlineStr">
        <is>
          <t>/api/v1/admin/inbox/reply</t>
        </is>
      </c>
      <c r="C89" s="8" t="inlineStr">
        <is>
          <t>auth</t>
        </is>
      </c>
      <c r="D89" s="8" t="inlineStr">
        <is>
          <t>worker/src/routes/admin/inbox.ts</t>
        </is>
      </c>
      <c r="E89" s="8" t="n">
        <v>239</v>
      </c>
      <c r="F89" s="8" t="inlineStr">
        <is>
          <t>Yes</t>
        </is>
      </c>
      <c r="G89" s="8" t="n">
        <v>14</v>
      </c>
    </row>
    <row r="90">
      <c r="A90" s="8" t="inlineStr">
        <is>
          <t>GET</t>
        </is>
      </c>
      <c r="B90" s="8" t="inlineStr">
        <is>
          <t>/api/v1/admin/integrations/index</t>
        </is>
      </c>
      <c r="C90" s="8" t="inlineStr">
        <is>
          <t>institution.read</t>
        </is>
      </c>
      <c r="D90" s="8" t="inlineStr">
        <is>
          <t>worker/src/routes/admin/integrations_index.ts</t>
        </is>
      </c>
      <c r="E90" s="8" t="n">
        <v>192</v>
      </c>
      <c r="F90" s="8" t="inlineStr">
        <is>
          <t>No</t>
        </is>
      </c>
      <c r="G90" s="8" t="n">
        <v>8</v>
      </c>
    </row>
    <row r="91">
      <c r="A91" s="8" t="inlineStr">
        <is>
          <t>GET</t>
        </is>
      </c>
      <c r="B91" s="8" t="inlineStr">
        <is>
          <t>/api/v1/tour</t>
        </is>
      </c>
      <c r="C91" s="8" t="inlineStr">
        <is>
          <t>auth</t>
        </is>
      </c>
      <c r="D91" s="8" t="inlineStr">
        <is>
          <t>worker/src/routes/admin/loose.ts</t>
        </is>
      </c>
      <c r="E91" s="8" t="n">
        <v>574</v>
      </c>
      <c r="F91" s="8" t="inlineStr">
        <is>
          <t>Yes</t>
        </is>
      </c>
      <c r="G91" s="8" t="n">
        <v>37</v>
      </c>
    </row>
    <row r="92">
      <c r="A92" s="8" t="inlineStr">
        <is>
          <t>POST</t>
        </is>
      </c>
      <c r="B92" s="8" t="inlineStr">
        <is>
          <t>/api/v1/tour</t>
        </is>
      </c>
      <c r="C92" s="8" t="inlineStr">
        <is>
          <t>auth</t>
        </is>
      </c>
      <c r="D92" s="8" t="inlineStr">
        <is>
          <t>worker/src/routes/admin/loose.ts</t>
        </is>
      </c>
      <c r="E92" s="8" t="n">
        <v>575</v>
      </c>
      <c r="F92" s="8" t="inlineStr">
        <is>
          <t>Yes</t>
        </is>
      </c>
      <c r="G92" s="8" t="n">
        <v>37</v>
      </c>
    </row>
    <row r="93">
      <c r="A93" s="8" t="inlineStr">
        <is>
          <t>GET</t>
        </is>
      </c>
      <c r="B93" s="8" t="inlineStr">
        <is>
          <t>/api/v1/platform-notices</t>
        </is>
      </c>
      <c r="C93" s="8" t="inlineStr">
        <is>
          <t>auth</t>
        </is>
      </c>
      <c r="D93" s="8" t="inlineStr">
        <is>
          <t>worker/src/routes/admin/loose.ts</t>
        </is>
      </c>
      <c r="E93" s="8" t="n">
        <v>576</v>
      </c>
      <c r="F93" s="8" t="inlineStr">
        <is>
          <t>Yes</t>
        </is>
      </c>
      <c r="G93" s="8" t="n">
        <v>37</v>
      </c>
    </row>
    <row r="94">
      <c r="A94" s="8" t="inlineStr">
        <is>
          <t>GET</t>
        </is>
      </c>
      <c r="B94" s="8" t="inlineStr">
        <is>
          <t>/api/v1/board/money</t>
        </is>
      </c>
      <c r="C94" s="8" t="inlineStr">
        <is>
          <t>finance.invoices.read</t>
        </is>
      </c>
      <c r="D94" s="8" t="inlineStr">
        <is>
          <t>worker/src/routes/admin/loose.ts</t>
        </is>
      </c>
      <c r="E94" s="8" t="n">
        <v>577</v>
      </c>
      <c r="F94" s="8" t="inlineStr">
        <is>
          <t>Yes</t>
        </is>
      </c>
      <c r="G94" s="8" t="n">
        <v>37</v>
      </c>
    </row>
    <row r="95">
      <c r="A95" s="8" t="inlineStr">
        <is>
          <t>GET</t>
        </is>
      </c>
      <c r="B95" s="8" t="inlineStr">
        <is>
          <t>/api/v1/attention</t>
        </is>
      </c>
      <c r="C95" s="8" t="inlineStr">
        <is>
          <t>auth</t>
        </is>
      </c>
      <c r="D95" s="8" t="inlineStr">
        <is>
          <t>worker/src/routes/admin/loose.ts</t>
        </is>
      </c>
      <c r="E95" s="8" t="n">
        <v>578</v>
      </c>
      <c r="F95" s="8" t="inlineStr">
        <is>
          <t>Yes</t>
        </is>
      </c>
      <c r="G95" s="8" t="n">
        <v>37</v>
      </c>
    </row>
    <row r="96">
      <c r="A96" s="8" t="inlineStr">
        <is>
          <t>GET</t>
        </is>
      </c>
      <c r="B96" s="8" t="inlineStr">
        <is>
          <t>/api/v1/api-keys</t>
        </is>
      </c>
      <c r="C96" s="8" t="inlineStr">
        <is>
          <t>access.users.read</t>
        </is>
      </c>
      <c r="D96" s="8" t="inlineStr">
        <is>
          <t>worker/src/routes/admin/loose.ts</t>
        </is>
      </c>
      <c r="E96" s="8" t="n">
        <v>580</v>
      </c>
      <c r="F96" s="8" t="inlineStr">
        <is>
          <t>No</t>
        </is>
      </c>
      <c r="G96" s="8" t="n">
        <v>37</v>
      </c>
    </row>
    <row r="97">
      <c r="A97" s="8" t="inlineStr">
        <is>
          <t>POST</t>
        </is>
      </c>
      <c r="B97" s="8" t="inlineStr">
        <is>
          <t>/api/v1/api-keys</t>
        </is>
      </c>
      <c r="C97" s="8" t="inlineStr">
        <is>
          <t>access.users.write</t>
        </is>
      </c>
      <c r="D97" s="8" t="inlineStr">
        <is>
          <t>worker/src/routes/admin/loose.ts</t>
        </is>
      </c>
      <c r="E97" s="8" t="n">
        <v>581</v>
      </c>
      <c r="F97" s="8" t="inlineStr">
        <is>
          <t>No</t>
        </is>
      </c>
      <c r="G97" s="8" t="n">
        <v>37</v>
      </c>
    </row>
    <row r="98">
      <c r="A98" s="8" t="inlineStr">
        <is>
          <t>POST</t>
        </is>
      </c>
      <c r="B98" s="8" t="inlineStr">
        <is>
          <t>/api/v1/api-keys/{id}/revoke</t>
        </is>
      </c>
      <c r="C98" s="8" t="inlineStr">
        <is>
          <t>access.users.write</t>
        </is>
      </c>
      <c r="D98" s="8" t="inlineStr">
        <is>
          <t>worker/src/routes/admin/loose.ts</t>
        </is>
      </c>
      <c r="E98" s="8" t="n">
        <v>582</v>
      </c>
      <c r="F98" s="8" t="inlineStr">
        <is>
          <t>No</t>
        </is>
      </c>
      <c r="G98" s="8" t="n">
        <v>37</v>
      </c>
    </row>
    <row r="99">
      <c r="A99" s="8" t="inlineStr">
        <is>
          <t>GET</t>
        </is>
      </c>
      <c r="B99" s="8" t="inlineStr">
        <is>
          <t>/api/v1/live/stream</t>
        </is>
      </c>
      <c r="C99" s="8" t="inlineStr">
        <is>
          <t>auth</t>
        </is>
      </c>
      <c r="D99" s="8" t="inlineStr">
        <is>
          <t>worker/src/routes/admin/loose.ts</t>
        </is>
      </c>
      <c r="E99" s="8" t="n">
        <v>584</v>
      </c>
      <c r="F99" s="8" t="inlineStr">
        <is>
          <t>Yes</t>
        </is>
      </c>
      <c r="G99" s="8" t="n">
        <v>37</v>
      </c>
    </row>
    <row r="100">
      <c r="A100" s="8" t="inlineStr">
        <is>
          <t>POST</t>
        </is>
      </c>
      <c r="B100" s="8" t="inlineStr">
        <is>
          <t>/api/v1/live/typing</t>
        </is>
      </c>
      <c r="C100" s="8" t="inlineStr">
        <is>
          <t>auth</t>
        </is>
      </c>
      <c r="D100" s="8" t="inlineStr">
        <is>
          <t>worker/src/routes/admin/loose.ts</t>
        </is>
      </c>
      <c r="E100" s="8" t="n">
        <v>585</v>
      </c>
      <c r="F100" s="8" t="inlineStr">
        <is>
          <t>Yes</t>
        </is>
      </c>
      <c r="G100" s="8" t="n">
        <v>37</v>
      </c>
    </row>
    <row r="101">
      <c r="A101" s="8" t="inlineStr">
        <is>
          <t>POST</t>
        </is>
      </c>
      <c r="B101" s="8" t="inlineStr">
        <is>
          <t>/api/v1/live/seen</t>
        </is>
      </c>
      <c r="C101" s="8" t="inlineStr">
        <is>
          <t>auth</t>
        </is>
      </c>
      <c r="D101" s="8" t="inlineStr">
        <is>
          <t>worker/src/routes/admin/loose.ts</t>
        </is>
      </c>
      <c r="E101" s="8" t="n">
        <v>586</v>
      </c>
      <c r="F101" s="8" t="inlineStr">
        <is>
          <t>Yes</t>
        </is>
      </c>
      <c r="G101" s="8" t="n">
        <v>37</v>
      </c>
    </row>
    <row r="102">
      <c r="A102" s="8" t="inlineStr">
        <is>
          <t>GET</t>
        </is>
      </c>
      <c r="B102" s="8" t="inlineStr">
        <is>
          <t>/api/v1/admin/messaging/providers</t>
        </is>
      </c>
      <c r="C102" s="8" t="inlineStr">
        <is>
          <t>READ</t>
        </is>
      </c>
      <c r="D102" s="8" t="inlineStr">
        <is>
          <t>worker/src/routes/admin/messaging.ts</t>
        </is>
      </c>
      <c r="E102" s="8" t="n">
        <v>116</v>
      </c>
      <c r="F102" s="8" t="inlineStr">
        <is>
          <t>No</t>
        </is>
      </c>
      <c r="G102" s="8" t="n">
        <v>12</v>
      </c>
    </row>
    <row r="103">
      <c r="A103" s="8" t="inlineStr">
        <is>
          <t>PUT</t>
        </is>
      </c>
      <c r="B103" s="8" t="inlineStr">
        <is>
          <t>/api/v1/admin/messaging/providers/{channel}</t>
        </is>
      </c>
      <c r="C103" s="8" t="inlineStr">
        <is>
          <t>CREDS</t>
        </is>
      </c>
      <c r="D103" s="8" t="inlineStr">
        <is>
          <t>worker/src/routes/admin/messaging.ts</t>
        </is>
      </c>
      <c r="E103" s="8" t="n">
        <v>118</v>
      </c>
      <c r="F103" s="8" t="inlineStr">
        <is>
          <t>No</t>
        </is>
      </c>
      <c r="G103" s="8" t="n">
        <v>12</v>
      </c>
    </row>
    <row r="104">
      <c r="A104" s="8" t="inlineStr">
        <is>
          <t>DELETE</t>
        </is>
      </c>
      <c r="B104" s="8" t="inlineStr">
        <is>
          <t>/api/v1/admin/messaging/providers/{channel}</t>
        </is>
      </c>
      <c r="C104" s="8" t="inlineStr">
        <is>
          <t>CREDS</t>
        </is>
      </c>
      <c r="D104" s="8" t="inlineStr">
        <is>
          <t>worker/src/routes/admin/messaging.ts</t>
        </is>
      </c>
      <c r="E104" s="8" t="n">
        <v>130</v>
      </c>
      <c r="F104" s="8" t="inlineStr">
        <is>
          <t>No</t>
        </is>
      </c>
      <c r="G104" s="8" t="n">
        <v>12</v>
      </c>
    </row>
    <row r="105">
      <c r="A105" s="8" t="inlineStr">
        <is>
          <t>POST</t>
        </is>
      </c>
      <c r="B105" s="8" t="inlineStr">
        <is>
          <t>/api/v1/admin/messaging/providers/{channel}/test</t>
        </is>
      </c>
      <c r="C105" s="8" t="inlineStr">
        <is>
          <t>CREDS</t>
        </is>
      </c>
      <c r="D105" s="8" t="inlineStr">
        <is>
          <t>worker/src/routes/admin/messaging.ts</t>
        </is>
      </c>
      <c r="E105" s="8" t="n">
        <v>136</v>
      </c>
      <c r="F105" s="8" t="inlineStr">
        <is>
          <t>No</t>
        </is>
      </c>
      <c r="G105" s="8" t="n">
        <v>12</v>
      </c>
    </row>
    <row r="106">
      <c r="A106" s="8" t="inlineStr">
        <is>
          <t>GET</t>
        </is>
      </c>
      <c r="B106" s="8" t="inlineStr">
        <is>
          <t>/api/v1/admin/messaging/sms-presets</t>
        </is>
      </c>
      <c r="C106" s="8" t="inlineStr">
        <is>
          <t>READ</t>
        </is>
      </c>
      <c r="D106" s="8" t="inlineStr">
        <is>
          <t>worker/src/routes/admin/messaging.ts</t>
        </is>
      </c>
      <c r="E106" s="8" t="n">
        <v>156</v>
      </c>
      <c r="F106" s="8" t="inlineStr">
        <is>
          <t>No</t>
        </is>
      </c>
      <c r="G106" s="8" t="n">
        <v>12</v>
      </c>
    </row>
    <row r="107">
      <c r="A107" s="8" t="inlineStr">
        <is>
          <t>GET</t>
        </is>
      </c>
      <c r="B107" s="8" t="inlineStr">
        <is>
          <t>/api/v1/admin/messaging/templates</t>
        </is>
      </c>
      <c r="C107" s="8" t="inlineStr">
        <is>
          <t>READ</t>
        </is>
      </c>
      <c r="D107" s="8" t="inlineStr">
        <is>
          <t>worker/src/routes/admin/messaging.ts</t>
        </is>
      </c>
      <c r="E107" s="8" t="n">
        <v>159</v>
      </c>
      <c r="F107" s="8" t="inlineStr">
        <is>
          <t>Yes</t>
        </is>
      </c>
      <c r="G107" s="8" t="n">
        <v>12</v>
      </c>
    </row>
    <row r="108">
      <c r="A108" s="8" t="inlineStr">
        <is>
          <t>PUT</t>
        </is>
      </c>
      <c r="B108" s="8" t="inlineStr">
        <is>
          <t>/api/v1/admin/messaging/templates</t>
        </is>
      </c>
      <c r="C108" s="8" t="inlineStr">
        <is>
          <t>CONFIG</t>
        </is>
      </c>
      <c r="D108" s="8" t="inlineStr">
        <is>
          <t>worker/src/routes/admin/messaging.ts</t>
        </is>
      </c>
      <c r="E108" s="8" t="n">
        <v>177</v>
      </c>
      <c r="F108" s="8" t="inlineStr">
        <is>
          <t>Yes</t>
        </is>
      </c>
      <c r="G108" s="8" t="n">
        <v>12</v>
      </c>
    </row>
    <row r="109">
      <c r="A109" s="8" t="inlineStr">
        <is>
          <t>GET</t>
        </is>
      </c>
      <c r="B109" s="8" t="inlineStr">
        <is>
          <t>/api/v1/admin/messaging/triggers</t>
        </is>
      </c>
      <c r="C109" s="8" t="inlineStr">
        <is>
          <t>READ</t>
        </is>
      </c>
      <c r="D109" s="8" t="inlineStr">
        <is>
          <t>worker/src/routes/admin/messaging.ts</t>
        </is>
      </c>
      <c r="E109" s="8" t="n">
        <v>192</v>
      </c>
      <c r="F109" s="8" t="inlineStr">
        <is>
          <t>No</t>
        </is>
      </c>
      <c r="G109" s="8" t="n">
        <v>12</v>
      </c>
    </row>
    <row r="110">
      <c r="A110" s="8" t="inlineStr">
        <is>
          <t>POST</t>
        </is>
      </c>
      <c r="B110" s="8" t="inlineStr">
        <is>
          <t>/api/v1/admin/messaging/triggers/run</t>
        </is>
      </c>
      <c r="C110" s="8" t="inlineStr">
        <is>
          <t>SEND</t>
        </is>
      </c>
      <c r="D110" s="8" t="inlineStr">
        <is>
          <t>worker/src/routes/admin/messaging.ts</t>
        </is>
      </c>
      <c r="E110" s="8" t="n">
        <v>214</v>
      </c>
      <c r="F110" s="8" t="inlineStr">
        <is>
          <t>No</t>
        </is>
      </c>
      <c r="G110" s="8" t="n">
        <v>12</v>
      </c>
    </row>
    <row r="111">
      <c r="A111" s="8" t="inlineStr">
        <is>
          <t>POST</t>
        </is>
      </c>
      <c r="B111" s="8" t="inlineStr">
        <is>
          <t>/api/v1/admin/messaging/triggers</t>
        </is>
      </c>
      <c r="C111" s="8" t="inlineStr">
        <is>
          <t>CONFIG</t>
        </is>
      </c>
      <c r="D111" s="8" t="inlineStr">
        <is>
          <t>worker/src/routes/admin/messaging.ts</t>
        </is>
      </c>
      <c r="E111" s="8" t="n">
        <v>239</v>
      </c>
      <c r="F111" s="8" t="inlineStr">
        <is>
          <t>No</t>
        </is>
      </c>
      <c r="G111" s="8" t="n">
        <v>12</v>
      </c>
    </row>
    <row r="112">
      <c r="A112" s="8" t="inlineStr">
        <is>
          <t>DELETE</t>
        </is>
      </c>
      <c r="B112" s="8" t="inlineStr">
        <is>
          <t>/api/v1/admin/messaging/triggers/{id}</t>
        </is>
      </c>
      <c r="C112" s="8" t="inlineStr">
        <is>
          <t>CONFIG</t>
        </is>
      </c>
      <c r="D112" s="8" t="inlineStr">
        <is>
          <t>worker/src/routes/admin/messaging.ts</t>
        </is>
      </c>
      <c r="E112" s="8" t="n">
        <v>275</v>
      </c>
      <c r="F112" s="8" t="inlineStr">
        <is>
          <t>No</t>
        </is>
      </c>
      <c r="G112" s="8" t="n">
        <v>12</v>
      </c>
    </row>
    <row r="113">
      <c r="A113" s="8" t="inlineStr">
        <is>
          <t>GET</t>
        </is>
      </c>
      <c r="B113" s="8" t="inlineStr">
        <is>
          <t>/api/v1/admin/messaging/credits</t>
        </is>
      </c>
      <c r="C113" s="8" t="inlineStr">
        <is>
          <t>READ</t>
        </is>
      </c>
      <c r="D113" s="8" t="inlineStr">
        <is>
          <t>worker/src/routes/admin/messaging.ts</t>
        </is>
      </c>
      <c r="E113" s="8" t="n">
        <v>283</v>
      </c>
      <c r="F113" s="8" t="inlineStr">
        <is>
          <t>No</t>
        </is>
      </c>
      <c r="G113" s="8" t="n">
        <v>12</v>
      </c>
    </row>
    <row r="114">
      <c r="A114" s="8" t="inlineStr">
        <is>
          <t>GET</t>
        </is>
      </c>
      <c r="B114" s="8" t="inlineStr">
        <is>
          <t>/api/v1/admin/messaging/credits/{channel}/entries</t>
        </is>
      </c>
      <c r="C114" s="8" t="inlineStr">
        <is>
          <t>READ</t>
        </is>
      </c>
      <c r="D114" s="8" t="inlineStr">
        <is>
          <t>worker/src/routes/admin/messaging.ts</t>
        </is>
      </c>
      <c r="E114" s="8" t="n">
        <v>298</v>
      </c>
      <c r="F114" s="8" t="inlineStr">
        <is>
          <t>No</t>
        </is>
      </c>
      <c r="G114" s="8" t="n">
        <v>12</v>
      </c>
    </row>
    <row r="115">
      <c r="A115" s="8" t="inlineStr">
        <is>
          <t>POST</t>
        </is>
      </c>
      <c r="B115" s="8" t="inlineStr">
        <is>
          <t>/api/v1/admin/messaging/credits/{channel}</t>
        </is>
      </c>
      <c r="C115" s="8" t="inlineStr">
        <is>
          <t>CREDS</t>
        </is>
      </c>
      <c r="D115" s="8" t="inlineStr">
        <is>
          <t>worker/src/routes/admin/messaging.ts</t>
        </is>
      </c>
      <c r="E115" s="8" t="n">
        <v>306</v>
      </c>
      <c r="F115" s="8" t="inlineStr">
        <is>
          <t>No</t>
        </is>
      </c>
      <c r="G115" s="8" t="n">
        <v>12</v>
      </c>
    </row>
    <row r="116">
      <c r="A116" s="8" t="inlineStr">
        <is>
          <t>DELETE</t>
        </is>
      </c>
      <c r="B116" s="8" t="inlineStr">
        <is>
          <t>/api/v1/admin/messaging/credits/{channel}</t>
        </is>
      </c>
      <c r="C116" s="8" t="inlineStr">
        <is>
          <t>CREDS</t>
        </is>
      </c>
      <c r="D116" s="8" t="inlineStr">
        <is>
          <t>worker/src/routes/admin/messaging.ts</t>
        </is>
      </c>
      <c r="E116" s="8" t="n">
        <v>330</v>
      </c>
      <c r="F116" s="8" t="inlineStr">
        <is>
          <t>No</t>
        </is>
      </c>
      <c r="G116" s="8" t="n">
        <v>12</v>
      </c>
    </row>
    <row r="117">
      <c r="A117" s="8" t="inlineStr">
        <is>
          <t>GET</t>
        </is>
      </c>
      <c r="B117" s="8" t="inlineStr">
        <is>
          <t>/api/v1/admin/messaging/routing</t>
        </is>
      </c>
      <c r="C117" s="8" t="inlineStr">
        <is>
          <t>READ</t>
        </is>
      </c>
      <c r="D117" s="8" t="inlineStr">
        <is>
          <t>worker/src/routes/admin/messaging.ts</t>
        </is>
      </c>
      <c r="E117" s="8" t="n">
        <v>343</v>
      </c>
      <c r="F117" s="8" t="inlineStr">
        <is>
          <t>No</t>
        </is>
      </c>
      <c r="G117" s="8" t="n">
        <v>12</v>
      </c>
    </row>
    <row r="118">
      <c r="A118" s="8" t="inlineStr">
        <is>
          <t>PUT</t>
        </is>
      </c>
      <c r="B118" s="8" t="inlineStr">
        <is>
          <t>/api/v1/admin/messaging/routing/{channel}</t>
        </is>
      </c>
      <c r="C118" s="8" t="inlineStr">
        <is>
          <t>CREDS</t>
        </is>
      </c>
      <c r="D118" s="8" t="inlineStr">
        <is>
          <t>worker/src/routes/admin/messaging.ts</t>
        </is>
      </c>
      <c r="E118" s="8" t="n">
        <v>350</v>
      </c>
      <c r="F118" s="8" t="inlineStr">
        <is>
          <t>No</t>
        </is>
      </c>
      <c r="G118" s="8" t="n">
        <v>12</v>
      </c>
    </row>
    <row r="119">
      <c r="A119" s="8" t="inlineStr">
        <is>
          <t>GET</t>
        </is>
      </c>
      <c r="B119" s="8" t="inlineStr">
        <is>
          <t>/api/v1/admin/messaging/recharges</t>
        </is>
      </c>
      <c r="C119" s="8" t="inlineStr">
        <is>
          <t>READ</t>
        </is>
      </c>
      <c r="D119" s="8" t="inlineStr">
        <is>
          <t>worker/src/routes/admin/messaging.ts</t>
        </is>
      </c>
      <c r="E119" s="8" t="n">
        <v>365</v>
      </c>
      <c r="F119" s="8" t="inlineStr">
        <is>
          <t>No</t>
        </is>
      </c>
      <c r="G119" s="8" t="n">
        <v>12</v>
      </c>
    </row>
    <row r="120">
      <c r="A120" s="8" t="inlineStr">
        <is>
          <t>GET</t>
        </is>
      </c>
      <c r="B120" s="8" t="inlineStr">
        <is>
          <t>/api/v1/admin/messaging/recharge-sizes</t>
        </is>
      </c>
      <c r="C120" s="8" t="inlineStr">
        <is>
          <t>READ</t>
        </is>
      </c>
      <c r="D120" s="8" t="inlineStr">
        <is>
          <t>worker/src/routes/admin/messaging.ts</t>
        </is>
      </c>
      <c r="E120" s="8" t="n">
        <v>373</v>
      </c>
      <c r="F120" s="8" t="inlineStr">
        <is>
          <t>No</t>
        </is>
      </c>
      <c r="G120" s="8" t="n">
        <v>12</v>
      </c>
    </row>
    <row r="121">
      <c r="A121" s="8" t="inlineStr">
        <is>
          <t>POST</t>
        </is>
      </c>
      <c r="B121" s="8" t="inlineStr">
        <is>
          <t>/api/v1/admin/messaging/recharges/{channel}</t>
        </is>
      </c>
      <c r="C121" s="8" t="inlineStr">
        <is>
          <t>CREDS</t>
        </is>
      </c>
      <c r="D121" s="8" t="inlineStr">
        <is>
          <t>worker/src/routes/admin/messaging.ts</t>
        </is>
      </c>
      <c r="E121" s="8" t="n">
        <v>375</v>
      </c>
      <c r="F121" s="8" t="inlineStr">
        <is>
          <t>No</t>
        </is>
      </c>
      <c r="G121" s="8" t="n">
        <v>12</v>
      </c>
    </row>
    <row r="122">
      <c r="A122" s="8" t="inlineStr">
        <is>
          <t>DELETE</t>
        </is>
      </c>
      <c r="B122" s="8" t="inlineStr">
        <is>
          <t>/api/v1/admin/messaging/recharges/{id}</t>
        </is>
      </c>
      <c r="C122" s="8" t="inlineStr">
        <is>
          <t>CREDS</t>
        </is>
      </c>
      <c r="D122" s="8" t="inlineStr">
        <is>
          <t>worker/src/routes/admin/messaging.ts</t>
        </is>
      </c>
      <c r="E122" s="8" t="n">
        <v>390</v>
      </c>
      <c r="F122" s="8" t="inlineStr">
        <is>
          <t>No</t>
        </is>
      </c>
      <c r="G122" s="8" t="n">
        <v>12</v>
      </c>
    </row>
    <row r="123">
      <c r="A123" s="8" t="inlineStr">
        <is>
          <t>GET</t>
        </is>
      </c>
      <c r="B123" s="8" t="inlineStr">
        <is>
          <t>/api/v1/admin/messaging/log</t>
        </is>
      </c>
      <c r="C123" s="8" t="inlineStr">
        <is>
          <t>auth</t>
        </is>
      </c>
      <c r="D123" s="8" t="inlineStr">
        <is>
          <t>worker/src/routes/admin/messaging.ts</t>
        </is>
      </c>
      <c r="E123" s="8" t="n">
        <v>397</v>
      </c>
      <c r="F123" s="8" t="inlineStr">
        <is>
          <t>No</t>
        </is>
      </c>
      <c r="G123" s="8" t="n">
        <v>12</v>
      </c>
    </row>
    <row r="124">
      <c r="A124" s="8" t="inlineStr">
        <is>
          <t>POST</t>
        </is>
      </c>
      <c r="B124" s="8" t="inlineStr">
        <is>
          <t>/api/v1/admin/messaging/send</t>
        </is>
      </c>
      <c r="C124" s="8" t="inlineStr">
        <is>
          <t>SEND</t>
        </is>
      </c>
      <c r="D124" s="8" t="inlineStr">
        <is>
          <t>worker/src/routes/admin/messaging.ts</t>
        </is>
      </c>
      <c r="E124" s="8" t="n">
        <v>413</v>
      </c>
      <c r="F124" s="8" t="inlineStr">
        <is>
          <t>No</t>
        </is>
      </c>
      <c r="G124" s="8" t="n">
        <v>12</v>
      </c>
    </row>
    <row r="125">
      <c r="A125" s="8" t="inlineStr">
        <is>
          <t>POST</t>
        </is>
      </c>
      <c r="B125" s="8" t="inlineStr">
        <is>
          <t>/api/v1/admin/messaging/dispatch</t>
        </is>
      </c>
      <c r="C125" s="8" t="inlineStr">
        <is>
          <t>SEND</t>
        </is>
      </c>
      <c r="D125" s="8" t="inlineStr">
        <is>
          <t>worker/src/routes/admin/messaging.ts</t>
        </is>
      </c>
      <c r="E125" s="8" t="n">
        <v>441</v>
      </c>
      <c r="F125" s="8" t="inlineStr">
        <is>
          <t>No</t>
        </is>
      </c>
      <c r="G125" s="8" t="n">
        <v>12</v>
      </c>
    </row>
    <row r="126">
      <c r="A126" s="8" t="inlineStr">
        <is>
          <t>POST</t>
        </is>
      </c>
      <c r="B126" s="8" t="inlineStr">
        <is>
          <t>/api/v1/admin/messaging/send-direct</t>
        </is>
      </c>
      <c r="C126" s="8" t="inlineStr">
        <is>
          <t>SEND</t>
        </is>
      </c>
      <c r="D126" s="8" t="inlineStr">
        <is>
          <t>worker/src/routes/admin/messaging.ts</t>
        </is>
      </c>
      <c r="E126" s="8" t="n">
        <v>452</v>
      </c>
      <c r="F126" s="8" t="inlineStr">
        <is>
          <t>No</t>
        </is>
      </c>
      <c r="G126" s="8" t="n">
        <v>12</v>
      </c>
    </row>
    <row r="127">
      <c r="A127" s="8" t="inlineStr">
        <is>
          <t>GET</t>
        </is>
      </c>
      <c r="B127" s="8" t="inlineStr">
        <is>
          <t>/api/v1/metrics</t>
        </is>
      </c>
      <c r="C127" s="8" t="inlineStr">
        <is>
          <t>auth</t>
        </is>
      </c>
      <c r="D127" s="8" t="inlineStr">
        <is>
          <t>worker/src/routes/admin/metrics.ts</t>
        </is>
      </c>
      <c r="E127" s="8" t="n">
        <v>139</v>
      </c>
      <c r="F127" s="8" t="inlineStr">
        <is>
          <t>Yes</t>
        </is>
      </c>
      <c r="G127" s="8" t="n">
        <v>19</v>
      </c>
    </row>
    <row r="128">
      <c r="A128" s="8" t="inlineStr">
        <is>
          <t>GET</t>
        </is>
      </c>
      <c r="B128" s="8" t="inlineStr">
        <is>
          <t>/api/v1/metrics/{key}</t>
        </is>
      </c>
      <c r="C128" s="8" t="inlineStr">
        <is>
          <t>auth</t>
        </is>
      </c>
      <c r="D128" s="8" t="inlineStr">
        <is>
          <t>worker/src/routes/admin/metrics.ts</t>
        </is>
      </c>
      <c r="E128" s="8" t="n">
        <v>147</v>
      </c>
      <c r="F128" s="8" t="inlineStr">
        <is>
          <t>Yes</t>
        </is>
      </c>
      <c r="G128" s="8" t="n">
        <v>19</v>
      </c>
    </row>
    <row r="129">
      <c r="A129" s="8" t="inlineStr">
        <is>
          <t>GET</t>
        </is>
      </c>
      <c r="B129" s="8" t="inlineStr">
        <is>
          <t>/api/v1/admin/messaging/plans</t>
        </is>
      </c>
      <c r="C129" s="8" t="inlineStr">
        <is>
          <t>READ</t>
        </is>
      </c>
      <c r="D129" s="8" t="inlineStr">
        <is>
          <t>worker/src/routes/admin/msg_plans.ts</t>
        </is>
      </c>
      <c r="E129" s="8" t="n">
        <v>234</v>
      </c>
      <c r="F129" s="8" t="inlineStr">
        <is>
          <t>Yes</t>
        </is>
      </c>
      <c r="G129" s="8" t="n">
        <v>14</v>
      </c>
    </row>
    <row r="130">
      <c r="A130" s="8" t="inlineStr">
        <is>
          <t>POST</t>
        </is>
      </c>
      <c r="B130" s="8" t="inlineStr">
        <is>
          <t>/api/v1/admin/messaging/plans</t>
        </is>
      </c>
      <c r="C130" s="8" t="inlineStr">
        <is>
          <t>CONFIG</t>
        </is>
      </c>
      <c r="D130" s="8" t="inlineStr">
        <is>
          <t>worker/src/routes/admin/msg_plans.ts</t>
        </is>
      </c>
      <c r="E130" s="8" t="n">
        <v>264</v>
      </c>
      <c r="F130" s="8" t="inlineStr">
        <is>
          <t>Yes</t>
        </is>
      </c>
      <c r="G130" s="8" t="n">
        <v>14</v>
      </c>
    </row>
    <row r="131">
      <c r="A131" s="8" t="inlineStr">
        <is>
          <t>DELETE</t>
        </is>
      </c>
      <c r="B131" s="8" t="inlineStr">
        <is>
          <t>/api/v1/admin/messaging/plans/{id}</t>
        </is>
      </c>
      <c r="C131" s="8" t="inlineStr">
        <is>
          <t>CONFIG</t>
        </is>
      </c>
      <c r="D131" s="8" t="inlineStr">
        <is>
          <t>worker/src/routes/admin/msg_plans.ts</t>
        </is>
      </c>
      <c r="E131" s="8" t="n">
        <v>314</v>
      </c>
      <c r="F131" s="8" t="inlineStr">
        <is>
          <t>No</t>
        </is>
      </c>
      <c r="G131" s="8" t="n">
        <v>14</v>
      </c>
    </row>
    <row r="132">
      <c r="A132" s="8" t="inlineStr">
        <is>
          <t>POST</t>
        </is>
      </c>
      <c r="B132" s="8" t="inlineStr">
        <is>
          <t>/api/v1/admin/messaging/plans/{id}/preview</t>
        </is>
      </c>
      <c r="C132" s="8" t="inlineStr">
        <is>
          <t>auth</t>
        </is>
      </c>
      <c r="D132" s="8" t="inlineStr">
        <is>
          <t>worker/src/routes/admin/msg_plans.ts</t>
        </is>
      </c>
      <c r="E132" s="8" t="n">
        <v>327</v>
      </c>
      <c r="F132" s="8" t="inlineStr">
        <is>
          <t>No</t>
        </is>
      </c>
      <c r="G132" s="8" t="n">
        <v>14</v>
      </c>
    </row>
    <row r="133">
      <c r="A133" s="8" t="inlineStr">
        <is>
          <t>POST</t>
        </is>
      </c>
      <c r="B133" s="8" t="inlineStr">
        <is>
          <t>/api/v1/admin/messaging/plans/{id}/run</t>
        </is>
      </c>
      <c r="C133" s="8" t="inlineStr">
        <is>
          <t>SEND</t>
        </is>
      </c>
      <c r="D133" s="8" t="inlineStr">
        <is>
          <t>worker/src/routes/admin/msg_plans.ts</t>
        </is>
      </c>
      <c r="E133" s="8" t="n">
        <v>336</v>
      </c>
      <c r="F133" s="8" t="inlineStr">
        <is>
          <t>No</t>
        </is>
      </c>
      <c r="G133" s="8" t="n">
        <v>14</v>
      </c>
    </row>
    <row r="134">
      <c r="A134" s="8" t="inlineStr">
        <is>
          <t>GET</t>
        </is>
      </c>
      <c r="B134" s="8" t="inlineStr">
        <is>
          <t>/api/v1/admin-ops/evaluation/cycles</t>
        </is>
      </c>
      <c r="C134" s="8" t="inlineStr">
        <is>
          <t>STAFF_READ</t>
        </is>
      </c>
      <c r="D134" s="8" t="inlineStr">
        <is>
          <t>worker/src/routes/admin/ops_evaluation.ts</t>
        </is>
      </c>
      <c r="E134" s="8" t="n">
        <v>27</v>
      </c>
      <c r="F134" s="8" t="inlineStr">
        <is>
          <t>No</t>
        </is>
      </c>
      <c r="G134" s="8" t="n">
        <v>8</v>
      </c>
    </row>
    <row r="135">
      <c r="A135" s="8" t="inlineStr">
        <is>
          <t>GET</t>
        </is>
      </c>
      <c r="B135" s="8" t="inlineStr">
        <is>
          <t>/api/v1/admin-ops/evaluation/cycles/{id}</t>
        </is>
      </c>
      <c r="C135" s="8" t="inlineStr">
        <is>
          <t>STAFF_READ</t>
        </is>
      </c>
      <c r="D135" s="8" t="inlineStr">
        <is>
          <t>worker/src/routes/admin/ops_evaluation.ts</t>
        </is>
      </c>
      <c r="E135" s="8" t="n">
        <v>38</v>
      </c>
      <c r="F135" s="8" t="inlineStr">
        <is>
          <t>No</t>
        </is>
      </c>
      <c r="G135" s="8" t="n">
        <v>8</v>
      </c>
    </row>
    <row r="136">
      <c r="A136" s="8" t="inlineStr">
        <is>
          <t>POST</t>
        </is>
      </c>
      <c r="B136" s="8" t="inlineStr">
        <is>
          <t>/api/v1/admin-ops/evaluation/cycles</t>
        </is>
      </c>
      <c r="C136" s="8" t="inlineStr">
        <is>
          <t>STAFF_WRITE</t>
        </is>
      </c>
      <c r="D136" s="8" t="inlineStr">
        <is>
          <t>worker/src/routes/admin/ops_evaluation.ts</t>
        </is>
      </c>
      <c r="E136" s="8" t="n">
        <v>85</v>
      </c>
      <c r="F136" s="8" t="inlineStr">
        <is>
          <t>No</t>
        </is>
      </c>
      <c r="G136" s="8" t="n">
        <v>8</v>
      </c>
    </row>
    <row r="137">
      <c r="A137" s="8" t="inlineStr">
        <is>
          <t>PUT</t>
        </is>
      </c>
      <c r="B137" s="8" t="inlineStr">
        <is>
          <t>/api/v1/admin-ops/evaluation/cycles/{id}/questions</t>
        </is>
      </c>
      <c r="C137" s="8" t="inlineStr">
        <is>
          <t>STAFF_WRITE</t>
        </is>
      </c>
      <c r="D137" s="8" t="inlineStr">
        <is>
          <t>worker/src/routes/admin/ops_evaluation.ts</t>
        </is>
      </c>
      <c r="E137" s="8" t="n">
        <v>119</v>
      </c>
      <c r="F137" s="8" t="inlineStr">
        <is>
          <t>No</t>
        </is>
      </c>
      <c r="G137" s="8" t="n">
        <v>8</v>
      </c>
    </row>
    <row r="138">
      <c r="A138" s="8" t="inlineStr">
        <is>
          <t>POST</t>
        </is>
      </c>
      <c r="B138" s="8" t="inlineStr">
        <is>
          <t>/api/v1/admin-ops/evaluation/cycles/{id}/reviewees</t>
        </is>
      </c>
      <c r="C138" s="8" t="inlineStr">
        <is>
          <t>STAFF_WRITE</t>
        </is>
      </c>
      <c r="D138" s="8" t="inlineStr">
        <is>
          <t>worker/src/routes/admin/ops_evaluation.ts</t>
        </is>
      </c>
      <c r="E138" s="8" t="n">
        <v>146</v>
      </c>
      <c r="F138" s="8" t="inlineStr">
        <is>
          <t>No</t>
        </is>
      </c>
      <c r="G138" s="8" t="n">
        <v>8</v>
      </c>
    </row>
    <row r="139">
      <c r="A139" s="8" t="inlineStr">
        <is>
          <t>POST</t>
        </is>
      </c>
      <c r="B139" s="8" t="inlineStr">
        <is>
          <t>/api/v1/admin-ops/evaluation/cycles/{id}/invitations</t>
        </is>
      </c>
      <c r="C139" s="8" t="inlineStr">
        <is>
          <t>STAFF_WRITE</t>
        </is>
      </c>
      <c r="D139" s="8" t="inlineStr">
        <is>
          <t>worker/src/routes/admin/ops_evaluation.ts</t>
        </is>
      </c>
      <c r="E139" s="8" t="n">
        <v>161</v>
      </c>
      <c r="F139" s="8" t="inlineStr">
        <is>
          <t>No</t>
        </is>
      </c>
      <c r="G139" s="8" t="n">
        <v>8</v>
      </c>
    </row>
    <row r="140">
      <c r="A140" s="8" t="inlineStr">
        <is>
          <t>POST</t>
        </is>
      </c>
      <c r="B140" s="8" t="inlineStr">
        <is>
          <t>/api/v1/admin-ops/evaluation/cycles/{id}/status</t>
        </is>
      </c>
      <c r="C140" s="8" t="inlineStr">
        <is>
          <t>STAFF_WRITE</t>
        </is>
      </c>
      <c r="D140" s="8" t="inlineStr">
        <is>
          <t>worker/src/routes/admin/ops_evaluation.ts</t>
        </is>
      </c>
      <c r="E140" s="8" t="n">
        <v>199</v>
      </c>
      <c r="F140" s="8" t="inlineStr">
        <is>
          <t>No</t>
        </is>
      </c>
      <c r="G140" s="8" t="n">
        <v>8</v>
      </c>
    </row>
    <row r="141">
      <c r="A141" s="8" t="inlineStr">
        <is>
          <t>POST</t>
        </is>
      </c>
      <c r="B141" s="8" t="inlineStr">
        <is>
          <t>/api/v1/admin-ops/evaluation/reviewees/{id}/release</t>
        </is>
      </c>
      <c r="C141" s="8" t="inlineStr">
        <is>
          <t>STAFF_WRITE</t>
        </is>
      </c>
      <c r="D141" s="8" t="inlineStr">
        <is>
          <t>worker/src/routes/admin/ops_evaluation.ts</t>
        </is>
      </c>
      <c r="E141" s="8" t="n">
        <v>220</v>
      </c>
      <c r="F141" s="8" t="inlineStr">
        <is>
          <t>No</t>
        </is>
      </c>
      <c r="G141" s="8" t="n">
        <v>8</v>
      </c>
    </row>
    <row r="142">
      <c r="A142" s="8" t="inlineStr">
        <is>
          <t>GET</t>
        </is>
      </c>
      <c r="B142" s="8" t="inlineStr">
        <is>
          <t>/api/v1/admin-ops/evaluation/reviewees/{id}/results</t>
        </is>
      </c>
      <c r="C142" s="8" t="inlineStr">
        <is>
          <t>auth</t>
        </is>
      </c>
      <c r="D142" s="8" t="inlineStr">
        <is>
          <t>worker/src/routes/admin/ops_evaluation.ts</t>
        </is>
      </c>
      <c r="E142" s="8" t="n">
        <v>228</v>
      </c>
      <c r="F142" s="8" t="inlineStr">
        <is>
          <t>No</t>
        </is>
      </c>
      <c r="G142" s="8" t="n">
        <v>8</v>
      </c>
    </row>
    <row r="143">
      <c r="A143" s="8" t="inlineStr">
        <is>
          <t>GET</t>
        </is>
      </c>
      <c r="B143" s="8" t="inlineStr">
        <is>
          <t>/api/v1/admin-ops/evaluation/my-invitations</t>
        </is>
      </c>
      <c r="C143" s="8" t="inlineStr">
        <is>
          <t>auth</t>
        </is>
      </c>
      <c r="D143" s="8" t="inlineStr">
        <is>
          <t>worker/src/routes/admin/ops_evaluation.ts</t>
        </is>
      </c>
      <c r="E143" s="8" t="n">
        <v>287</v>
      </c>
      <c r="F143" s="8" t="inlineStr">
        <is>
          <t>No</t>
        </is>
      </c>
      <c r="G143" s="8" t="n">
        <v>8</v>
      </c>
    </row>
    <row r="144">
      <c r="A144" s="8" t="inlineStr">
        <is>
          <t>POST</t>
        </is>
      </c>
      <c r="B144" s="8" t="inlineStr">
        <is>
          <t>/api/v1/admin-ops/evaluation/invitations/{id}/respond</t>
        </is>
      </c>
      <c r="C144" s="8" t="inlineStr">
        <is>
          <t>auth</t>
        </is>
      </c>
      <c r="D144" s="8" t="inlineStr">
        <is>
          <t>worker/src/routes/admin/ops_evaluation.ts</t>
        </is>
      </c>
      <c r="E144" s="8" t="n">
        <v>295</v>
      </c>
      <c r="F144" s="8" t="inlineStr">
        <is>
          <t>No</t>
        </is>
      </c>
      <c r="G144" s="8" t="n">
        <v>8</v>
      </c>
    </row>
    <row r="145">
      <c r="A145" s="8" t="inlineStr">
        <is>
          <t>GET</t>
        </is>
      </c>
      <c r="B145" s="8" t="inlineStr">
        <is>
          <t>/api/v1/admin-ops/fee-filings</t>
        </is>
      </c>
      <c r="C145" s="8" t="inlineStr">
        <is>
          <t>FEES_READ</t>
        </is>
      </c>
      <c r="D145" s="8" t="inlineStr">
        <is>
          <t>worker/src/routes/admin/ops_fee_filings.ts</t>
        </is>
      </c>
      <c r="E145" s="8" t="n">
        <v>63</v>
      </c>
      <c r="F145" s="8" t="inlineStr">
        <is>
          <t>No</t>
        </is>
      </c>
      <c r="G145" s="8" t="n">
        <v>14</v>
      </c>
    </row>
    <row r="146">
      <c r="A146" s="8" t="inlineStr">
        <is>
          <t>GET</t>
        </is>
      </c>
      <c r="B146" s="8" t="inlineStr">
        <is>
          <t>/api/v1/admin-ops/fee-filings/{id}</t>
        </is>
      </c>
      <c r="C146" s="8" t="inlineStr">
        <is>
          <t>FEES_READ</t>
        </is>
      </c>
      <c r="D146" s="8" t="inlineStr">
        <is>
          <t>worker/src/routes/admin/ops_fee_filings.ts</t>
        </is>
      </c>
      <c r="E146" s="8" t="n">
        <v>69</v>
      </c>
      <c r="F146" s="8" t="inlineStr">
        <is>
          <t>No</t>
        </is>
      </c>
      <c r="G146" s="8" t="n">
        <v>14</v>
      </c>
    </row>
    <row r="147">
      <c r="A147" s="8" t="inlineStr">
        <is>
          <t>POST</t>
        </is>
      </c>
      <c r="B147" s="8" t="inlineStr">
        <is>
          <t>/api/v1/admin-ops/fee-filings</t>
        </is>
      </c>
      <c r="C147" s="8" t="inlineStr">
        <is>
          <t>FEES_WRITE</t>
        </is>
      </c>
      <c r="D147" s="8" t="inlineStr">
        <is>
          <t>worker/src/routes/admin/ops_fee_filings.ts</t>
        </is>
      </c>
      <c r="E147" s="8" t="n">
        <v>93</v>
      </c>
      <c r="F147" s="8" t="inlineStr">
        <is>
          <t>No</t>
        </is>
      </c>
      <c r="G147" s="8" t="n">
        <v>14</v>
      </c>
    </row>
    <row r="148">
      <c r="A148" s="8" t="inlineStr">
        <is>
          <t>POST</t>
        </is>
      </c>
      <c r="B148" s="8" t="inlineStr">
        <is>
          <t>/api/v1/admin-ops/fee-filings/{id}/submit</t>
        </is>
      </c>
      <c r="C148" s="8" t="inlineStr">
        <is>
          <t>FEES_WRITE</t>
        </is>
      </c>
      <c r="D148" s="8" t="inlineStr">
        <is>
          <t>worker/src/routes/admin/ops_fee_filings.ts</t>
        </is>
      </c>
      <c r="E148" s="8" t="n">
        <v>150</v>
      </c>
      <c r="F148" s="8" t="inlineStr">
        <is>
          <t>No</t>
        </is>
      </c>
      <c r="G148" s="8" t="n">
        <v>14</v>
      </c>
    </row>
    <row r="149">
      <c r="A149" s="8" t="inlineStr">
        <is>
          <t>POST</t>
        </is>
      </c>
      <c r="B149" s="8" t="inlineStr">
        <is>
          <t>/api/v1/admin-ops/fee-filings/{id}/decide</t>
        </is>
      </c>
      <c r="C149" s="8" t="inlineStr">
        <is>
          <t>FEES_WRITE</t>
        </is>
      </c>
      <c r="D149" s="8" t="inlineStr">
        <is>
          <t>worker/src/routes/admin/ops_fee_filings.ts</t>
        </is>
      </c>
      <c r="E149" s="8" t="n">
        <v>166</v>
      </c>
      <c r="F149" s="8" t="inlineStr">
        <is>
          <t>No</t>
        </is>
      </c>
      <c r="G149" s="8" t="n">
        <v>14</v>
      </c>
    </row>
    <row r="150">
      <c r="A150" s="8" t="inlineStr">
        <is>
          <t>POST</t>
        </is>
      </c>
      <c r="B150" s="8" t="inlineStr">
        <is>
          <t>/api/v1/admin-ops/fee-filings/{id}/documents</t>
        </is>
      </c>
      <c r="C150" s="8" t="inlineStr">
        <is>
          <t>FEES_WRITE</t>
        </is>
      </c>
      <c r="D150" s="8" t="inlineStr">
        <is>
          <t>worker/src/routes/admin/ops_fee_filings.ts</t>
        </is>
      </c>
      <c r="E150" s="8" t="n">
        <v>200</v>
      </c>
      <c r="F150" s="8" t="inlineStr">
        <is>
          <t>No</t>
        </is>
      </c>
      <c r="G150" s="8" t="n">
        <v>14</v>
      </c>
    </row>
    <row r="151">
      <c r="A151" s="8" t="inlineStr">
        <is>
          <t>GET</t>
        </is>
      </c>
      <c r="B151" s="8" t="inlineStr">
        <is>
          <t>/api/v1/admin-ops/fee-filings/{id}/variance</t>
        </is>
      </c>
      <c r="C151" s="8" t="inlineStr">
        <is>
          <t>FEES_READ</t>
        </is>
      </c>
      <c r="D151" s="8" t="inlineStr">
        <is>
          <t>worker/src/routes/admin/ops_fee_filings.ts</t>
        </is>
      </c>
      <c r="E151" s="8" t="n">
        <v>215</v>
      </c>
      <c r="F151" s="8" t="inlineStr">
        <is>
          <t>No</t>
        </is>
      </c>
      <c r="G151" s="8" t="n">
        <v>14</v>
      </c>
    </row>
    <row r="152">
      <c r="A152" s="8" t="inlineStr">
        <is>
          <t>GET</t>
        </is>
      </c>
      <c r="B152" s="8" t="inlineStr">
        <is>
          <t>/api/v1/admin-ops/mdm/utilisation</t>
        </is>
      </c>
      <c r="C152" s="8" t="inlineStr">
        <is>
          <t>READ</t>
        </is>
      </c>
      <c r="D152" s="8" t="inlineStr">
        <is>
          <t>worker/src/routes/admin/ops_mdm.ts</t>
        </is>
      </c>
      <c r="E152" s="8" t="n">
        <v>58</v>
      </c>
      <c r="F152" s="8" t="inlineStr">
        <is>
          <t>No</t>
        </is>
      </c>
      <c r="G152" s="8" t="n">
        <v>9</v>
      </c>
    </row>
    <row r="153">
      <c r="A153" s="8" t="inlineStr">
        <is>
          <t>GET</t>
        </is>
      </c>
      <c r="B153" s="8" t="inlineStr">
        <is>
          <t>/api/v1/admin-ops/mdm/returns</t>
        </is>
      </c>
      <c r="C153" s="8" t="inlineStr">
        <is>
          <t>READ</t>
        </is>
      </c>
      <c r="D153" s="8" t="inlineStr">
        <is>
          <t>worker/src/routes/admin/ops_mdm.ts</t>
        </is>
      </c>
      <c r="E153" s="8" t="n">
        <v>145</v>
      </c>
      <c r="F153" s="8" t="inlineStr">
        <is>
          <t>No</t>
        </is>
      </c>
      <c r="G153" s="8" t="n">
        <v>9</v>
      </c>
    </row>
    <row r="154">
      <c r="A154" s="8" t="inlineStr">
        <is>
          <t>POST</t>
        </is>
      </c>
      <c r="B154" s="8" t="inlineStr">
        <is>
          <t>/api/v1/admin-ops/mdm/returns</t>
        </is>
      </c>
      <c r="C154" s="8" t="inlineStr">
        <is>
          <t>WRITE</t>
        </is>
      </c>
      <c r="D154" s="8" t="inlineStr">
        <is>
          <t>worker/src/routes/admin/ops_mdm.ts</t>
        </is>
      </c>
      <c r="E154" s="8" t="n">
        <v>156</v>
      </c>
      <c r="F154" s="8" t="inlineStr">
        <is>
          <t>No</t>
        </is>
      </c>
      <c r="G154" s="8" t="n">
        <v>9</v>
      </c>
    </row>
    <row r="155">
      <c r="A155" s="8" t="inlineStr">
        <is>
          <t>POST</t>
        </is>
      </c>
      <c r="B155" s="8" t="inlineStr">
        <is>
          <t>/api/v1/admin-ops/mdm/returns/{id}/finalise</t>
        </is>
      </c>
      <c r="C155" s="8" t="inlineStr">
        <is>
          <t>WRITE</t>
        </is>
      </c>
      <c r="D155" s="8" t="inlineStr">
        <is>
          <t>worker/src/routes/admin/ops_mdm.ts</t>
        </is>
      </c>
      <c r="E155" s="8" t="n">
        <v>188</v>
      </c>
      <c r="F155" s="8" t="inlineStr">
        <is>
          <t>No</t>
        </is>
      </c>
      <c r="G155" s="8" t="n">
        <v>9</v>
      </c>
    </row>
    <row r="156">
      <c r="A156" s="8" t="inlineStr">
        <is>
          <t>POST</t>
        </is>
      </c>
      <c r="B156" s="8" t="inlineStr">
        <is>
          <t>/api/v1/admin-ops/mdm/returns/{id}/reopen</t>
        </is>
      </c>
      <c r="C156" s="8" t="inlineStr">
        <is>
          <t>WRITE</t>
        </is>
      </c>
      <c r="D156" s="8" t="inlineStr">
        <is>
          <t>worker/src/routes/admin/ops_mdm.ts</t>
        </is>
      </c>
      <c r="E156" s="8" t="n">
        <v>203</v>
      </c>
      <c r="F156" s="8" t="inlineStr">
        <is>
          <t>No</t>
        </is>
      </c>
      <c r="G156" s="8" t="n">
        <v>9</v>
      </c>
    </row>
    <row r="157">
      <c r="A157" s="8" t="inlineStr">
        <is>
          <t>GET</t>
        </is>
      </c>
      <c r="B157" s="8" t="inlineStr">
        <is>
          <t>/api/v1/admin-ops/mdm/norms</t>
        </is>
      </c>
      <c r="C157" s="8" t="inlineStr">
        <is>
          <t>READ</t>
        </is>
      </c>
      <c r="D157" s="8" t="inlineStr">
        <is>
          <t>worker/src/routes/admin/ops_mdm.ts</t>
        </is>
      </c>
      <c r="E157" s="8" t="n">
        <v>214</v>
      </c>
      <c r="F157" s="8" t="inlineStr">
        <is>
          <t>No</t>
        </is>
      </c>
      <c r="G157" s="8" t="n">
        <v>9</v>
      </c>
    </row>
    <row r="158">
      <c r="A158" s="8" t="inlineStr">
        <is>
          <t>POST</t>
        </is>
      </c>
      <c r="B158" s="8" t="inlineStr">
        <is>
          <t>/api/v1/admin-ops/mdm/norms</t>
        </is>
      </c>
      <c r="C158" s="8" t="inlineStr">
        <is>
          <t>WRITE</t>
        </is>
      </c>
      <c r="D158" s="8" t="inlineStr">
        <is>
          <t>worker/src/routes/admin/ops_mdm.ts</t>
        </is>
      </c>
      <c r="E158" s="8" t="n">
        <v>221</v>
      </c>
      <c r="F158" s="8" t="inlineStr">
        <is>
          <t>No</t>
        </is>
      </c>
      <c r="G158" s="8" t="n">
        <v>9</v>
      </c>
    </row>
    <row r="159">
      <c r="A159" s="8" t="inlineStr">
        <is>
          <t>GET</t>
        </is>
      </c>
      <c r="B159" s="8" t="inlineStr">
        <is>
          <t>/api/v1/admin-ops/mdm/foodgrain</t>
        </is>
      </c>
      <c r="C159" s="8" t="inlineStr">
        <is>
          <t>READ</t>
        </is>
      </c>
      <c r="D159" s="8" t="inlineStr">
        <is>
          <t>worker/src/routes/admin/ops_mdm.ts</t>
        </is>
      </c>
      <c r="E159" s="8" t="n">
        <v>239</v>
      </c>
      <c r="F159" s="8" t="inlineStr">
        <is>
          <t>No</t>
        </is>
      </c>
      <c r="G159" s="8" t="n">
        <v>9</v>
      </c>
    </row>
    <row r="160">
      <c r="A160" s="8" t="inlineStr">
        <is>
          <t>POST</t>
        </is>
      </c>
      <c r="B160" s="8" t="inlineStr">
        <is>
          <t>/api/v1/admin-ops/mdm/foodgrain</t>
        </is>
      </c>
      <c r="C160" s="8" t="inlineStr">
        <is>
          <t>WRITE</t>
        </is>
      </c>
      <c r="D160" s="8" t="inlineStr">
        <is>
          <t>worker/src/routes/admin/ops_mdm.ts</t>
        </is>
      </c>
      <c r="E160" s="8" t="n">
        <v>248</v>
      </c>
      <c r="F160" s="8" t="inlineStr">
        <is>
          <t>No</t>
        </is>
      </c>
      <c r="G160" s="8" t="n">
        <v>9</v>
      </c>
    </row>
    <row r="161">
      <c r="A161" s="8" t="inlineStr">
        <is>
          <t>GET</t>
        </is>
      </c>
      <c r="B161" s="8" t="inlineStr">
        <is>
          <t>/api/v1/admin-ops/purchasing/thresholds</t>
        </is>
      </c>
      <c r="C161" s="8" t="inlineStr">
        <is>
          <t>STORES_READ</t>
        </is>
      </c>
      <c r="D161" s="8" t="inlineStr">
        <is>
          <t>worker/src/routes/admin/ops_purchasing.ts</t>
        </is>
      </c>
      <c r="E161" s="8" t="n">
        <v>64</v>
      </c>
      <c r="F161" s="8" t="inlineStr">
        <is>
          <t>No</t>
        </is>
      </c>
      <c r="G161" s="8" t="n">
        <v>15</v>
      </c>
    </row>
    <row r="162">
      <c r="A162" s="8" t="inlineStr">
        <is>
          <t>PUT</t>
        </is>
      </c>
      <c r="B162" s="8" t="inlineStr">
        <is>
          <t>/api/v1/admin-ops/purchasing/thresholds</t>
        </is>
      </c>
      <c r="C162" s="8" t="inlineStr">
        <is>
          <t>SPEND_CONFIG</t>
        </is>
      </c>
      <c r="D162" s="8" t="inlineStr">
        <is>
          <t>worker/src/routes/admin/ops_purchasing.ts</t>
        </is>
      </c>
      <c r="E162" s="8" t="n">
        <v>72</v>
      </c>
      <c r="F162" s="8" t="inlineStr">
        <is>
          <t>No</t>
        </is>
      </c>
      <c r="G162" s="8" t="n">
        <v>15</v>
      </c>
    </row>
    <row r="163">
      <c r="A163" s="8" t="inlineStr">
        <is>
          <t>GET</t>
        </is>
      </c>
      <c r="B163" s="8" t="inlineStr">
        <is>
          <t>/api/v1/admin-ops/purchasing/requisitions</t>
        </is>
      </c>
      <c r="C163" s="8" t="inlineStr">
        <is>
          <t>STORES_READ</t>
        </is>
      </c>
      <c r="D163" s="8" t="inlineStr">
        <is>
          <t>worker/src/routes/admin/ops_purchasing.ts</t>
        </is>
      </c>
      <c r="E163" s="8" t="n">
        <v>97</v>
      </c>
      <c r="F163" s="8" t="inlineStr">
        <is>
          <t>No</t>
        </is>
      </c>
      <c r="G163" s="8" t="n">
        <v>15</v>
      </c>
    </row>
    <row r="164">
      <c r="A164" s="8" t="inlineStr">
        <is>
          <t>GET</t>
        </is>
      </c>
      <c r="B164" s="8" t="inlineStr">
        <is>
          <t>/api/v1/admin-ops/purchasing/requisitions/{id}</t>
        </is>
      </c>
      <c r="C164" s="8" t="inlineStr">
        <is>
          <t>STORES_READ</t>
        </is>
      </c>
      <c r="D164" s="8" t="inlineStr">
        <is>
          <t>worker/src/routes/admin/ops_purchasing.ts</t>
        </is>
      </c>
      <c r="E164" s="8" t="n">
        <v>113</v>
      </c>
      <c r="F164" s="8" t="inlineStr">
        <is>
          <t>No</t>
        </is>
      </c>
      <c r="G164" s="8" t="n">
        <v>15</v>
      </c>
    </row>
    <row r="165">
      <c r="A165" s="8" t="inlineStr">
        <is>
          <t>POST</t>
        </is>
      </c>
      <c r="B165" s="8" t="inlineStr">
        <is>
          <t>/api/v1/admin-ops/purchasing/requisitions</t>
        </is>
      </c>
      <c r="C165" s="8" t="inlineStr">
        <is>
          <t>STORES_WRITE</t>
        </is>
      </c>
      <c r="D165" s="8" t="inlineStr">
        <is>
          <t>worker/src/routes/admin/ops_purchasing.ts</t>
        </is>
      </c>
      <c r="E165" s="8" t="n">
        <v>132</v>
      </c>
      <c r="F165" s="8" t="inlineStr">
        <is>
          <t>No</t>
        </is>
      </c>
      <c r="G165" s="8" t="n">
        <v>15</v>
      </c>
    </row>
    <row r="166">
      <c r="A166" s="8" t="inlineStr">
        <is>
          <t>POST</t>
        </is>
      </c>
      <c r="B166" s="8" t="inlineStr">
        <is>
          <t>/api/v1/admin-ops/purchasing/requisitions/{id}/submit</t>
        </is>
      </c>
      <c r="C166" s="8" t="inlineStr">
        <is>
          <t>STORES_WRITE</t>
        </is>
      </c>
      <c r="D166" s="8" t="inlineStr">
        <is>
          <t>worker/src/routes/admin/ops_purchasing.ts</t>
        </is>
      </c>
      <c r="E166" s="8" t="n">
        <v>175</v>
      </c>
      <c r="F166" s="8" t="inlineStr">
        <is>
          <t>No</t>
        </is>
      </c>
      <c r="G166" s="8" t="n">
        <v>15</v>
      </c>
    </row>
    <row r="167">
      <c r="A167" s="8" t="inlineStr">
        <is>
          <t>POST</t>
        </is>
      </c>
      <c r="B167" s="8" t="inlineStr">
        <is>
          <t>/api/v1/admin-ops/purchasing/requisitions/{id}/decide</t>
        </is>
      </c>
      <c r="C167" s="8" t="inlineStr">
        <is>
          <t>auth</t>
        </is>
      </c>
      <c r="D167" s="8" t="inlineStr">
        <is>
          <t>worker/src/routes/admin/ops_purchasing.ts</t>
        </is>
      </c>
      <c r="E167" s="8" t="n">
        <v>192</v>
      </c>
      <c r="F167" s="8" t="inlineStr">
        <is>
          <t>No</t>
        </is>
      </c>
      <c r="G167" s="8" t="n">
        <v>15</v>
      </c>
    </row>
    <row r="168">
      <c r="A168" s="8" t="inlineStr">
        <is>
          <t>GET</t>
        </is>
      </c>
      <c r="B168" s="8" t="inlineStr">
        <is>
          <t>/api/v1/admin-ops/purchasing/orders</t>
        </is>
      </c>
      <c r="C168" s="8" t="inlineStr">
        <is>
          <t>STORES_READ</t>
        </is>
      </c>
      <c r="D168" s="8" t="inlineStr">
        <is>
          <t>worker/src/routes/admin/ops_purchasing.ts</t>
        </is>
      </c>
      <c r="E168" s="8" t="n">
        <v>215</v>
      </c>
      <c r="F168" s="8" t="inlineStr">
        <is>
          <t>No</t>
        </is>
      </c>
      <c r="G168" s="8" t="n">
        <v>15</v>
      </c>
    </row>
    <row r="169">
      <c r="A169" s="8" t="inlineStr">
        <is>
          <t>GET</t>
        </is>
      </c>
      <c r="B169" s="8" t="inlineStr">
        <is>
          <t>/api/v1/admin-ops/purchasing/orders/{id}</t>
        </is>
      </c>
      <c r="C169" s="8" t="inlineStr">
        <is>
          <t>STORES_READ</t>
        </is>
      </c>
      <c r="D169" s="8" t="inlineStr">
        <is>
          <t>worker/src/routes/admin/ops_purchasing.ts</t>
        </is>
      </c>
      <c r="E169" s="8" t="n">
        <v>229</v>
      </c>
      <c r="F169" s="8" t="inlineStr">
        <is>
          <t>No</t>
        </is>
      </c>
      <c r="G169" s="8" t="n">
        <v>15</v>
      </c>
    </row>
    <row r="170">
      <c r="A170" s="8" t="inlineStr">
        <is>
          <t>POST</t>
        </is>
      </c>
      <c r="B170" s="8" t="inlineStr">
        <is>
          <t>/api/v1/admin-ops/purchasing/orders</t>
        </is>
      </c>
      <c r="C170" s="8" t="inlineStr">
        <is>
          <t>STORES_WRITE</t>
        </is>
      </c>
      <c r="D170" s="8" t="inlineStr">
        <is>
          <t>worker/src/routes/admin/ops_purchasing.ts</t>
        </is>
      </c>
      <c r="E170" s="8" t="n">
        <v>257</v>
      </c>
      <c r="F170" s="8" t="inlineStr">
        <is>
          <t>No</t>
        </is>
      </c>
      <c r="G170" s="8" t="n">
        <v>15</v>
      </c>
    </row>
    <row r="171">
      <c r="A171" s="8" t="inlineStr">
        <is>
          <t>POST</t>
        </is>
      </c>
      <c r="B171" s="8" t="inlineStr">
        <is>
          <t>/api/v1/admin-ops/purchasing/orders/{id}/issue</t>
        </is>
      </c>
      <c r="C171" s="8" t="inlineStr">
        <is>
          <t>STORES_WRITE</t>
        </is>
      </c>
      <c r="D171" s="8" t="inlineStr">
        <is>
          <t>worker/src/routes/admin/ops_purchasing.ts</t>
        </is>
      </c>
      <c r="E171" s="8" t="n">
        <v>316</v>
      </c>
      <c r="F171" s="8" t="inlineStr">
        <is>
          <t>No</t>
        </is>
      </c>
      <c r="G171" s="8" t="n">
        <v>15</v>
      </c>
    </row>
    <row r="172">
      <c r="A172" s="8" t="inlineStr">
        <is>
          <t>POST</t>
        </is>
      </c>
      <c r="B172" s="8" t="inlineStr">
        <is>
          <t>/api/v1/admin-ops/purchasing/orders/{id}/close</t>
        </is>
      </c>
      <c r="C172" s="8" t="inlineStr">
        <is>
          <t>STORES_WRITE</t>
        </is>
      </c>
      <c r="D172" s="8" t="inlineStr">
        <is>
          <t>worker/src/routes/admin/ops_purchasing.ts</t>
        </is>
      </c>
      <c r="E172" s="8" t="n">
        <v>328</v>
      </c>
      <c r="F172" s="8" t="inlineStr">
        <is>
          <t>No</t>
        </is>
      </c>
      <c r="G172" s="8" t="n">
        <v>15</v>
      </c>
    </row>
    <row r="173">
      <c r="A173" s="8" t="inlineStr">
        <is>
          <t>POST</t>
        </is>
      </c>
      <c r="B173" s="8" t="inlineStr">
        <is>
          <t>/api/v1/admin-ops/purchasing/orders/{id}/receipts</t>
        </is>
      </c>
      <c r="C173" s="8" t="inlineStr">
        <is>
          <t>STORES_WRITE</t>
        </is>
      </c>
      <c r="D173" s="8" t="inlineStr">
        <is>
          <t>worker/src/routes/admin/ops_purchasing.ts</t>
        </is>
      </c>
      <c r="E173" s="8" t="n">
        <v>338</v>
      </c>
      <c r="F173" s="8" t="inlineStr">
        <is>
          <t>No</t>
        </is>
      </c>
      <c r="G173" s="8" t="n">
        <v>15</v>
      </c>
    </row>
    <row r="174">
      <c r="A174" s="8" t="inlineStr">
        <is>
          <t>GET</t>
        </is>
      </c>
      <c r="B174" s="8" t="inlineStr">
        <is>
          <t>/api/v1/admin-ops/purchasing/orders/{id}/match</t>
        </is>
      </c>
      <c r="C174" s="8" t="inlineStr">
        <is>
          <t>STORES_READ</t>
        </is>
      </c>
      <c r="D174" s="8" t="inlineStr">
        <is>
          <t>worker/src/routes/admin/ops_purchasing.ts</t>
        </is>
      </c>
      <c r="E174" s="8" t="n">
        <v>397</v>
      </c>
      <c r="F174" s="8" t="inlineStr">
        <is>
          <t>No</t>
        </is>
      </c>
      <c r="G174" s="8" t="n">
        <v>15</v>
      </c>
    </row>
    <row r="175">
      <c r="A175" s="8" t="inlineStr">
        <is>
          <t>POST</t>
        </is>
      </c>
      <c r="B175" s="8" t="inlineStr">
        <is>
          <t>/api/v1/admin-ops/purchasing/orders/{id}/match</t>
        </is>
      </c>
      <c r="C175" s="8" t="inlineStr">
        <is>
          <t>PAY_AUTH</t>
        </is>
      </c>
      <c r="D175" s="8" t="inlineStr">
        <is>
          <t>worker/src/routes/admin/ops_purchasing.ts</t>
        </is>
      </c>
      <c r="E175" s="8" t="n">
        <v>411</v>
      </c>
      <c r="F175" s="8" t="inlineStr">
        <is>
          <t>No</t>
        </is>
      </c>
      <c r="G175" s="8" t="n">
        <v>15</v>
      </c>
    </row>
    <row r="176">
      <c r="A176" s="8" t="inlineStr">
        <is>
          <t>GET</t>
        </is>
      </c>
      <c r="B176" s="8" t="inlineStr">
        <is>
          <t>/api/v1/admin-ops/purchasing/matches</t>
        </is>
      </c>
      <c r="C176" s="8" t="inlineStr">
        <is>
          <t>STORES_READ</t>
        </is>
      </c>
      <c r="D176" s="8" t="inlineStr">
        <is>
          <t>worker/src/routes/admin/ops_purchasing.ts</t>
        </is>
      </c>
      <c r="E176" s="8" t="n">
        <v>440</v>
      </c>
      <c r="F176" s="8" t="inlineStr">
        <is>
          <t>No</t>
        </is>
      </c>
      <c r="G176" s="8" t="n">
        <v>15</v>
      </c>
    </row>
    <row r="177">
      <c r="A177" s="8" t="inlineStr">
        <is>
          <t>GET</t>
        </is>
      </c>
      <c r="B177" s="8" t="inlineStr">
        <is>
          <t>/api/v1/admin/period-closes</t>
        </is>
      </c>
      <c r="C177" s="8" t="inlineStr">
        <is>
          <t>institution.read</t>
        </is>
      </c>
      <c r="D177" s="8" t="inlineStr">
        <is>
          <t>worker/src/routes/admin/period_close.ts</t>
        </is>
      </c>
      <c r="E177" s="8" t="n">
        <v>81</v>
      </c>
      <c r="F177" s="8" t="inlineStr">
        <is>
          <t>Yes</t>
        </is>
      </c>
      <c r="G177" s="8" t="n">
        <v>3</v>
      </c>
    </row>
    <row r="178">
      <c r="A178" s="8" t="inlineStr">
        <is>
          <t>POST</t>
        </is>
      </c>
      <c r="B178" s="8" t="inlineStr">
        <is>
          <t>/api/v1/admin/period-closes/close</t>
        </is>
      </c>
      <c r="C178" s="8" t="inlineStr">
        <is>
          <t>institution.settings.write</t>
        </is>
      </c>
      <c r="D178" s="8" t="inlineStr">
        <is>
          <t>worker/src/routes/admin/period_close.ts</t>
        </is>
      </c>
      <c r="E178" s="8" t="n">
        <v>134</v>
      </c>
      <c r="F178" s="8" t="inlineStr">
        <is>
          <t>Yes</t>
        </is>
      </c>
      <c r="G178" s="8" t="n">
        <v>3</v>
      </c>
    </row>
    <row r="179">
      <c r="A179" s="8" t="inlineStr">
        <is>
          <t>POST</t>
        </is>
      </c>
      <c r="B179" s="8" t="inlineStr">
        <is>
          <t>/api/v1/admin/period-closes/reopen</t>
        </is>
      </c>
      <c r="C179" s="8" t="inlineStr">
        <is>
          <t>institution.settings.write</t>
        </is>
      </c>
      <c r="D179" s="8" t="inlineStr">
        <is>
          <t>worker/src/routes/admin/period_close.ts</t>
        </is>
      </c>
      <c r="E179" s="8" t="n">
        <v>180</v>
      </c>
      <c r="F179" s="8" t="inlineStr">
        <is>
          <t>Yes</t>
        </is>
      </c>
      <c r="G179" s="8" t="n">
        <v>3</v>
      </c>
    </row>
    <row r="180">
      <c r="A180" s="8" t="inlineStr">
        <is>
          <t>GET</t>
        </is>
      </c>
      <c r="B180" s="8" t="inlineStr">
        <is>
          <t>/api/v1/admin/platform/locations</t>
        </is>
      </c>
      <c r="C180" s="8" t="inlineStr">
        <is>
          <t>auth</t>
        </is>
      </c>
      <c r="D180" s="8" t="inlineStr">
        <is>
          <t>worker/src/routes/admin/platform_config.ts</t>
        </is>
      </c>
      <c r="E180" s="8" t="n">
        <v>198</v>
      </c>
      <c r="F180" s="8" t="inlineStr">
        <is>
          <t>Yes</t>
        </is>
      </c>
      <c r="G180" s="8" t="n">
        <v>35</v>
      </c>
    </row>
    <row r="181">
      <c r="A181" s="8" t="inlineStr">
        <is>
          <t>POST</t>
        </is>
      </c>
      <c r="B181" s="8" t="inlineStr">
        <is>
          <t>/api/v1/admin/platform/locations</t>
        </is>
      </c>
      <c r="C181" s="8" t="inlineStr">
        <is>
          <t>vendor</t>
        </is>
      </c>
      <c r="D181" s="8" t="inlineStr">
        <is>
          <t>worker/src/routes/admin/platform_config.ts</t>
        </is>
      </c>
      <c r="E181" s="8" t="n">
        <v>205</v>
      </c>
      <c r="F181" s="8" t="inlineStr">
        <is>
          <t>Yes</t>
        </is>
      </c>
      <c r="G181" s="8" t="n">
        <v>35</v>
      </c>
    </row>
    <row r="182">
      <c r="A182" s="8" t="inlineStr">
        <is>
          <t>DELETE</t>
        </is>
      </c>
      <c r="B182" s="8" t="inlineStr">
        <is>
          <t>/api/v1/admin/platform/locations/{id}</t>
        </is>
      </c>
      <c r="C182" s="8" t="inlineStr">
        <is>
          <t>vendor</t>
        </is>
      </c>
      <c r="D182" s="8" t="inlineStr">
        <is>
          <t>worker/src/routes/admin/platform_config.ts</t>
        </is>
      </c>
      <c r="E182" s="8" t="n">
        <v>224</v>
      </c>
      <c r="F182" s="8" t="inlineStr">
        <is>
          <t>No</t>
        </is>
      </c>
      <c r="G182" s="8" t="n">
        <v>35</v>
      </c>
    </row>
    <row r="183">
      <c r="A183" s="8" t="inlineStr">
        <is>
          <t>GET</t>
        </is>
      </c>
      <c r="B183" s="8" t="inlineStr">
        <is>
          <t>/api/v1/admin/platform/board-affiliation</t>
        </is>
      </c>
      <c r="C183" s="8" t="inlineStr">
        <is>
          <t>read</t>
        </is>
      </c>
      <c r="D183" s="8" t="inlineStr">
        <is>
          <t>worker/src/routes/admin/platform_config.ts</t>
        </is>
      </c>
      <c r="E183" s="8" t="n">
        <v>232</v>
      </c>
      <c r="F183" s="8" t="inlineStr">
        <is>
          <t>No</t>
        </is>
      </c>
      <c r="G183" s="8" t="n">
        <v>35</v>
      </c>
    </row>
    <row r="184">
      <c r="A184" s="8" t="inlineStr">
        <is>
          <t>PUT</t>
        </is>
      </c>
      <c r="B184" s="8" t="inlineStr">
        <is>
          <t>/api/v1/admin/platform/board-affiliation</t>
        </is>
      </c>
      <c r="C184" s="8" t="inlineStr">
        <is>
          <t>profile</t>
        </is>
      </c>
      <c r="D184" s="8" t="inlineStr">
        <is>
          <t>worker/src/routes/admin/platform_config.ts</t>
        </is>
      </c>
      <c r="E184" s="8" t="n">
        <v>233</v>
      </c>
      <c r="F184" s="8" t="inlineStr">
        <is>
          <t>No</t>
        </is>
      </c>
      <c r="G184" s="8" t="n">
        <v>35</v>
      </c>
    </row>
    <row r="185">
      <c r="A185" s="8" t="inlineStr">
        <is>
          <t>POST</t>
        </is>
      </c>
      <c r="B185" s="8" t="inlineStr">
        <is>
          <t>/api/v1/admin/platform/board-affiliation/documents</t>
        </is>
      </c>
      <c r="C185" s="8" t="inlineStr">
        <is>
          <t>profile</t>
        </is>
      </c>
      <c r="D185" s="8" t="inlineStr">
        <is>
          <t>worker/src/routes/admin/platform_config.ts</t>
        </is>
      </c>
      <c r="E185" s="8" t="n">
        <v>240</v>
      </c>
      <c r="F185" s="8" t="inlineStr">
        <is>
          <t>No</t>
        </is>
      </c>
      <c r="G185" s="8" t="n">
        <v>35</v>
      </c>
    </row>
    <row r="186">
      <c r="A186" s="8" t="inlineStr">
        <is>
          <t>DELETE</t>
        </is>
      </c>
      <c r="B186" s="8" t="inlineStr">
        <is>
          <t>/api/v1/admin/platform/board-affiliation/documents/{id}</t>
        </is>
      </c>
      <c r="C186" s="8" t="inlineStr">
        <is>
          <t>profile</t>
        </is>
      </c>
      <c r="D186" s="8" t="inlineStr">
        <is>
          <t>worker/src/routes/admin/platform_config.ts</t>
        </is>
      </c>
      <c r="E186" s="8" t="n">
        <v>255</v>
      </c>
      <c r="F186" s="8" t="inlineStr">
        <is>
          <t>No</t>
        </is>
      </c>
      <c r="G186" s="8" t="n">
        <v>35</v>
      </c>
    </row>
    <row r="187">
      <c r="A187" s="8" t="inlineStr">
        <is>
          <t>GET</t>
        </is>
      </c>
      <c r="B187" s="8" t="inlineStr">
        <is>
          <t>/api/v1/admin/platform/board-config</t>
        </is>
      </c>
      <c r="C187" s="8" t="inlineStr">
        <is>
          <t>read</t>
        </is>
      </c>
      <c r="D187" s="8" t="inlineStr">
        <is>
          <t>worker/src/routes/admin/platform_config.ts</t>
        </is>
      </c>
      <c r="E187" s="8" t="n">
        <v>258</v>
      </c>
      <c r="F187" s="8" t="inlineStr">
        <is>
          <t>No</t>
        </is>
      </c>
      <c r="G187" s="8" t="n">
        <v>35</v>
      </c>
    </row>
    <row r="188">
      <c r="A188" s="8" t="inlineStr">
        <is>
          <t>POST</t>
        </is>
      </c>
      <c r="B188" s="8" t="inlineStr">
        <is>
          <t>/api/v1/admin/platform/board-config</t>
        </is>
      </c>
      <c r="C188" s="8" t="inlineStr">
        <is>
          <t>settings</t>
        </is>
      </c>
      <c r="D188" s="8" t="inlineStr">
        <is>
          <t>worker/src/routes/admin/platform_config.ts</t>
        </is>
      </c>
      <c r="E188" s="8" t="n">
        <v>269</v>
      </c>
      <c r="F188" s="8" t="inlineStr">
        <is>
          <t>No</t>
        </is>
      </c>
      <c r="G188" s="8" t="n">
        <v>35</v>
      </c>
    </row>
    <row r="189">
      <c r="A189" s="8" t="inlineStr">
        <is>
          <t>DELETE</t>
        </is>
      </c>
      <c r="B189" s="8" t="inlineStr">
        <is>
          <t>/api/v1/admin/platform/board-config/{id}</t>
        </is>
      </c>
      <c r="C189" s="8" t="inlineStr">
        <is>
          <t>settings</t>
        </is>
      </c>
      <c r="D189" s="8" t="inlineStr">
        <is>
          <t>worker/src/routes/admin/platform_config.ts</t>
        </is>
      </c>
      <c r="E189" s="8" t="n">
        <v>287</v>
      </c>
      <c r="F189" s="8" t="inlineStr">
        <is>
          <t>No</t>
        </is>
      </c>
      <c r="G189" s="8" t="n">
        <v>35</v>
      </c>
    </row>
    <row r="190">
      <c r="A190" s="8" t="inlineStr">
        <is>
          <t>GET</t>
        </is>
      </c>
      <c r="B190" s="8" t="inlineStr">
        <is>
          <t>/api/v1/admin/platform/sqaa</t>
        </is>
      </c>
      <c r="C190" s="8" t="inlineStr">
        <is>
          <t>auth</t>
        </is>
      </c>
      <c r="D190" s="8" t="inlineStr">
        <is>
          <t>worker/src/routes/admin/platform_config.ts</t>
        </is>
      </c>
      <c r="E190" s="8" t="n">
        <v>290</v>
      </c>
      <c r="F190" s="8" t="inlineStr">
        <is>
          <t>Yes</t>
        </is>
      </c>
      <c r="G190" s="8" t="n">
        <v>35</v>
      </c>
    </row>
    <row r="191">
      <c r="A191" s="8" t="inlineStr">
        <is>
          <t>POST</t>
        </is>
      </c>
      <c r="B191" s="8" t="inlineStr">
        <is>
          <t>/api/v1/admin/platform/sqaa/frameworks</t>
        </is>
      </c>
      <c r="C191" s="8" t="inlineStr">
        <is>
          <t>vendor</t>
        </is>
      </c>
      <c r="D191" s="8" t="inlineStr">
        <is>
          <t>worker/src/routes/admin/platform_config.ts</t>
        </is>
      </c>
      <c r="E191" s="8" t="n">
        <v>304</v>
      </c>
      <c r="F191" s="8" t="inlineStr">
        <is>
          <t>No</t>
        </is>
      </c>
      <c r="G191" s="8" t="n">
        <v>35</v>
      </c>
    </row>
    <row r="192">
      <c r="A192" s="8" t="inlineStr">
        <is>
          <t>POST</t>
        </is>
      </c>
      <c r="B192" s="8" t="inlineStr">
        <is>
          <t>/api/v1/admin/platform/sqaa/standards</t>
        </is>
      </c>
      <c r="C192" s="8" t="inlineStr">
        <is>
          <t>vendor</t>
        </is>
      </c>
      <c r="D192" s="8" t="inlineStr">
        <is>
          <t>worker/src/routes/admin/platform_config.ts</t>
        </is>
      </c>
      <c r="E192" s="8" t="n">
        <v>314</v>
      </c>
      <c r="F192" s="8" t="inlineStr">
        <is>
          <t>No</t>
        </is>
      </c>
      <c r="G192" s="8" t="n">
        <v>35</v>
      </c>
    </row>
    <row r="193">
      <c r="A193" s="8" t="inlineStr">
        <is>
          <t>DELETE</t>
        </is>
      </c>
      <c r="B193" s="8" t="inlineStr">
        <is>
          <t>/api/v1/admin/platform/sqaa/standards/{id}</t>
        </is>
      </c>
      <c r="C193" s="8" t="inlineStr">
        <is>
          <t>vendor</t>
        </is>
      </c>
      <c r="D193" s="8" t="inlineStr">
        <is>
          <t>worker/src/routes/admin/platform_config.ts</t>
        </is>
      </c>
      <c r="E193" s="8" t="n">
        <v>328</v>
      </c>
      <c r="F193" s="8" t="inlineStr">
        <is>
          <t>No</t>
        </is>
      </c>
      <c r="G193" s="8" t="n">
        <v>35</v>
      </c>
    </row>
    <row r="194">
      <c r="A194" s="8" t="inlineStr">
        <is>
          <t>GET</t>
        </is>
      </c>
      <c r="B194" s="8" t="inlineStr">
        <is>
          <t>/api/v1/admin/platform/campus-classification</t>
        </is>
      </c>
      <c r="C194" s="8" t="inlineStr">
        <is>
          <t>read</t>
        </is>
      </c>
      <c r="D194" s="8" t="inlineStr">
        <is>
          <t>worker/src/routes/admin/platform_config.ts</t>
        </is>
      </c>
      <c r="E194" s="8" t="n">
        <v>337</v>
      </c>
      <c r="F194" s="8" t="inlineStr">
        <is>
          <t>No</t>
        </is>
      </c>
      <c r="G194" s="8" t="n">
        <v>35</v>
      </c>
    </row>
    <row r="195">
      <c r="A195" s="8" t="inlineStr">
        <is>
          <t>PUT</t>
        </is>
      </c>
      <c r="B195" s="8" t="inlineStr">
        <is>
          <t>/api/v1/admin/platform/campus-classification/{id}</t>
        </is>
      </c>
      <c r="C195" s="8" t="inlineStr">
        <is>
          <t>institution.campuses.write</t>
        </is>
      </c>
      <c r="D195" s="8" t="inlineStr">
        <is>
          <t>worker/src/routes/admin/platform_config.ts</t>
        </is>
      </c>
      <c r="E195" s="8" t="n">
        <v>344</v>
      </c>
      <c r="F195" s="8" t="inlineStr">
        <is>
          <t>No</t>
        </is>
      </c>
      <c r="G195" s="8" t="n">
        <v>35</v>
      </c>
    </row>
    <row r="196">
      <c r="A196" s="8" t="inlineStr">
        <is>
          <t>GET</t>
        </is>
      </c>
      <c r="B196" s="8" t="inlineStr">
        <is>
          <t>/api/v1/admin/platform/calendar-model</t>
        </is>
      </c>
      <c r="C196" s="8" t="inlineStr">
        <is>
          <t>read</t>
        </is>
      </c>
      <c r="D196" s="8" t="inlineStr">
        <is>
          <t>worker/src/routes/admin/platform_config.ts</t>
        </is>
      </c>
      <c r="E196" s="8" t="n">
        <v>356</v>
      </c>
      <c r="F196" s="8" t="inlineStr">
        <is>
          <t>No</t>
        </is>
      </c>
      <c r="G196" s="8" t="n">
        <v>35</v>
      </c>
    </row>
    <row r="197">
      <c r="A197" s="8" t="inlineStr">
        <is>
          <t>PUT</t>
        </is>
      </c>
      <c r="B197" s="8" t="inlineStr">
        <is>
          <t>/api/v1/admin/platform/calendar-model</t>
        </is>
      </c>
      <c r="C197" s="8" t="inlineStr">
        <is>
          <t>settings</t>
        </is>
      </c>
      <c r="D197" s="8" t="inlineStr">
        <is>
          <t>worker/src/routes/admin/platform_config.ts</t>
        </is>
      </c>
      <c r="E197" s="8" t="n">
        <v>357</v>
      </c>
      <c r="F197" s="8" t="inlineStr">
        <is>
          <t>No</t>
        </is>
      </c>
      <c r="G197" s="8" t="n">
        <v>35</v>
      </c>
    </row>
    <row r="198">
      <c r="A198" s="8" t="inlineStr">
        <is>
          <t>GET</t>
        </is>
      </c>
      <c r="B198" s="8" t="inlineStr">
        <is>
          <t>/api/v1/admin/platform/branding</t>
        </is>
      </c>
      <c r="C198" s="8" t="inlineStr">
        <is>
          <t>read</t>
        </is>
      </c>
      <c r="D198" s="8" t="inlineStr">
        <is>
          <t>worker/src/routes/admin/platform_config.ts</t>
        </is>
      </c>
      <c r="E198" s="8" t="n">
        <v>368</v>
      </c>
      <c r="F198" s="8" t="inlineStr">
        <is>
          <t>No</t>
        </is>
      </c>
      <c r="G198" s="8" t="n">
        <v>35</v>
      </c>
    </row>
    <row r="199">
      <c r="A199" s="8" t="inlineStr">
        <is>
          <t>PUT</t>
        </is>
      </c>
      <c r="B199" s="8" t="inlineStr">
        <is>
          <t>/api/v1/admin/platform/branding</t>
        </is>
      </c>
      <c r="C199" s="8" t="inlineStr">
        <is>
          <t>settings</t>
        </is>
      </c>
      <c r="D199" s="8" t="inlineStr">
        <is>
          <t>worker/src/routes/admin/platform_config.ts</t>
        </is>
      </c>
      <c r="E199" s="8" t="n">
        <v>382</v>
      </c>
      <c r="F199" s="8" t="inlineStr">
        <is>
          <t>No</t>
        </is>
      </c>
      <c r="G199" s="8" t="n">
        <v>35</v>
      </c>
    </row>
    <row r="200">
      <c r="A200" s="8" t="inlineStr">
        <is>
          <t>POST</t>
        </is>
      </c>
      <c r="B200" s="8" t="inlineStr">
        <is>
          <t>/api/v1/admin/platform/branding/{id}/verify-domain</t>
        </is>
      </c>
      <c r="C200" s="8" t="inlineStr">
        <is>
          <t>vendor</t>
        </is>
      </c>
      <c r="D200" s="8" t="inlineStr">
        <is>
          <t>worker/src/routes/admin/platform_config.ts</t>
        </is>
      </c>
      <c r="E200" s="8" t="n">
        <v>401</v>
      </c>
      <c r="F200" s="8" t="inlineStr">
        <is>
          <t>No</t>
        </is>
      </c>
      <c r="G200" s="8" t="n">
        <v>35</v>
      </c>
    </row>
    <row r="201">
      <c r="A201" s="8" t="inlineStr">
        <is>
          <t>GET</t>
        </is>
      </c>
      <c r="B201" s="8" t="inlineStr">
        <is>
          <t>/api/v1/admin/platform/franchises</t>
        </is>
      </c>
      <c r="C201" s="8" t="inlineStr">
        <is>
          <t>vendor</t>
        </is>
      </c>
      <c r="D201" s="8" t="inlineStr">
        <is>
          <t>worker/src/routes/admin/platform_config.ts</t>
        </is>
      </c>
      <c r="E201" s="8" t="n">
        <v>411</v>
      </c>
      <c r="F201" s="8" t="inlineStr">
        <is>
          <t>Yes</t>
        </is>
      </c>
      <c r="G201" s="8" t="n">
        <v>35</v>
      </c>
    </row>
    <row r="202">
      <c r="A202" s="8" t="inlineStr">
        <is>
          <t>POST</t>
        </is>
      </c>
      <c r="B202" s="8" t="inlineStr">
        <is>
          <t>/api/v1/admin/platform/franchises</t>
        </is>
      </c>
      <c r="C202" s="8" t="inlineStr">
        <is>
          <t>vendor</t>
        </is>
      </c>
      <c r="D202" s="8" t="inlineStr">
        <is>
          <t>worker/src/routes/admin/platform_config.ts</t>
        </is>
      </c>
      <c r="E202" s="8" t="n">
        <v>437</v>
      </c>
      <c r="F202" s="8" t="inlineStr">
        <is>
          <t>Yes</t>
        </is>
      </c>
      <c r="G202" s="8" t="n">
        <v>35</v>
      </c>
    </row>
    <row r="203">
      <c r="A203" s="8" t="inlineStr">
        <is>
          <t>POST</t>
        </is>
      </c>
      <c r="B203" s="8" t="inlineStr">
        <is>
          <t>/api/v1/admin/platform/franchises/members</t>
        </is>
      </c>
      <c r="C203" s="8" t="inlineStr">
        <is>
          <t>vendor</t>
        </is>
      </c>
      <c r="D203" s="8" t="inlineStr">
        <is>
          <t>worker/src/routes/admin/platform_config.ts</t>
        </is>
      </c>
      <c r="E203" s="8" t="n">
        <v>449</v>
      </c>
      <c r="F203" s="8" t="inlineStr">
        <is>
          <t>No</t>
        </is>
      </c>
      <c r="G203" s="8" t="n">
        <v>35</v>
      </c>
    </row>
    <row r="204">
      <c r="A204" s="8" t="inlineStr">
        <is>
          <t>DELETE</t>
        </is>
      </c>
      <c r="B204" s="8" t="inlineStr">
        <is>
          <t>/api/v1/admin/platform/franchises/members/{id}</t>
        </is>
      </c>
      <c r="C204" s="8" t="inlineStr">
        <is>
          <t>vendor</t>
        </is>
      </c>
      <c r="D204" s="8" t="inlineStr">
        <is>
          <t>worker/src/routes/admin/platform_config.ts</t>
        </is>
      </c>
      <c r="E204" s="8" t="n">
        <v>461</v>
      </c>
      <c r="F204" s="8" t="inlineStr">
        <is>
          <t>No</t>
        </is>
      </c>
      <c r="G204" s="8" t="n">
        <v>35</v>
      </c>
    </row>
    <row r="205">
      <c r="A205" s="8" t="inlineStr">
        <is>
          <t>GET</t>
        </is>
      </c>
      <c r="B205" s="8" t="inlineStr">
        <is>
          <t>/api/v1/admin/platform/franchise</t>
        </is>
      </c>
      <c r="C205" s="8" t="inlineStr">
        <is>
          <t>read</t>
        </is>
      </c>
      <c r="D205" s="8" t="inlineStr">
        <is>
          <t>worker/src/routes/admin/platform_config.ts</t>
        </is>
      </c>
      <c r="E205" s="8" t="n">
        <v>468</v>
      </c>
      <c r="F205" s="8" t="inlineStr">
        <is>
          <t>No</t>
        </is>
      </c>
      <c r="G205" s="8" t="n">
        <v>35</v>
      </c>
    </row>
    <row r="206">
      <c r="A206" s="8" t="inlineStr">
        <is>
          <t>GET</t>
        </is>
      </c>
      <c r="B206" s="8" t="inlineStr">
        <is>
          <t>/api/v1/admin/platform/numbering</t>
        </is>
      </c>
      <c r="C206" s="8" t="inlineStr">
        <is>
          <t>read</t>
        </is>
      </c>
      <c r="D206" s="8" t="inlineStr">
        <is>
          <t>worker/src/routes/admin/platform_config.ts</t>
        </is>
      </c>
      <c r="E206" s="8" t="n">
        <v>485</v>
      </c>
      <c r="F206" s="8" t="inlineStr">
        <is>
          <t>No</t>
        </is>
      </c>
      <c r="G206" s="8" t="n">
        <v>35</v>
      </c>
    </row>
    <row r="207">
      <c r="A207" s="8" t="inlineStr">
        <is>
          <t>POST</t>
        </is>
      </c>
      <c r="B207" s="8" t="inlineStr">
        <is>
          <t>/api/v1/admin/platform/numbering</t>
        </is>
      </c>
      <c r="C207" s="8" t="inlineStr">
        <is>
          <t>settings</t>
        </is>
      </c>
      <c r="D207" s="8" t="inlineStr">
        <is>
          <t>worker/src/routes/admin/platform_config.ts</t>
        </is>
      </c>
      <c r="E207" s="8" t="n">
        <v>486</v>
      </c>
      <c r="F207" s="8" t="inlineStr">
        <is>
          <t>No</t>
        </is>
      </c>
      <c r="G207" s="8" t="n">
        <v>35</v>
      </c>
    </row>
    <row r="208">
      <c r="A208" s="8" t="inlineStr">
        <is>
          <t>DELETE</t>
        </is>
      </c>
      <c r="B208" s="8" t="inlineStr">
        <is>
          <t>/api/v1/admin/platform/numbering/{id}</t>
        </is>
      </c>
      <c r="C208" s="8" t="inlineStr">
        <is>
          <t>settings</t>
        </is>
      </c>
      <c r="D208" s="8" t="inlineStr">
        <is>
          <t>worker/src/routes/admin/platform_config.ts</t>
        </is>
      </c>
      <c r="E208" s="8" t="n">
        <v>502</v>
      </c>
      <c r="F208" s="8" t="inlineStr">
        <is>
          <t>No</t>
        </is>
      </c>
      <c r="G208" s="8" t="n">
        <v>35</v>
      </c>
    </row>
    <row r="209">
      <c r="A209" s="8" t="inlineStr">
        <is>
          <t>POST</t>
        </is>
      </c>
      <c r="B209" s="8" t="inlineStr">
        <is>
          <t>/api/v1/admin/platform/templates</t>
        </is>
      </c>
      <c r="C209" s="8" t="inlineStr">
        <is>
          <t>settings</t>
        </is>
      </c>
      <c r="D209" s="8" t="inlineStr">
        <is>
          <t>worker/src/routes/admin/platform_config.ts</t>
        </is>
      </c>
      <c r="E209" s="8" t="n">
        <v>503</v>
      </c>
      <c r="F209" s="8" t="inlineStr">
        <is>
          <t>No</t>
        </is>
      </c>
      <c r="G209" s="8" t="n">
        <v>35</v>
      </c>
    </row>
    <row r="210">
      <c r="A210" s="8" t="inlineStr">
        <is>
          <t>GET</t>
        </is>
      </c>
      <c r="B210" s="8" t="inlineStr">
        <is>
          <t>/api/v1/admin/platform/auth-policy</t>
        </is>
      </c>
      <c r="C210" s="8" t="inlineStr">
        <is>
          <t>access.roles.read</t>
        </is>
      </c>
      <c r="D210" s="8" t="inlineStr">
        <is>
          <t>worker/src/routes/admin/platform_config.ts</t>
        </is>
      </c>
      <c r="E210" s="8" t="n">
        <v>516</v>
      </c>
      <c r="F210" s="8" t="inlineStr">
        <is>
          <t>No</t>
        </is>
      </c>
      <c r="G210" s="8" t="n">
        <v>35</v>
      </c>
    </row>
    <row r="211">
      <c r="A211" s="8" t="inlineStr">
        <is>
          <t>PUT</t>
        </is>
      </c>
      <c r="B211" s="8" t="inlineStr">
        <is>
          <t>/api/v1/admin/platform/auth-policy</t>
        </is>
      </c>
      <c r="C211" s="8" t="inlineStr">
        <is>
          <t>access.roles.write</t>
        </is>
      </c>
      <c r="D211" s="8" t="inlineStr">
        <is>
          <t>worker/src/routes/admin/platform_config.ts</t>
        </is>
      </c>
      <c r="E211" s="8" t="n">
        <v>517</v>
      </c>
      <c r="F211" s="8" t="inlineStr">
        <is>
          <t>No</t>
        </is>
      </c>
      <c r="G211" s="8" t="n">
        <v>35</v>
      </c>
    </row>
    <row r="212">
      <c r="A212" s="8" t="inlineStr">
        <is>
          <t>GET</t>
        </is>
      </c>
      <c r="B212" s="8" t="inlineStr">
        <is>
          <t>/api/v1/admin/platform/backups</t>
        </is>
      </c>
      <c r="C212" s="8" t="inlineStr">
        <is>
          <t>read</t>
        </is>
      </c>
      <c r="D212" s="8" t="inlineStr">
        <is>
          <t>worker/src/routes/admin/platform_config.ts</t>
        </is>
      </c>
      <c r="E212" s="8" t="n">
        <v>533</v>
      </c>
      <c r="F212" s="8" t="inlineStr">
        <is>
          <t>No</t>
        </is>
      </c>
      <c r="G212" s="8" t="n">
        <v>35</v>
      </c>
    </row>
    <row r="213">
      <c r="A213" s="8" t="inlineStr">
        <is>
          <t>PUT</t>
        </is>
      </c>
      <c r="B213" s="8" t="inlineStr">
        <is>
          <t>/api/v1/admin/platform/backups</t>
        </is>
      </c>
      <c r="C213" s="8" t="inlineStr">
        <is>
          <t>settings</t>
        </is>
      </c>
      <c r="D213" s="8" t="inlineStr">
        <is>
          <t>worker/src/routes/admin/platform_config.ts</t>
        </is>
      </c>
      <c r="E213" s="8" t="n">
        <v>534</v>
      </c>
      <c r="F213" s="8" t="inlineStr">
        <is>
          <t>No</t>
        </is>
      </c>
      <c r="G213" s="8" t="n">
        <v>35</v>
      </c>
    </row>
    <row r="214">
      <c r="A214" s="8" t="inlineStr">
        <is>
          <t>POST</t>
        </is>
      </c>
      <c r="B214" s="8" t="inlineStr">
        <is>
          <t>/api/v1/admin/platform/backups/runs</t>
        </is>
      </c>
      <c r="C214" s="8" t="inlineStr">
        <is>
          <t>vendor</t>
        </is>
      </c>
      <c r="D214" s="8" t="inlineStr">
        <is>
          <t>worker/src/routes/admin/platform_config.ts</t>
        </is>
      </c>
      <c r="E214" s="8" t="n">
        <v>542</v>
      </c>
      <c r="F214" s="8" t="inlineStr">
        <is>
          <t>No</t>
        </is>
      </c>
      <c r="G214" s="8" t="n">
        <v>35</v>
      </c>
    </row>
    <row r="215">
      <c r="A215" s="8" t="inlineStr">
        <is>
          <t>GET</t>
        </is>
      </c>
      <c r="B215" s="8" t="inlineStr">
        <is>
          <t>/api/v1/admin/platform/backups/fleet</t>
        </is>
      </c>
      <c r="C215" s="8" t="inlineStr">
        <is>
          <t>vendor</t>
        </is>
      </c>
      <c r="D215" s="8" t="inlineStr">
        <is>
          <t>worker/src/routes/admin/platform_config.ts</t>
        </is>
      </c>
      <c r="E215" s="8" t="n">
        <v>558</v>
      </c>
      <c r="F215" s="8" t="inlineStr">
        <is>
          <t>No</t>
        </is>
      </c>
      <c r="G215" s="8" t="n">
        <v>35</v>
      </c>
    </row>
    <row r="216">
      <c r="A216" s="8" t="inlineStr">
        <is>
          <t>GET</t>
        </is>
      </c>
      <c r="B216" s="8" t="inlineStr">
        <is>
          <t>/api/v1/admin/platform/seller/tickets</t>
        </is>
      </c>
      <c r="C216" s="8" t="inlineStr">
        <is>
          <t>desk</t>
        </is>
      </c>
      <c r="D216" s="8" t="inlineStr">
        <is>
          <t>worker/src/routes/admin/platform_config.ts</t>
        </is>
      </c>
      <c r="E216" s="8" t="n">
        <v>587</v>
      </c>
      <c r="F216" s="8" t="inlineStr">
        <is>
          <t>Yes</t>
        </is>
      </c>
      <c r="G216" s="8" t="n">
        <v>35</v>
      </c>
    </row>
    <row r="217">
      <c r="A217" s="8" t="inlineStr">
        <is>
          <t>POST</t>
        </is>
      </c>
      <c r="B217" s="8" t="inlineStr">
        <is>
          <t>/api/v1/admin/platform/seller/tickets/{id}</t>
        </is>
      </c>
      <c r="C217" s="8" t="inlineStr">
        <is>
          <t>desk</t>
        </is>
      </c>
      <c r="D217" s="8" t="inlineStr">
        <is>
          <t>worker/src/routes/admin/platform_config.ts</t>
        </is>
      </c>
      <c r="E217" s="8" t="n">
        <v>609</v>
      </c>
      <c r="F217" s="8" t="inlineStr">
        <is>
          <t>No</t>
        </is>
      </c>
      <c r="G217" s="8" t="n">
        <v>35</v>
      </c>
    </row>
    <row r="218">
      <c r="A218" s="8" t="inlineStr">
        <is>
          <t>GET</t>
        </is>
      </c>
      <c r="B218" s="8" t="inlineStr">
        <is>
          <t>/api/v1/admin/platform/support/tickets</t>
        </is>
      </c>
      <c r="C218" s="8" t="inlineStr">
        <is>
          <t>read</t>
        </is>
      </c>
      <c r="D218" s="8" t="inlineStr">
        <is>
          <t>worker/src/routes/admin/platform_config.ts</t>
        </is>
      </c>
      <c r="E218" s="8" t="n">
        <v>629</v>
      </c>
      <c r="F218" s="8" t="inlineStr">
        <is>
          <t>No</t>
        </is>
      </c>
      <c r="G218" s="8" t="n">
        <v>35</v>
      </c>
    </row>
    <row r="219">
      <c r="A219" s="8" t="inlineStr">
        <is>
          <t>POST</t>
        </is>
      </c>
      <c r="B219" s="8" t="inlineStr">
        <is>
          <t>/api/v1/admin/platform/support/tickets</t>
        </is>
      </c>
      <c r="C219" s="8" t="inlineStr">
        <is>
          <t>settings</t>
        </is>
      </c>
      <c r="D219" s="8" t="inlineStr">
        <is>
          <t>worker/src/routes/admin/platform_config.ts</t>
        </is>
      </c>
      <c r="E219" s="8" t="n">
        <v>634</v>
      </c>
      <c r="F219" s="8" t="inlineStr">
        <is>
          <t>No</t>
        </is>
      </c>
      <c r="G219" s="8" t="n">
        <v>35</v>
      </c>
    </row>
    <row r="220">
      <c r="A220" s="8" t="inlineStr">
        <is>
          <t>GET</t>
        </is>
      </c>
      <c r="B220" s="8" t="inlineStr">
        <is>
          <t>/api/v1/admin/platform/impersonation</t>
        </is>
      </c>
      <c r="C220" s="8" t="inlineStr">
        <is>
          <t>auth</t>
        </is>
      </c>
      <c r="D220" s="8" t="inlineStr">
        <is>
          <t>worker/src/routes/admin/platform_config.ts</t>
        </is>
      </c>
      <c r="E220" s="8" t="n">
        <v>648</v>
      </c>
      <c r="F220" s="8" t="inlineStr">
        <is>
          <t>Yes</t>
        </is>
      </c>
      <c r="G220" s="8" t="n">
        <v>35</v>
      </c>
    </row>
    <row r="221">
      <c r="A221" s="8" t="inlineStr">
        <is>
          <t>POST</t>
        </is>
      </c>
      <c r="B221" s="8" t="inlineStr">
        <is>
          <t>/api/v1/admin/platform/impersonation</t>
        </is>
      </c>
      <c r="C221" s="8" t="inlineStr">
        <is>
          <t>auth</t>
        </is>
      </c>
      <c r="D221" s="8" t="inlineStr">
        <is>
          <t>worker/src/routes/admin/platform_config.ts</t>
        </is>
      </c>
      <c r="E221" s="8" t="n">
        <v>665</v>
      </c>
      <c r="F221" s="8" t="inlineStr">
        <is>
          <t>Yes</t>
        </is>
      </c>
      <c r="G221" s="8" t="n">
        <v>35</v>
      </c>
    </row>
    <row r="222">
      <c r="A222" s="8" t="inlineStr">
        <is>
          <t>GET</t>
        </is>
      </c>
      <c r="B222" s="8" t="inlineStr">
        <is>
          <t>/api/v1/admin/platform/impersonation/{id}/activity</t>
        </is>
      </c>
      <c r="C222" s="8" t="inlineStr">
        <is>
          <t>auth</t>
        </is>
      </c>
      <c r="D222" s="8" t="inlineStr">
        <is>
          <t>worker/src/routes/admin/platform_config.ts</t>
        </is>
      </c>
      <c r="E222" s="8" t="n">
        <v>692</v>
      </c>
      <c r="F222" s="8" t="inlineStr">
        <is>
          <t>No</t>
        </is>
      </c>
      <c r="G222" s="8" t="n">
        <v>35</v>
      </c>
    </row>
    <row r="223">
      <c r="A223" s="8" t="inlineStr">
        <is>
          <t>POST</t>
        </is>
      </c>
      <c r="B223" s="8" t="inlineStr">
        <is>
          <t>/api/v1/admin/platform/impersonation/{id}/end</t>
        </is>
      </c>
      <c r="C223" s="8" t="inlineStr">
        <is>
          <t>auth</t>
        </is>
      </c>
      <c r="D223" s="8" t="inlineStr">
        <is>
          <t>worker/src/routes/admin/platform_config.ts</t>
        </is>
      </c>
      <c r="E223" s="8" t="n">
        <v>709</v>
      </c>
      <c r="F223" s="8" t="inlineStr">
        <is>
          <t>No</t>
        </is>
      </c>
      <c r="G223" s="8" t="n">
        <v>35</v>
      </c>
    </row>
    <row r="224">
      <c r="A224" s="8" t="inlineStr">
        <is>
          <t>GET</t>
        </is>
      </c>
      <c r="B224" s="8" t="inlineStr">
        <is>
          <t>/api/v1/admin/platform/adoption</t>
        </is>
      </c>
      <c r="C224" s="8" t="inlineStr">
        <is>
          <t>vendor</t>
        </is>
      </c>
      <c r="D224" s="8" t="inlineStr">
        <is>
          <t>worker/src/routes/admin/platform_config.ts</t>
        </is>
      </c>
      <c r="E224" s="8" t="n">
        <v>724</v>
      </c>
      <c r="F224" s="8" t="inlineStr">
        <is>
          <t>No</t>
        </is>
      </c>
      <c r="G224" s="8" t="n">
        <v>35</v>
      </c>
    </row>
    <row r="225">
      <c r="A225" s="8" t="inlineStr">
        <is>
          <t>GET</t>
        </is>
      </c>
      <c r="B225" s="8" t="inlineStr">
        <is>
          <t>/api/v1/admin/platform/health</t>
        </is>
      </c>
      <c r="C225" s="8" t="inlineStr">
        <is>
          <t>vendor</t>
        </is>
      </c>
      <c r="D225" s="8" t="inlineStr">
        <is>
          <t>worker/src/routes/admin/platform_config.ts</t>
        </is>
      </c>
      <c r="E225" s="8" t="n">
        <v>761</v>
      </c>
      <c r="F225" s="8" t="inlineStr">
        <is>
          <t>No</t>
        </is>
      </c>
      <c r="G225" s="8" t="n">
        <v>35</v>
      </c>
    </row>
    <row r="226">
      <c r="A226" s="8" t="inlineStr">
        <is>
          <t>GET</t>
        </is>
      </c>
      <c r="B226" s="8" t="inlineStr">
        <is>
          <t>/api/v1/admin/platform/entitlements</t>
        </is>
      </c>
      <c r="C226" s="8" t="inlineStr">
        <is>
          <t>plans</t>
        </is>
      </c>
      <c r="D226" s="8" t="inlineStr">
        <is>
          <t>worker/src/routes/admin/platform_config.ts</t>
        </is>
      </c>
      <c r="E226" s="8" t="n">
        <v>792</v>
      </c>
      <c r="F226" s="8" t="inlineStr">
        <is>
          <t>No</t>
        </is>
      </c>
      <c r="G226" s="8" t="n">
        <v>35</v>
      </c>
    </row>
    <row r="227">
      <c r="A227" s="8" t="inlineStr">
        <is>
          <t>PUT</t>
        </is>
      </c>
      <c r="B227" s="8" t="inlineStr">
        <is>
          <t>/api/v1/admin/platform/entitlements</t>
        </is>
      </c>
      <c r="C227" s="8" t="inlineStr">
        <is>
          <t>plans</t>
        </is>
      </c>
      <c r="D227" s="8" t="inlineStr">
        <is>
          <t>worker/src/routes/admin/platform_config.ts</t>
        </is>
      </c>
      <c r="E227" s="8" t="n">
        <v>811</v>
      </c>
      <c r="F227" s="8" t="inlineStr">
        <is>
          <t>No</t>
        </is>
      </c>
      <c r="G227" s="8" t="n">
        <v>35</v>
      </c>
    </row>
    <row r="228">
      <c r="A228" s="8" t="inlineStr">
        <is>
          <t>GET</t>
        </is>
      </c>
      <c r="B228" s="8" t="inlineStr">
        <is>
          <t>/api/v1/admin/connectors/payment-gateways</t>
        </is>
      </c>
      <c r="C228" s="8" t="inlineStr">
        <is>
          <t>PERM_VENDOR</t>
        </is>
      </c>
      <c r="D228" s="8" t="inlineStr">
        <is>
          <t>worker/src/routes/admin/platform_gateways.ts</t>
        </is>
      </c>
      <c r="E228" s="8" t="n">
        <v>21</v>
      </c>
      <c r="F228" s="8" t="inlineStr">
        <is>
          <t>Yes</t>
        </is>
      </c>
      <c r="G228" s="8" t="n">
        <v>5</v>
      </c>
    </row>
    <row r="229">
      <c r="A229" s="8" t="inlineStr">
        <is>
          <t>PUT</t>
        </is>
      </c>
      <c r="B229" s="8" t="inlineStr">
        <is>
          <t>/api/v1/admin/connectors/payment-gateways</t>
        </is>
      </c>
      <c r="C229" s="8" t="inlineStr">
        <is>
          <t>PERM_VENDOR</t>
        </is>
      </c>
      <c r="D229" s="8" t="inlineStr">
        <is>
          <t>worker/src/routes/admin/platform_gateways.ts</t>
        </is>
      </c>
      <c r="E229" s="8" t="n">
        <v>63</v>
      </c>
      <c r="F229" s="8" t="inlineStr">
        <is>
          <t>Yes</t>
        </is>
      </c>
      <c r="G229" s="8" t="n">
        <v>5</v>
      </c>
    </row>
    <row r="230">
      <c r="A230" s="8" t="inlineStr">
        <is>
          <t>DELETE</t>
        </is>
      </c>
      <c r="B230" s="8" t="inlineStr">
        <is>
          <t>/api/v1/admin/connectors/payment-gateways/{id}</t>
        </is>
      </c>
      <c r="C230" s="8" t="inlineStr">
        <is>
          <t>PERM_VENDOR</t>
        </is>
      </c>
      <c r="D230" s="8" t="inlineStr">
        <is>
          <t>worker/src/routes/admin/platform_gateways.ts</t>
        </is>
      </c>
      <c r="E230" s="8" t="n">
        <v>120</v>
      </c>
      <c r="F230" s="8" t="inlineStr">
        <is>
          <t>No</t>
        </is>
      </c>
      <c r="G230" s="8" t="n">
        <v>5</v>
      </c>
    </row>
    <row r="231">
      <c r="A231" s="8" t="inlineStr">
        <is>
          <t>GET</t>
        </is>
      </c>
      <c r="B231" s="8" t="inlineStr">
        <is>
          <t>/api/v1/admin/biometric-devices</t>
        </is>
      </c>
      <c r="C231" s="8" t="inlineStr">
        <is>
          <t>PERM_VENDOR</t>
        </is>
      </c>
      <c r="D231" s="8" t="inlineStr">
        <is>
          <t>worker/src/routes/admin/platform_gateways.ts</t>
        </is>
      </c>
      <c r="E231" s="8" t="n">
        <v>133</v>
      </c>
      <c r="F231" s="8" t="inlineStr">
        <is>
          <t>Yes</t>
        </is>
      </c>
      <c r="G231" s="8" t="n">
        <v>5</v>
      </c>
    </row>
    <row r="232">
      <c r="A232" s="8" t="inlineStr">
        <is>
          <t>GET</t>
        </is>
      </c>
      <c r="B232" s="8" t="inlineStr">
        <is>
          <t>/api/v1/admin/signals/dropout-risk</t>
        </is>
      </c>
      <c r="C232" s="8" t="inlineStr">
        <is>
          <t>PERM_VENDOR</t>
        </is>
      </c>
      <c r="D232" s="8" t="inlineStr">
        <is>
          <t>worker/src/routes/admin/platform_signals.ts</t>
        </is>
      </c>
      <c r="E232" s="8" t="n">
        <v>22</v>
      </c>
      <c r="F232" s="8" t="inlineStr">
        <is>
          <t>Yes</t>
        </is>
      </c>
      <c r="G232" s="8" t="n">
        <v>6</v>
      </c>
    </row>
    <row r="233">
      <c r="A233" s="8" t="inlineStr">
        <is>
          <t>GET</t>
        </is>
      </c>
      <c r="B233" s="8" t="inlineStr">
        <is>
          <t>/api/v1/admin/signals/cash-flow</t>
        </is>
      </c>
      <c r="C233" s="8" t="inlineStr">
        <is>
          <t>PERM_VENDOR</t>
        </is>
      </c>
      <c r="D233" s="8" t="inlineStr">
        <is>
          <t>worker/src/routes/admin/platform_signals.ts</t>
        </is>
      </c>
      <c r="E233" s="8" t="n">
        <v>92</v>
      </c>
      <c r="F233" s="8" t="inlineStr">
        <is>
          <t>Yes</t>
        </is>
      </c>
      <c r="G233" s="8" t="n">
        <v>6</v>
      </c>
    </row>
    <row r="234">
      <c r="A234" s="8" t="inlineStr">
        <is>
          <t>GET</t>
        </is>
      </c>
      <c r="B234" s="8" t="inlineStr">
        <is>
          <t>/api/v1/reports/digest/settings</t>
        </is>
      </c>
      <c r="C234" s="8" t="inlineStr">
        <is>
          <t>admin.reports.read</t>
        </is>
      </c>
      <c r="D234" s="8" t="inlineStr">
        <is>
          <t>worker/src/routes/admin/report_digest.ts</t>
        </is>
      </c>
      <c r="E234" s="8" t="n">
        <v>94</v>
      </c>
      <c r="F234" s="8" t="inlineStr">
        <is>
          <t>Yes</t>
        </is>
      </c>
      <c r="G234" s="8" t="n">
        <v>4</v>
      </c>
    </row>
    <row r="235">
      <c r="A235" s="8" t="inlineStr">
        <is>
          <t>PUT</t>
        </is>
      </c>
      <c r="B235" s="8" t="inlineStr">
        <is>
          <t>/api/v1/reports/digest/settings</t>
        </is>
      </c>
      <c r="C235" s="8" t="inlineStr">
        <is>
          <t>institution.settings.write</t>
        </is>
      </c>
      <c r="D235" s="8" t="inlineStr">
        <is>
          <t>worker/src/routes/admin/report_digest.ts</t>
        </is>
      </c>
      <c r="E235" s="8" t="n">
        <v>95</v>
      </c>
      <c r="F235" s="8" t="inlineStr">
        <is>
          <t>Yes</t>
        </is>
      </c>
      <c r="G235" s="8" t="n">
        <v>4</v>
      </c>
    </row>
    <row r="236">
      <c r="A236" s="8" t="inlineStr">
        <is>
          <t>GET</t>
        </is>
      </c>
      <c r="B236" s="8" t="inlineStr">
        <is>
          <t>/api/v1/admin/academic-years/{id}/rollover</t>
        </is>
      </c>
      <c r="C236" s="8" t="inlineStr">
        <is>
          <t>institution.settings.write</t>
        </is>
      </c>
      <c r="D236" s="8" t="inlineStr">
        <is>
          <t>worker/src/routes/admin/security.ts</t>
        </is>
      </c>
      <c r="E236" s="8" t="n">
        <v>182</v>
      </c>
      <c r="F236" s="8" t="inlineStr">
        <is>
          <t>Yes</t>
        </is>
      </c>
      <c r="G236" s="8" t="n">
        <v>33</v>
      </c>
    </row>
    <row r="237">
      <c r="A237" s="8" t="inlineStr">
        <is>
          <t>POST</t>
        </is>
      </c>
      <c r="B237" s="8" t="inlineStr">
        <is>
          <t>/api/v1/admin/academic-years/{id}/rollover</t>
        </is>
      </c>
      <c r="C237" s="8" t="inlineStr">
        <is>
          <t>institution.settings.write</t>
        </is>
      </c>
      <c r="D237" s="8" t="inlineStr">
        <is>
          <t>worker/src/routes/admin/security.ts</t>
        </is>
      </c>
      <c r="E237" s="8" t="n">
        <v>187</v>
      </c>
      <c r="F237" s="8" t="inlineStr">
        <is>
          <t>Yes</t>
        </is>
      </c>
      <c r="G237" s="8" t="n">
        <v>33</v>
      </c>
    </row>
    <row r="238">
      <c r="A238" s="8" t="inlineStr">
        <is>
          <t>GET</t>
        </is>
      </c>
      <c r="B238" s="8" t="inlineStr">
        <is>
          <t>/api/v1/admin/day-code</t>
        </is>
      </c>
      <c r="C238" s="8" t="inlineStr">
        <is>
          <t>access.users.read</t>
        </is>
      </c>
      <c r="D238" s="8" t="inlineStr">
        <is>
          <t>worker/src/routes/admin/security.ts</t>
        </is>
      </c>
      <c r="E238" s="8" t="n">
        <v>189</v>
      </c>
      <c r="F238" s="8" t="inlineStr">
        <is>
          <t>Yes</t>
        </is>
      </c>
      <c r="G238" s="8" t="n">
        <v>33</v>
      </c>
    </row>
    <row r="239">
      <c r="A239" s="8" t="inlineStr">
        <is>
          <t>PUT</t>
        </is>
      </c>
      <c r="B239" s="8" t="inlineStr">
        <is>
          <t>/api/v1/admin/day-code</t>
        </is>
      </c>
      <c r="C239" s="8" t="inlineStr">
        <is>
          <t>access.users.write</t>
        </is>
      </c>
      <c r="D239" s="8" t="inlineStr">
        <is>
          <t>worker/src/routes/admin/security.ts</t>
        </is>
      </c>
      <c r="E239" s="8" t="n">
        <v>190</v>
      </c>
      <c r="F239" s="8" t="inlineStr">
        <is>
          <t>Yes</t>
        </is>
      </c>
      <c r="G239" s="8" t="n">
        <v>33</v>
      </c>
    </row>
    <row r="240">
      <c r="A240" s="8" t="inlineStr">
        <is>
          <t>GET</t>
        </is>
      </c>
      <c r="B240" s="8" t="inlineStr">
        <is>
          <t>/api/v1/admin/privacy</t>
        </is>
      </c>
      <c r="C240" s="8" t="inlineStr">
        <is>
          <t>access.users.read</t>
        </is>
      </c>
      <c r="D240" s="8" t="inlineStr">
        <is>
          <t>worker/src/routes/admin/security.ts</t>
        </is>
      </c>
      <c r="E240" s="8" t="n">
        <v>204</v>
      </c>
      <c r="F240" s="8" t="inlineStr">
        <is>
          <t>Yes</t>
        </is>
      </c>
      <c r="G240" s="8" t="n">
        <v>33</v>
      </c>
    </row>
    <row r="241">
      <c r="A241" s="8" t="inlineStr">
        <is>
          <t>PUT</t>
        </is>
      </c>
      <c r="B241" s="8" t="inlineStr">
        <is>
          <t>/api/v1/admin/privacy</t>
        </is>
      </c>
      <c r="C241" s="8" t="inlineStr">
        <is>
          <t>access.users.write</t>
        </is>
      </c>
      <c r="D241" s="8" t="inlineStr">
        <is>
          <t>worker/src/routes/admin/security.ts</t>
        </is>
      </c>
      <c r="E241" s="8" t="n">
        <v>208</v>
      </c>
      <c r="F241" s="8" t="inlineStr">
        <is>
          <t>Yes</t>
        </is>
      </c>
      <c r="G241" s="8" t="n">
        <v>33</v>
      </c>
    </row>
    <row r="242">
      <c r="A242" s="8" t="inlineStr">
        <is>
          <t>GET</t>
        </is>
      </c>
      <c r="B242" s="8" t="inlineStr">
        <is>
          <t>/api/v1/admin/audit/summary</t>
        </is>
      </c>
      <c r="C242" s="8" t="inlineStr">
        <is>
          <t>admin.audit.read</t>
        </is>
      </c>
      <c r="D242" s="8" t="inlineStr">
        <is>
          <t>worker/src/routes/admin/security.ts</t>
        </is>
      </c>
      <c r="E242" s="8" t="n">
        <v>216</v>
      </c>
      <c r="F242" s="8" t="inlineStr">
        <is>
          <t>Yes</t>
        </is>
      </c>
      <c r="G242" s="8" t="n">
        <v>33</v>
      </c>
    </row>
    <row r="243">
      <c r="A243" s="8" t="inlineStr">
        <is>
          <t>GET</t>
        </is>
      </c>
      <c r="B243" s="8" t="inlineStr">
        <is>
          <t>/api/v1/admin/audit/events</t>
        </is>
      </c>
      <c r="C243" s="8" t="inlineStr">
        <is>
          <t>admin.audit.read</t>
        </is>
      </c>
      <c r="D243" s="8" t="inlineStr">
        <is>
          <t>worker/src/routes/admin/security.ts</t>
        </is>
      </c>
      <c r="E243" s="8" t="n">
        <v>221</v>
      </c>
      <c r="F243" s="8" t="inlineStr">
        <is>
          <t>Yes</t>
        </is>
      </c>
      <c r="G243" s="8" t="n">
        <v>33</v>
      </c>
    </row>
    <row r="244">
      <c r="A244" s="8" t="inlineStr">
        <is>
          <t>GET</t>
        </is>
      </c>
      <c r="B244" s="8" t="inlineStr">
        <is>
          <t>/api/v1/admin/audit</t>
        </is>
      </c>
      <c r="C244" s="8" t="inlineStr">
        <is>
          <t>admin.audit.read</t>
        </is>
      </c>
      <c r="D244" s="8" t="inlineStr">
        <is>
          <t>worker/src/routes/admin/security.ts</t>
        </is>
      </c>
      <c r="E244" s="8" t="n">
        <v>237</v>
      </c>
      <c r="F244" s="8" t="inlineStr">
        <is>
          <t>Yes</t>
        </is>
      </c>
      <c r="G244" s="8" t="n">
        <v>33</v>
      </c>
    </row>
    <row r="245">
      <c r="A245" s="8" t="inlineStr">
        <is>
          <t>GET</t>
        </is>
      </c>
      <c r="B245" s="8" t="inlineStr">
        <is>
          <t>/api/v1/admin/sessions/live</t>
        </is>
      </c>
      <c r="C245" s="8" t="inlineStr">
        <is>
          <t>admin.audit.read</t>
        </is>
      </c>
      <c r="D245" s="8" t="inlineStr">
        <is>
          <t>worker/src/routes/admin/security.ts</t>
        </is>
      </c>
      <c r="E245" s="8" t="n">
        <v>256</v>
      </c>
      <c r="F245" s="8" t="inlineStr">
        <is>
          <t>Yes</t>
        </is>
      </c>
      <c r="G245" s="8" t="n">
        <v>33</v>
      </c>
    </row>
    <row r="246">
      <c r="A246" s="8" t="inlineStr">
        <is>
          <t>GET</t>
        </is>
      </c>
      <c r="B246" s="8" t="inlineStr">
        <is>
          <t>/api/v1/admin/sessions</t>
        </is>
      </c>
      <c r="C246" s="8" t="inlineStr">
        <is>
          <t>admin.audit.read</t>
        </is>
      </c>
      <c r="D246" s="8" t="inlineStr">
        <is>
          <t>worker/src/routes/admin/security.ts</t>
        </is>
      </c>
      <c r="E246" s="8" t="n">
        <v>301</v>
      </c>
      <c r="F246" s="8" t="inlineStr">
        <is>
          <t>Yes</t>
        </is>
      </c>
      <c r="G246" s="8" t="n">
        <v>33</v>
      </c>
    </row>
    <row r="247">
      <c r="A247" s="8" t="inlineStr">
        <is>
          <t>DELETE</t>
        </is>
      </c>
      <c r="B247" s="8" t="inlineStr">
        <is>
          <t>/api/v1/admin/sessions</t>
        </is>
      </c>
      <c r="C247" s="8" t="inlineStr">
        <is>
          <t>access.sessions.revoke</t>
        </is>
      </c>
      <c r="D247" s="8" t="inlineStr">
        <is>
          <t>worker/src/routes/admin/security.ts</t>
        </is>
      </c>
      <c r="E247" s="8" t="n">
        <v>312</v>
      </c>
      <c r="F247" s="8" t="inlineStr">
        <is>
          <t>Yes</t>
        </is>
      </c>
      <c r="G247" s="8" t="n">
        <v>33</v>
      </c>
    </row>
    <row r="248">
      <c r="A248" s="8" t="inlineStr">
        <is>
          <t>GET</t>
        </is>
      </c>
      <c r="B248" s="8" t="inlineStr">
        <is>
          <t>/api/v1/admin/sessions/{id}/activity</t>
        </is>
      </c>
      <c r="C248" s="8" t="inlineStr">
        <is>
          <t>admin.audit.read</t>
        </is>
      </c>
      <c r="D248" s="8" t="inlineStr">
        <is>
          <t>worker/src/routes/admin/security.ts</t>
        </is>
      </c>
      <c r="E248" s="8" t="n">
        <v>320</v>
      </c>
      <c r="F248" s="8" t="inlineStr">
        <is>
          <t>Yes</t>
        </is>
      </c>
      <c r="G248" s="8" t="n">
        <v>33</v>
      </c>
    </row>
    <row r="249">
      <c r="A249" s="8" t="inlineStr">
        <is>
          <t>DELETE</t>
        </is>
      </c>
      <c r="B249" s="8" t="inlineStr">
        <is>
          <t>/api/v1/admin/sessions/{id}</t>
        </is>
      </c>
      <c r="C249" s="8" t="inlineStr">
        <is>
          <t>access.sessions.revoke</t>
        </is>
      </c>
      <c r="D249" s="8" t="inlineStr">
        <is>
          <t>worker/src/routes/admin/security.ts</t>
        </is>
      </c>
      <c r="E249" s="8" t="n">
        <v>333</v>
      </c>
      <c r="F249" s="8" t="inlineStr">
        <is>
          <t>Yes</t>
        </is>
      </c>
      <c r="G249" s="8" t="n">
        <v>33</v>
      </c>
    </row>
    <row r="250">
      <c r="A250" s="8" t="inlineStr">
        <is>
          <t>GET</t>
        </is>
      </c>
      <c r="B250" s="8" t="inlineStr">
        <is>
          <t>/api/v1/admin/login-events</t>
        </is>
      </c>
      <c r="C250" s="8" t="inlineStr">
        <is>
          <t>admin.audit.read</t>
        </is>
      </c>
      <c r="D250" s="8" t="inlineStr">
        <is>
          <t>worker/src/routes/admin/security.ts</t>
        </is>
      </c>
      <c r="E250" s="8" t="n">
        <v>341</v>
      </c>
      <c r="F250" s="8" t="inlineStr">
        <is>
          <t>Yes</t>
        </is>
      </c>
      <c r="G250" s="8" t="n">
        <v>33</v>
      </c>
    </row>
    <row r="251">
      <c r="A251" s="8" t="inlineStr">
        <is>
          <t>GET</t>
        </is>
      </c>
      <c r="B251" s="8" t="inlineStr">
        <is>
          <t>/api/v1/admin/interactions/people</t>
        </is>
      </c>
      <c r="C251" s="8" t="inlineStr">
        <is>
          <t>admin.audit.read</t>
        </is>
      </c>
      <c r="D251" s="8" t="inlineStr">
        <is>
          <t>worker/src/routes/admin/security.ts</t>
        </is>
      </c>
      <c r="E251" s="8" t="n">
        <v>375</v>
      </c>
      <c r="F251" s="8" t="inlineStr">
        <is>
          <t>Yes</t>
        </is>
      </c>
      <c r="G251" s="8" t="n">
        <v>33</v>
      </c>
    </row>
    <row r="252">
      <c r="A252" s="8" t="inlineStr">
        <is>
          <t>GET</t>
        </is>
      </c>
      <c r="B252" s="8" t="inlineStr">
        <is>
          <t>/api/v1/admin/interactions</t>
        </is>
      </c>
      <c r="C252" s="8" t="inlineStr">
        <is>
          <t>admin.audit.read</t>
        </is>
      </c>
      <c r="D252" s="8" t="inlineStr">
        <is>
          <t>worker/src/routes/admin/security.ts</t>
        </is>
      </c>
      <c r="E252" s="8" t="n">
        <v>385</v>
      </c>
      <c r="F252" s="8" t="inlineStr">
        <is>
          <t>Yes</t>
        </is>
      </c>
      <c r="G252" s="8" t="n">
        <v>33</v>
      </c>
    </row>
    <row r="253">
      <c r="A253" s="8" t="inlineStr">
        <is>
          <t>GET</t>
        </is>
      </c>
      <c r="B253" s="8" t="inlineStr">
        <is>
          <t>/api/v1/admin/session-policies</t>
        </is>
      </c>
      <c r="C253" s="8" t="inlineStr">
        <is>
          <t>access.roles.read</t>
        </is>
      </c>
      <c r="D253" s="8" t="inlineStr">
        <is>
          <t>worker/src/routes/admin/security.ts</t>
        </is>
      </c>
      <c r="E253" s="8" t="n">
        <v>450</v>
      </c>
      <c r="F253" s="8" t="inlineStr">
        <is>
          <t>Yes</t>
        </is>
      </c>
      <c r="G253" s="8" t="n">
        <v>33</v>
      </c>
    </row>
    <row r="254">
      <c r="A254" s="8" t="inlineStr">
        <is>
          <t>PUT</t>
        </is>
      </c>
      <c r="B254" s="8" t="inlineStr">
        <is>
          <t>/api/v1/admin/session-policies/{role}</t>
        </is>
      </c>
      <c r="C254" s="8" t="inlineStr">
        <is>
          <t>access.roles.write</t>
        </is>
      </c>
      <c r="D254" s="8" t="inlineStr">
        <is>
          <t>worker/src/routes/admin/security.ts</t>
        </is>
      </c>
      <c r="E254" s="8" t="n">
        <v>460</v>
      </c>
      <c r="F254" s="8" t="inlineStr">
        <is>
          <t>Yes</t>
        </is>
      </c>
      <c r="G254" s="8" t="n">
        <v>33</v>
      </c>
    </row>
    <row r="255">
      <c r="A255" s="8" t="inlineStr">
        <is>
          <t>POST</t>
        </is>
      </c>
      <c r="B255" s="8" t="inlineStr">
        <is>
          <t>/api/v1/messaging/send-direct</t>
        </is>
      </c>
      <c r="C255" s="8" t="inlineStr">
        <is>
          <t>comms.messages.send</t>
        </is>
      </c>
      <c r="D255" s="8" t="inlineStr">
        <is>
          <t>worker/src/routes/admin/send_direct.ts</t>
        </is>
      </c>
      <c r="E255" s="8" t="n">
        <v>36</v>
      </c>
      <c r="F255" s="8" t="inlineStr">
        <is>
          <t>No</t>
        </is>
      </c>
      <c r="G255" s="8" t="n">
        <v>0</v>
      </c>
    </row>
    <row r="256">
      <c r="A256" s="8" t="inlineStr">
        <is>
          <t>GET</t>
        </is>
      </c>
      <c r="B256" s="8" t="inlineStr">
        <is>
          <t>/api/v1/admin/session-activity/settings</t>
        </is>
      </c>
      <c r="C256" s="8" t="inlineStr">
        <is>
          <t>admin.audit.read</t>
        </is>
      </c>
      <c r="D256" s="8" t="inlineStr">
        <is>
          <t>worker/src/routes/admin/session_activity.ts</t>
        </is>
      </c>
      <c r="E256" s="8" t="n">
        <v>68</v>
      </c>
      <c r="F256" s="8" t="inlineStr">
        <is>
          <t>Yes</t>
        </is>
      </c>
      <c r="G256" s="8" t="n">
        <v>6</v>
      </c>
    </row>
    <row r="257">
      <c r="A257" s="8" t="inlineStr">
        <is>
          <t>PUT</t>
        </is>
      </c>
      <c r="B257" s="8" t="inlineStr">
        <is>
          <t>/api/v1/admin/session-activity/settings</t>
        </is>
      </c>
      <c r="C257" s="8" t="inlineStr">
        <is>
          <t>institution.settings.write</t>
        </is>
      </c>
      <c r="D257" s="8" t="inlineStr">
        <is>
          <t>worker/src/routes/admin/session_activity.ts</t>
        </is>
      </c>
      <c r="E257" s="8" t="n">
        <v>72</v>
      </c>
      <c r="F257" s="8" t="inlineStr">
        <is>
          <t>Yes</t>
        </is>
      </c>
      <c r="G257" s="8" t="n">
        <v>6</v>
      </c>
    </row>
    <row r="258">
      <c r="A258" s="8" t="inlineStr">
        <is>
          <t>GET</t>
        </is>
      </c>
      <c r="B258" s="8" t="inlineStr">
        <is>
          <t>/api/v1/admin/session-activity</t>
        </is>
      </c>
      <c r="C258" s="8" t="inlineStr">
        <is>
          <t>admin.audit.read</t>
        </is>
      </c>
      <c r="D258" s="8" t="inlineStr">
        <is>
          <t>worker/src/routes/admin/session_activity.ts</t>
        </is>
      </c>
      <c r="E258" s="8" t="n">
        <v>89</v>
      </c>
      <c r="F258" s="8" t="inlineStr">
        <is>
          <t>Yes</t>
        </is>
      </c>
      <c r="G258" s="8" t="n">
        <v>6</v>
      </c>
    </row>
    <row r="259">
      <c r="A259" s="8" t="inlineStr">
        <is>
          <t>GET</t>
        </is>
      </c>
      <c r="B259" s="8" t="inlineStr">
        <is>
          <t>/api/v1/admin/session-activity/export</t>
        </is>
      </c>
      <c r="C259" s="8" t="inlineStr">
        <is>
          <t>admin.audit.read</t>
        </is>
      </c>
      <c r="D259" s="8" t="inlineStr">
        <is>
          <t>worker/src/routes/admin/session_activity.ts</t>
        </is>
      </c>
      <c r="E259" s="8" t="n">
        <v>93</v>
      </c>
      <c r="F259" s="8" t="inlineStr">
        <is>
          <t>Yes</t>
        </is>
      </c>
      <c r="G259" s="8" t="n">
        <v>6</v>
      </c>
    </row>
    <row r="260">
      <c r="A260" s="8" t="inlineStr">
        <is>
          <t>GET</t>
        </is>
      </c>
      <c r="B260" s="8" t="inlineStr">
        <is>
          <t>/api/v1/admin/session-activity/{id}</t>
        </is>
      </c>
      <c r="C260" s="8" t="inlineStr">
        <is>
          <t>admin.audit.read</t>
        </is>
      </c>
      <c r="D260" s="8" t="inlineStr">
        <is>
          <t>worker/src/routes/admin/session_activity.ts</t>
        </is>
      </c>
      <c r="E260" s="8" t="n">
        <v>104</v>
      </c>
      <c r="F260" s="8" t="inlineStr">
        <is>
          <t>Yes</t>
        </is>
      </c>
      <c r="G260" s="8" t="n">
        <v>6</v>
      </c>
    </row>
    <row r="261">
      <c r="A261" s="8" t="inlineStr">
        <is>
          <t>GET</t>
        </is>
      </c>
      <c r="B261" s="8" t="inlineStr">
        <is>
          <t>/api/v1/admin/student-logins</t>
        </is>
      </c>
      <c r="C261" s="8" t="inlineStr">
        <is>
          <t>access.users.read</t>
        </is>
      </c>
      <c r="D261" s="8" t="inlineStr">
        <is>
          <t>worker/src/routes/admin/student_logins.ts</t>
        </is>
      </c>
      <c r="E261" s="8" t="n">
        <v>13</v>
      </c>
      <c r="F261" s="8" t="inlineStr">
        <is>
          <t>Yes</t>
        </is>
      </c>
      <c r="G261" s="8" t="n">
        <v>9</v>
      </c>
    </row>
    <row r="262">
      <c r="A262" s="8" t="inlineStr">
        <is>
          <t>PUT</t>
        </is>
      </c>
      <c r="B262" s="8" t="inlineStr">
        <is>
          <t>/api/v1/admin/student-logins</t>
        </is>
      </c>
      <c r="C262" s="8" t="inlineStr">
        <is>
          <t>access.users.write</t>
        </is>
      </c>
      <c r="D262" s="8" t="inlineStr">
        <is>
          <t>worker/src/routes/admin/student_logins.ts</t>
        </is>
      </c>
      <c r="E262" s="8" t="n">
        <v>25</v>
      </c>
      <c r="F262" s="8" t="inlineStr">
        <is>
          <t>Yes</t>
        </is>
      </c>
      <c r="G262" s="8" t="n">
        <v>9</v>
      </c>
    </row>
    <row r="263">
      <c r="A263" s="8" t="inlineStr">
        <is>
          <t>GET</t>
        </is>
      </c>
      <c r="B263" s="8" t="inlineStr">
        <is>
          <t>/api/v1/admin/parent-logins</t>
        </is>
      </c>
      <c r="C263" s="8" t="inlineStr">
        <is>
          <t>access.users.read</t>
        </is>
      </c>
      <c r="D263" s="8" t="inlineStr">
        <is>
          <t>worker/src/routes/admin/student_logins.ts</t>
        </is>
      </c>
      <c r="E263" s="8" t="n">
        <v>75</v>
      </c>
      <c r="F263" s="8" t="inlineStr">
        <is>
          <t>Yes</t>
        </is>
      </c>
      <c r="G263" s="8" t="n">
        <v>9</v>
      </c>
    </row>
    <row r="264">
      <c r="A264" s="8" t="inlineStr">
        <is>
          <t>POST</t>
        </is>
      </c>
      <c r="B264" s="8" t="inlineStr">
        <is>
          <t>/api/v1/admin/parent-logins/issue-missing</t>
        </is>
      </c>
      <c r="C264" s="8" t="inlineStr">
        <is>
          <t>access.users.write</t>
        </is>
      </c>
      <c r="D264" s="8" t="inlineStr">
        <is>
          <t>worker/src/routes/admin/student_logins.ts</t>
        </is>
      </c>
      <c r="E264" s="8" t="n">
        <v>83</v>
      </c>
      <c r="F264" s="8" t="inlineStr">
        <is>
          <t>Yes</t>
        </is>
      </c>
      <c r="G264" s="8" t="n">
        <v>9</v>
      </c>
    </row>
    <row r="265">
      <c r="A265" s="8" t="inlineStr">
        <is>
          <t>POST</t>
        </is>
      </c>
      <c r="B265" s="8" t="inlineStr">
        <is>
          <t>/api/v1/admin/student-logins/issue-missing</t>
        </is>
      </c>
      <c r="C265" s="8" t="inlineStr">
        <is>
          <t>access.users.write</t>
        </is>
      </c>
      <c r="D265" s="8" t="inlineStr">
        <is>
          <t>worker/src/routes/admin/student_logins.ts</t>
        </is>
      </c>
      <c r="E265" s="8" t="n">
        <v>101</v>
      </c>
      <c r="F265" s="8" t="inlineStr">
        <is>
          <t>Yes</t>
        </is>
      </c>
      <c r="G265" s="8" t="n">
        <v>9</v>
      </c>
    </row>
    <row r="266">
      <c r="A266" s="8" t="inlineStr">
        <is>
          <t>GET</t>
        </is>
      </c>
      <c r="B266" s="8" t="inlineStr">
        <is>
          <t>/api/v1/admin/tally/connector</t>
        </is>
      </c>
      <c r="C266" s="8" t="inlineStr">
        <is>
          <t>VENDOR</t>
        </is>
      </c>
      <c r="D266" s="8" t="inlineStr">
        <is>
          <t>worker/src/routes/admin/tally_connector.ts</t>
        </is>
      </c>
      <c r="E266" s="8" t="n">
        <v>269</v>
      </c>
      <c r="F266" s="8" t="inlineStr">
        <is>
          <t>Yes</t>
        </is>
      </c>
      <c r="G266" s="8" t="n">
        <v>7</v>
      </c>
    </row>
    <row r="267">
      <c r="A267" s="8" t="inlineStr">
        <is>
          <t>PUT</t>
        </is>
      </c>
      <c r="B267" s="8" t="inlineStr">
        <is>
          <t>/api/v1/admin/tally/connector</t>
        </is>
      </c>
      <c r="C267" s="8" t="inlineStr">
        <is>
          <t>VENDOR</t>
        </is>
      </c>
      <c r="D267" s="8" t="inlineStr">
        <is>
          <t>worker/src/routes/admin/tally_connector.ts</t>
        </is>
      </c>
      <c r="E267" s="8" t="n">
        <v>270</v>
      </c>
      <c r="F267" s="8" t="inlineStr">
        <is>
          <t>Yes</t>
        </is>
      </c>
      <c r="G267" s="8" t="n">
        <v>7</v>
      </c>
    </row>
    <row r="268">
      <c r="A268" s="8" t="inlineStr">
        <is>
          <t>GET</t>
        </is>
      </c>
      <c r="B268" s="8" t="inlineStr">
        <is>
          <t>/api/v1/admin/tally/connector/accounts</t>
        </is>
      </c>
      <c r="C268" s="8" t="inlineStr">
        <is>
          <t>VENDOR</t>
        </is>
      </c>
      <c r="D268" s="8" t="inlineStr">
        <is>
          <t>worker/src/routes/admin/tally_connector.ts</t>
        </is>
      </c>
      <c r="E268" s="8" t="n">
        <v>271</v>
      </c>
      <c r="F268" s="8" t="inlineStr">
        <is>
          <t>No</t>
        </is>
      </c>
      <c r="G268" s="8" t="n">
        <v>7</v>
      </c>
    </row>
    <row r="269">
      <c r="A269" s="8" t="inlineStr">
        <is>
          <t>PUT</t>
        </is>
      </c>
      <c r="B269" s="8" t="inlineStr">
        <is>
          <t>/api/v1/admin/tally/connector/mappings</t>
        </is>
      </c>
      <c r="C269" s="8" t="inlineStr">
        <is>
          <t>VENDOR</t>
        </is>
      </c>
      <c r="D269" s="8" t="inlineStr">
        <is>
          <t>worker/src/routes/admin/tally_connector.ts</t>
        </is>
      </c>
      <c r="E269" s="8" t="n">
        <v>272</v>
      </c>
      <c r="F269" s="8" t="inlineStr">
        <is>
          <t>No</t>
        </is>
      </c>
      <c r="G269" s="8" t="n">
        <v>7</v>
      </c>
    </row>
    <row r="270">
      <c r="A270" s="8" t="inlineStr">
        <is>
          <t>PUT</t>
        </is>
      </c>
      <c r="B270" s="8" t="inlineStr">
        <is>
          <t>/api/v1/admin/tally/connector/voucher-types</t>
        </is>
      </c>
      <c r="C270" s="8" t="inlineStr">
        <is>
          <t>VENDOR</t>
        </is>
      </c>
      <c r="D270" s="8" t="inlineStr">
        <is>
          <t>worker/src/routes/admin/tally_connector.ts</t>
        </is>
      </c>
      <c r="E270" s="8" t="n">
        <v>273</v>
      </c>
      <c r="F270" s="8" t="inlineStr">
        <is>
          <t>No</t>
        </is>
      </c>
      <c r="G270" s="8" t="n">
        <v>7</v>
      </c>
    </row>
    <row r="271">
      <c r="A271" s="8" t="inlineStr">
        <is>
          <t>POST</t>
        </is>
      </c>
      <c r="B271" s="8" t="inlineStr">
        <is>
          <t>/api/v1/admin/tally/connector/voucher-types/defaults</t>
        </is>
      </c>
      <c r="C271" s="8" t="inlineStr">
        <is>
          <t>VENDOR</t>
        </is>
      </c>
      <c r="D271" s="8" t="inlineStr">
        <is>
          <t>worker/src/routes/admin/tally_connector.ts</t>
        </is>
      </c>
      <c r="E271" s="8" t="n">
        <v>274</v>
      </c>
      <c r="F271" s="8" t="inlineStr">
        <is>
          <t>No</t>
        </is>
      </c>
      <c r="G271" s="8" t="n">
        <v>7</v>
      </c>
    </row>
    <row r="272">
      <c r="A272" s="8" t="inlineStr">
        <is>
          <t>GET</t>
        </is>
      </c>
      <c r="B272" s="8" t="inlineStr">
        <is>
          <t>/api/v1/admin/tally/connector/gateway</t>
        </is>
      </c>
      <c r="C272" s="8" t="inlineStr">
        <is>
          <t>VENDOR</t>
        </is>
      </c>
      <c r="D272" s="8" t="inlineStr">
        <is>
          <t>worker/src/routes/admin/tally_connector.ts</t>
        </is>
      </c>
      <c r="E272" s="8" t="n">
        <v>275</v>
      </c>
      <c r="F272" s="8" t="inlineStr">
        <is>
          <t>No</t>
        </is>
      </c>
      <c r="G272" s="8" t="n">
        <v>7</v>
      </c>
    </row>
    <row r="273">
      <c r="A273" s="8" t="inlineStr">
        <is>
          <t>PUT</t>
        </is>
      </c>
      <c r="B273" s="8" t="inlineStr">
        <is>
          <t>/api/v1/admin/tally/connector/gateway</t>
        </is>
      </c>
      <c r="C273" s="8" t="inlineStr">
        <is>
          <t>VENDOR</t>
        </is>
      </c>
      <c r="D273" s="8" t="inlineStr">
        <is>
          <t>worker/src/routes/admin/tally_connector.ts</t>
        </is>
      </c>
      <c r="E273" s="8" t="n">
        <v>276</v>
      </c>
      <c r="F273" s="8" t="inlineStr">
        <is>
          <t>No</t>
        </is>
      </c>
      <c r="G273" s="8" t="n">
        <v>7</v>
      </c>
    </row>
    <row r="274">
      <c r="A274" s="8" t="inlineStr">
        <is>
          <t>GET</t>
        </is>
      </c>
      <c r="B274" s="8" t="inlineStr">
        <is>
          <t>/api/v1/admin/users</t>
        </is>
      </c>
      <c r="C274" s="8" t="inlineStr">
        <is>
          <t>access.users.read</t>
        </is>
      </c>
      <c r="D274" s="8" t="inlineStr">
        <is>
          <t>worker/src/routes/admin/users.ts</t>
        </is>
      </c>
      <c r="E274" s="8" t="n">
        <v>312</v>
      </c>
      <c r="F274" s="8" t="inlineStr">
        <is>
          <t>Yes</t>
        </is>
      </c>
      <c r="G274" s="8" t="n">
        <v>27</v>
      </c>
    </row>
    <row r="275">
      <c r="A275" s="8" t="inlineStr">
        <is>
          <t>GET</t>
        </is>
      </c>
      <c r="B275" s="8" t="inlineStr">
        <is>
          <t>/api/v1/admin/roles</t>
        </is>
      </c>
      <c r="C275" s="8" t="inlineStr">
        <is>
          <t>access.roles.read</t>
        </is>
      </c>
      <c r="D275" s="8" t="inlineStr">
        <is>
          <t>worker/src/routes/admin/users.ts</t>
        </is>
      </c>
      <c r="E275" s="8" t="n">
        <v>388</v>
      </c>
      <c r="F275" s="8" t="inlineStr">
        <is>
          <t>Yes</t>
        </is>
      </c>
      <c r="G275" s="8" t="n">
        <v>27</v>
      </c>
    </row>
    <row r="276">
      <c r="A276" s="8" t="inlineStr">
        <is>
          <t>GET</t>
        </is>
      </c>
      <c r="B276" s="8" t="inlineStr">
        <is>
          <t>/api/v1/admin/modules</t>
        </is>
      </c>
      <c r="C276" s="8" t="inlineStr">
        <is>
          <t>institution.read</t>
        </is>
      </c>
      <c r="D276" s="8" t="inlineStr">
        <is>
          <t>worker/src/routes/admin/users.ts</t>
        </is>
      </c>
      <c r="E276" s="8" t="n">
        <v>401</v>
      </c>
      <c r="F276" s="8" t="inlineStr">
        <is>
          <t>Yes</t>
        </is>
      </c>
      <c r="G276" s="8" t="n">
        <v>27</v>
      </c>
    </row>
    <row r="277">
      <c r="A277" s="8" t="inlineStr">
        <is>
          <t>PUT</t>
        </is>
      </c>
      <c r="B277" s="8" t="inlineStr">
        <is>
          <t>/api/v1/admin/modules</t>
        </is>
      </c>
      <c r="C277" s="8" t="inlineStr">
        <is>
          <t>institution.settings.write</t>
        </is>
      </c>
      <c r="D277" s="8" t="inlineStr">
        <is>
          <t>worker/src/routes/admin/users.ts</t>
        </is>
      </c>
      <c r="E277" s="8" t="n">
        <v>405</v>
      </c>
      <c r="F277" s="8" t="inlineStr">
        <is>
          <t>Yes</t>
        </is>
      </c>
      <c r="G277" s="8" t="n">
        <v>27</v>
      </c>
    </row>
    <row r="278">
      <c r="A278" s="8" t="inlineStr">
        <is>
          <t>POST</t>
        </is>
      </c>
      <c r="B278" s="8" t="inlineStr">
        <is>
          <t>/api/v1/admin/users/roles/transfer</t>
        </is>
      </c>
      <c r="C278" s="8" t="inlineStr">
        <is>
          <t>access.roles.write</t>
        </is>
      </c>
      <c r="D278" s="8" t="inlineStr">
        <is>
          <t>worker/src/routes/admin/users.ts</t>
        </is>
      </c>
      <c r="E278" s="8" t="n">
        <v>414</v>
      </c>
      <c r="F278" s="8" t="inlineStr">
        <is>
          <t>Yes</t>
        </is>
      </c>
      <c r="G278" s="8" t="n">
        <v>27</v>
      </c>
    </row>
    <row r="279">
      <c r="A279" s="8" t="inlineStr">
        <is>
          <t>POST</t>
        </is>
      </c>
      <c r="B279" s="8" t="inlineStr">
        <is>
          <t>/api/v1/admin/users/generic</t>
        </is>
      </c>
      <c r="C279" s="8" t="inlineStr">
        <is>
          <t>access.roles.write</t>
        </is>
      </c>
      <c r="D279" s="8" t="inlineStr">
        <is>
          <t>worker/src/routes/admin/users.ts</t>
        </is>
      </c>
      <c r="E279" s="8" t="n">
        <v>446</v>
      </c>
      <c r="F279" s="8" t="inlineStr">
        <is>
          <t>Yes</t>
        </is>
      </c>
      <c r="G279" s="8" t="n">
        <v>27</v>
      </c>
    </row>
    <row r="280">
      <c r="A280" s="8" t="inlineStr">
        <is>
          <t>POST</t>
        </is>
      </c>
      <c r="B280" s="8" t="inlineStr">
        <is>
          <t>/api/v1/admin/users</t>
        </is>
      </c>
      <c r="C280" s="8" t="inlineStr">
        <is>
          <t>access.users.write</t>
        </is>
      </c>
      <c r="D280" s="8" t="inlineStr">
        <is>
          <t>worker/src/routes/admin/users.ts</t>
        </is>
      </c>
      <c r="E280" s="8" t="n">
        <v>489</v>
      </c>
      <c r="F280" s="8" t="inlineStr">
        <is>
          <t>Yes</t>
        </is>
      </c>
      <c r="G280" s="8" t="n">
        <v>27</v>
      </c>
    </row>
    <row r="281">
      <c r="A281" s="8" t="inlineStr">
        <is>
          <t>GET</t>
        </is>
      </c>
      <c r="B281" s="8" t="inlineStr">
        <is>
          <t>/api/v1/admin/users/{id}</t>
        </is>
      </c>
      <c r="C281" s="8" t="inlineStr">
        <is>
          <t>access.users.read</t>
        </is>
      </c>
      <c r="D281" s="8" t="inlineStr">
        <is>
          <t>worker/src/routes/admin/users.ts</t>
        </is>
      </c>
      <c r="E281" s="8" t="n">
        <v>539</v>
      </c>
      <c r="F281" s="8" t="inlineStr">
        <is>
          <t>Yes</t>
        </is>
      </c>
      <c r="G281" s="8" t="n">
        <v>27</v>
      </c>
    </row>
    <row r="282">
      <c r="A282" s="8" t="inlineStr">
        <is>
          <t>PUT</t>
        </is>
      </c>
      <c r="B282" s="8" t="inlineStr">
        <is>
          <t>/api/v1/admin/users/{id}/roles</t>
        </is>
      </c>
      <c r="C282" s="8" t="inlineStr">
        <is>
          <t>access.roles.write</t>
        </is>
      </c>
      <c r="D282" s="8" t="inlineStr">
        <is>
          <t>worker/src/routes/admin/users.ts</t>
        </is>
      </c>
      <c r="E282" s="8" t="n">
        <v>558</v>
      </c>
      <c r="F282" s="8" t="inlineStr">
        <is>
          <t>Yes</t>
        </is>
      </c>
      <c r="G282" s="8" t="n">
        <v>27</v>
      </c>
    </row>
    <row r="283">
      <c r="A283" s="8" t="inlineStr">
        <is>
          <t>GET</t>
        </is>
      </c>
      <c r="B283" s="8" t="inlineStr">
        <is>
          <t>/api/v1/admin/users/{id}/permissions</t>
        </is>
      </c>
      <c r="C283" s="8" t="inlineStr">
        <is>
          <t>access.users.read</t>
        </is>
      </c>
      <c r="D283" s="8" t="inlineStr">
        <is>
          <t>worker/src/routes/admin/users.ts</t>
        </is>
      </c>
      <c r="E283" s="8" t="n">
        <v>575</v>
      </c>
      <c r="F283" s="8" t="inlineStr">
        <is>
          <t>Yes</t>
        </is>
      </c>
      <c r="G283" s="8" t="n">
        <v>27</v>
      </c>
    </row>
    <row r="284">
      <c r="A284" s="8" t="inlineStr">
        <is>
          <t>PUT</t>
        </is>
      </c>
      <c r="B284" s="8" t="inlineStr">
        <is>
          <t>/api/v1/admin/users/{id}/permissions</t>
        </is>
      </c>
      <c r="C284" s="8" t="inlineStr">
        <is>
          <t>access.users.write</t>
        </is>
      </c>
      <c r="D284" s="8" t="inlineStr">
        <is>
          <t>worker/src/routes/admin/users.ts</t>
        </is>
      </c>
      <c r="E284" s="8" t="n">
        <v>585</v>
      </c>
      <c r="F284" s="8" t="inlineStr">
        <is>
          <t>Yes</t>
        </is>
      </c>
      <c r="G284" s="8" t="n">
        <v>27</v>
      </c>
    </row>
    <row r="285">
      <c r="A285" s="8" t="inlineStr">
        <is>
          <t>PUT</t>
        </is>
      </c>
      <c r="B285" s="8" t="inlineStr">
        <is>
          <t>/api/v1/admin/users/{id}/status</t>
        </is>
      </c>
      <c r="C285" s="8" t="inlineStr">
        <is>
          <t>access.users.write</t>
        </is>
      </c>
      <c r="D285" s="8" t="inlineStr">
        <is>
          <t>worker/src/routes/admin/users.ts</t>
        </is>
      </c>
      <c r="E285" s="8" t="n">
        <v>612</v>
      </c>
      <c r="F285" s="8" t="inlineStr">
        <is>
          <t>Yes</t>
        </is>
      </c>
      <c r="G285" s="8" t="n">
        <v>27</v>
      </c>
    </row>
    <row r="286">
      <c r="A286" s="8" t="inlineStr">
        <is>
          <t>POST</t>
        </is>
      </c>
      <c r="B286" s="8" t="inlineStr">
        <is>
          <t>/api/v1/admin/users/{id}/reset-password</t>
        </is>
      </c>
      <c r="C286" s="8" t="inlineStr">
        <is>
          <t>access.users.write</t>
        </is>
      </c>
      <c r="D286" s="8" t="inlineStr">
        <is>
          <t>worker/src/routes/admin/users.ts</t>
        </is>
      </c>
      <c r="E286" s="8" t="n">
        <v>624</v>
      </c>
      <c r="F286" s="8" t="inlineStr">
        <is>
          <t>Yes</t>
        </is>
      </c>
      <c r="G286" s="8" t="n">
        <v>27</v>
      </c>
    </row>
    <row r="287">
      <c r="A287" s="8" t="inlineStr">
        <is>
          <t>POST</t>
        </is>
      </c>
      <c r="B287" s="8" t="inlineStr">
        <is>
          <t>/api/v1/admin/users/{id}/mfa/disable</t>
        </is>
      </c>
      <c r="C287" s="8" t="inlineStr">
        <is>
          <t>access.users.write</t>
        </is>
      </c>
      <c r="D287" s="8" t="inlineStr">
        <is>
          <t>worker/src/routes/admin/users.ts</t>
        </is>
      </c>
      <c r="E287" s="8" t="n">
        <v>652</v>
      </c>
      <c r="F287" s="8" t="inlineStr">
        <is>
          <t>Yes</t>
        </is>
      </c>
      <c r="G287" s="8" t="n">
        <v>27</v>
      </c>
    </row>
    <row r="288">
      <c r="A288" s="8" t="inlineStr">
        <is>
          <t>GET</t>
        </is>
      </c>
      <c r="B288" s="8" t="inlineStr">
        <is>
          <t>/api/v1/admin/users/{id}/sign-in-days</t>
        </is>
      </c>
      <c r="C288" s="8" t="inlineStr">
        <is>
          <t>access.users.read</t>
        </is>
      </c>
      <c r="D288" s="8" t="inlineStr">
        <is>
          <t>worker/src/routes/admin/users.ts</t>
        </is>
      </c>
      <c r="E288" s="8" t="n">
        <v>659</v>
      </c>
      <c r="F288" s="8" t="inlineStr">
        <is>
          <t>Yes</t>
        </is>
      </c>
      <c r="G288" s="8" t="n">
        <v>27</v>
      </c>
    </row>
    <row r="289">
      <c r="A289" s="8" t="inlineStr">
        <is>
          <t>GET</t>
        </is>
      </c>
      <c r="B289" s="8" t="inlineStr">
        <is>
          <t>/api/v1/admin/roles/templates</t>
        </is>
      </c>
      <c r="C289" s="8" t="inlineStr">
        <is>
          <t>access.roles.write</t>
        </is>
      </c>
      <c r="D289" s="8" t="inlineStr">
        <is>
          <t>worker/src/routes/admin/users.ts</t>
        </is>
      </c>
      <c r="E289" s="8" t="n">
        <v>684</v>
      </c>
      <c r="F289" s="8" t="inlineStr">
        <is>
          <t>Yes</t>
        </is>
      </c>
      <c r="G289" s="8" t="n">
        <v>27</v>
      </c>
    </row>
    <row r="290">
      <c r="A290" s="8" t="inlineStr">
        <is>
          <t>GET</t>
        </is>
      </c>
      <c r="B290" s="8" t="inlineStr">
        <is>
          <t>/api/v1/admin/installable-roles</t>
        </is>
      </c>
      <c r="C290" s="8" t="inlineStr">
        <is>
          <t>access.roles.read</t>
        </is>
      </c>
      <c r="D290" s="8" t="inlineStr">
        <is>
          <t>worker/src/routes/admin/users.ts</t>
        </is>
      </c>
      <c r="E290" s="8" t="n">
        <v>691</v>
      </c>
      <c r="F290" s="8" t="inlineStr">
        <is>
          <t>Yes</t>
        </is>
      </c>
      <c r="G290" s="8" t="n">
        <v>27</v>
      </c>
    </row>
    <row r="291">
      <c r="A291" s="8" t="inlineStr">
        <is>
          <t>POST</t>
        </is>
      </c>
      <c r="B291" s="8" t="inlineStr">
        <is>
          <t>/api/v1/admin/roles/install</t>
        </is>
      </c>
      <c r="C291" s="8" t="inlineStr">
        <is>
          <t>access.roles.write</t>
        </is>
      </c>
      <c r="D291" s="8" t="inlineStr">
        <is>
          <t>worker/src/routes/admin/users.ts</t>
        </is>
      </c>
      <c r="E291" s="8" t="n">
        <v>698</v>
      </c>
      <c r="F291" s="8" t="inlineStr">
        <is>
          <t>Yes</t>
        </is>
      </c>
      <c r="G291" s="8" t="n">
        <v>27</v>
      </c>
    </row>
    <row r="292">
      <c r="A292" s="8" t="inlineStr">
        <is>
          <t>POST</t>
        </is>
      </c>
      <c r="B292" s="8" t="inlineStr">
        <is>
          <t>/api/v1/admin/roles</t>
        </is>
      </c>
      <c r="C292" s="8" t="inlineStr">
        <is>
          <t>access.roles.write</t>
        </is>
      </c>
      <c r="D292" s="8" t="inlineStr">
        <is>
          <t>worker/src/routes/admin/users.ts</t>
        </is>
      </c>
      <c r="E292" s="8" t="n">
        <v>707</v>
      </c>
      <c r="F292" s="8" t="inlineStr">
        <is>
          <t>Yes</t>
        </is>
      </c>
      <c r="G292" s="8" t="n">
        <v>27</v>
      </c>
    </row>
    <row r="293">
      <c r="A293" s="8" t="inlineStr">
        <is>
          <t>GET</t>
        </is>
      </c>
      <c r="B293" s="8" t="inlineStr">
        <is>
          <t>/api/v1/admin/roles/{id}/permissions</t>
        </is>
      </c>
      <c r="C293" s="8" t="inlineStr">
        <is>
          <t>access.roles.read</t>
        </is>
      </c>
      <c r="D293" s="8" t="inlineStr">
        <is>
          <t>worker/src/routes/admin/users.ts</t>
        </is>
      </c>
      <c r="E293" s="8" t="n">
        <v>727</v>
      </c>
      <c r="F293" s="8" t="inlineStr">
        <is>
          <t>No</t>
        </is>
      </c>
      <c r="G293" s="8" t="n">
        <v>27</v>
      </c>
    </row>
    <row r="294">
      <c r="A294" s="8" t="inlineStr">
        <is>
          <t>GET</t>
        </is>
      </c>
      <c r="B294" s="8" t="inlineStr">
        <is>
          <t>/api/v1/admin/roles/{id}/grid</t>
        </is>
      </c>
      <c r="C294" s="8" t="inlineStr">
        <is>
          <t>access.roles.read</t>
        </is>
      </c>
      <c r="D294" s="8" t="inlineStr">
        <is>
          <t>worker/src/routes/admin/users.ts</t>
        </is>
      </c>
      <c r="E294" s="8" t="n">
        <v>734</v>
      </c>
      <c r="F294" s="8" t="inlineStr">
        <is>
          <t>Yes</t>
        </is>
      </c>
      <c r="G294" s="8" t="n">
        <v>27</v>
      </c>
    </row>
    <row r="295">
      <c r="A295" s="8" t="inlineStr">
        <is>
          <t>PUT</t>
        </is>
      </c>
      <c r="B295" s="8" t="inlineStr">
        <is>
          <t>/api/v1/admin/roles/{id}/grid</t>
        </is>
      </c>
      <c r="C295" s="8" t="inlineStr">
        <is>
          <t>access.roles.write</t>
        </is>
      </c>
      <c r="D295" s="8" t="inlineStr">
        <is>
          <t>worker/src/routes/admin/users.ts</t>
        </is>
      </c>
      <c r="E295" s="8" t="n">
        <v>759</v>
      </c>
      <c r="F295" s="8" t="inlineStr">
        <is>
          <t>Yes</t>
        </is>
      </c>
      <c r="G295" s="8" t="n">
        <v>27</v>
      </c>
    </row>
    <row r="296">
      <c r="A296" s="8" t="inlineStr">
        <is>
          <t>POST</t>
        </is>
      </c>
      <c r="B296" s="8" t="inlineStr">
        <is>
          <t>/api/v1/admin/roles/{id}/reset</t>
        </is>
      </c>
      <c r="C296" s="8" t="inlineStr">
        <is>
          <t>access.roles.write</t>
        </is>
      </c>
      <c r="D296" s="8" t="inlineStr">
        <is>
          <t>worker/src/routes/admin/users.ts</t>
        </is>
      </c>
      <c r="E296" s="8" t="n">
        <v>786</v>
      </c>
      <c r="F296" s="8" t="inlineStr">
        <is>
          <t>Yes</t>
        </is>
      </c>
      <c r="G296" s="8" t="n">
        <v>27</v>
      </c>
    </row>
    <row r="297">
      <c r="A297" s="8" t="inlineStr">
        <is>
          <t>GET</t>
        </is>
      </c>
      <c r="B297" s="8" t="inlineStr">
        <is>
          <t>/api/v1/admin/roles/{id}/features</t>
        </is>
      </c>
      <c r="C297" s="8" t="inlineStr">
        <is>
          <t>access.roles.read</t>
        </is>
      </c>
      <c r="D297" s="8" t="inlineStr">
        <is>
          <t>worker/src/routes/admin/users.ts</t>
        </is>
      </c>
      <c r="E297" s="8" t="n">
        <v>801</v>
      </c>
      <c r="F297" s="8" t="inlineStr">
        <is>
          <t>Yes</t>
        </is>
      </c>
      <c r="G297" s="8" t="n">
        <v>27</v>
      </c>
    </row>
    <row r="298">
      <c r="A298" s="8" t="inlineStr">
        <is>
          <t>PUT</t>
        </is>
      </c>
      <c r="B298" s="8" t="inlineStr">
        <is>
          <t>/api/v1/admin/roles/{id}/features</t>
        </is>
      </c>
      <c r="C298" s="8" t="inlineStr">
        <is>
          <t>access.roles.write</t>
        </is>
      </c>
      <c r="D298" s="8" t="inlineStr">
        <is>
          <t>worker/src/routes/admin/users.ts</t>
        </is>
      </c>
      <c r="E298" s="8" t="n">
        <v>811</v>
      </c>
      <c r="F298" s="8" t="inlineStr">
        <is>
          <t>Yes</t>
        </is>
      </c>
      <c r="G298" s="8" t="n">
        <v>27</v>
      </c>
    </row>
    <row r="299">
      <c r="A299" s="8" t="inlineStr">
        <is>
          <t>GET</t>
        </is>
      </c>
      <c r="B299" s="8" t="inlineStr">
        <is>
          <t>/api/v1/admin/assignable-roles</t>
        </is>
      </c>
      <c r="C299" s="8" t="inlineStr">
        <is>
          <t>auth</t>
        </is>
      </c>
      <c r="D299" s="8" t="inlineStr">
        <is>
          <t>worker/src/routes/admin/users.ts</t>
        </is>
      </c>
      <c r="E299" s="8" t="n">
        <v>833</v>
      </c>
      <c r="F299" s="8" t="inlineStr">
        <is>
          <t>Yes</t>
        </is>
      </c>
      <c r="G299" s="8" t="n">
        <v>27</v>
      </c>
    </row>
    <row r="300">
      <c r="A300" s="8" t="inlineStr">
        <is>
          <t>GET</t>
        </is>
      </c>
      <c r="B300" s="8" t="inlineStr">
        <is>
          <t>/api/v1/admin/role-presets</t>
        </is>
      </c>
      <c r="C300" s="8" t="inlineStr">
        <is>
          <t>access.roles.read</t>
        </is>
      </c>
      <c r="D300" s="8" t="inlineStr">
        <is>
          <t>worker/src/routes/admin/users.ts</t>
        </is>
      </c>
      <c r="E300" s="8" t="n">
        <v>861</v>
      </c>
      <c r="F300" s="8" t="inlineStr">
        <is>
          <t>Yes</t>
        </is>
      </c>
      <c r="G300" s="8" t="n">
        <v>27</v>
      </c>
    </row>
    <row r="301">
      <c r="A301" s="8" t="inlineStr">
        <is>
          <t>GET</t>
        </is>
      </c>
      <c r="B301" s="8" t="inlineStr">
        <is>
          <t>/api/v1/admin/permissions</t>
        </is>
      </c>
      <c r="C301" s="8" t="inlineStr">
        <is>
          <t>access.users.read</t>
        </is>
      </c>
      <c r="D301" s="8" t="inlineStr">
        <is>
          <t>worker/src/routes/admin/users.ts</t>
        </is>
      </c>
      <c r="E301" s="8" t="n">
        <v>866</v>
      </c>
      <c r="F301" s="8" t="inlineStr">
        <is>
          <t>Yes</t>
        </is>
      </c>
      <c r="G301" s="8" t="n">
        <v>27</v>
      </c>
    </row>
    <row r="302">
      <c r="A302" s="8" t="inlineStr">
        <is>
          <t>GET</t>
        </is>
      </c>
      <c r="B302" s="8" t="inlineStr">
        <is>
          <t>/api/v1/admin/features</t>
        </is>
      </c>
      <c r="C302" s="8" t="inlineStr">
        <is>
          <t>access.users.read</t>
        </is>
      </c>
      <c r="D302" s="8" t="inlineStr">
        <is>
          <t>worker/src/routes/admin/users.ts</t>
        </is>
      </c>
      <c r="E302" s="8" t="n">
        <v>870</v>
      </c>
      <c r="F302" s="8" t="inlineStr">
        <is>
          <t>Yes</t>
        </is>
      </c>
      <c r="G302" s="8" t="n">
        <v>27</v>
      </c>
    </row>
    <row r="303">
      <c r="A303" s="8" t="inlineStr">
        <is>
          <t>GET</t>
        </is>
      </c>
      <c r="B303" s="8" t="inlineStr">
        <is>
          <t>/api/v1/admin/institutions</t>
        </is>
      </c>
      <c r="C303" s="8" t="inlineStr">
        <is>
          <t>auth</t>
        </is>
      </c>
      <c r="D303" s="8" t="inlineStr">
        <is>
          <t>worker/src/routes/admin/users.ts</t>
        </is>
      </c>
      <c r="E303" s="8" t="n">
        <v>889</v>
      </c>
      <c r="F303" s="8" t="inlineStr">
        <is>
          <t>Yes</t>
        </is>
      </c>
      <c r="G303" s="8" t="n">
        <v>27</v>
      </c>
    </row>
    <row r="304">
      <c r="A304" s="8" t="inlineStr">
        <is>
          <t>GET</t>
        </is>
      </c>
      <c r="B304" s="8" t="inlineStr">
        <is>
          <t>/api/v1/admin/platform-dashboard</t>
        </is>
      </c>
      <c r="C304" s="8" t="inlineStr">
        <is>
          <t>auth</t>
        </is>
      </c>
      <c r="D304" s="8" t="inlineStr">
        <is>
          <t>worker/src/routes/admin/users.ts</t>
        </is>
      </c>
      <c r="E304" s="8" t="n">
        <v>906</v>
      </c>
      <c r="F304" s="8" t="inlineStr">
        <is>
          <t>Yes</t>
        </is>
      </c>
      <c r="G304" s="8" t="n">
        <v>27</v>
      </c>
    </row>
    <row r="305">
      <c r="A305" s="8" t="inlineStr">
        <is>
          <t>GET</t>
        </is>
      </c>
      <c r="B305" s="8" t="inlineStr">
        <is>
          <t>/api/v1/admin/whatsapp/settings</t>
        </is>
      </c>
      <c r="C305" s="8" t="inlineStr">
        <is>
          <t>READ</t>
        </is>
      </c>
      <c r="D305" s="8" t="inlineStr">
        <is>
          <t>worker/src/routes/admin/whatsapp.ts</t>
        </is>
      </c>
      <c r="E305" s="8" t="n">
        <v>181</v>
      </c>
      <c r="F305" s="8" t="inlineStr">
        <is>
          <t>No</t>
        </is>
      </c>
      <c r="G305" s="8" t="n">
        <v>6</v>
      </c>
    </row>
    <row r="306">
      <c r="A306" s="8" t="inlineStr">
        <is>
          <t>PUT</t>
        </is>
      </c>
      <c r="B306" s="8" t="inlineStr">
        <is>
          <t>/api/v1/admin/whatsapp/settings</t>
        </is>
      </c>
      <c r="C306" s="8" t="inlineStr">
        <is>
          <t>CREDS</t>
        </is>
      </c>
      <c r="D306" s="8" t="inlineStr">
        <is>
          <t>worker/src/routes/admin/whatsapp.ts</t>
        </is>
      </c>
      <c r="E306" s="8" t="n">
        <v>183</v>
      </c>
      <c r="F306" s="8" t="inlineStr">
        <is>
          <t>No</t>
        </is>
      </c>
      <c r="G306" s="8" t="n">
        <v>6</v>
      </c>
    </row>
    <row r="307">
      <c r="A307" s="8" t="inlineStr">
        <is>
          <t>DELETE</t>
        </is>
      </c>
      <c r="B307" s="8" t="inlineStr">
        <is>
          <t>/api/v1/admin/whatsapp/settings</t>
        </is>
      </c>
      <c r="C307" s="8" t="inlineStr">
        <is>
          <t>CREDS</t>
        </is>
      </c>
      <c r="D307" s="8" t="inlineStr">
        <is>
          <t>worker/src/routes/admin/whatsapp.ts</t>
        </is>
      </c>
      <c r="E307" s="8" t="n">
        <v>197</v>
      </c>
      <c r="F307" s="8" t="inlineStr">
        <is>
          <t>No</t>
        </is>
      </c>
      <c r="G307" s="8" t="n">
        <v>6</v>
      </c>
    </row>
    <row r="308">
      <c r="A308" s="8" t="inlineStr">
        <is>
          <t>POST</t>
        </is>
      </c>
      <c r="B308" s="8" t="inlineStr">
        <is>
          <t>/api/v1/admin/whatsapp/test</t>
        </is>
      </c>
      <c r="C308" s="8" t="inlineStr">
        <is>
          <t>SEND</t>
        </is>
      </c>
      <c r="D308" s="8" t="inlineStr">
        <is>
          <t>worker/src/routes/admin/whatsapp.ts</t>
        </is>
      </c>
      <c r="E308" s="8" t="n">
        <v>202</v>
      </c>
      <c r="F308" s="8" t="inlineStr">
        <is>
          <t>No</t>
        </is>
      </c>
      <c r="G308" s="8" t="n">
        <v>6</v>
      </c>
    </row>
    <row r="309">
      <c r="A309" s="8" t="inlineStr">
        <is>
          <t>GET</t>
        </is>
      </c>
      <c r="B309" s="8" t="inlineStr">
        <is>
          <t>/api/v1/admin/whatsapp/templates</t>
        </is>
      </c>
      <c r="C309" s="8" t="inlineStr">
        <is>
          <t>READ</t>
        </is>
      </c>
      <c r="D309" s="8" t="inlineStr">
        <is>
          <t>worker/src/routes/admin/whatsapp.ts</t>
        </is>
      </c>
      <c r="E309" s="8" t="n">
        <v>224</v>
      </c>
      <c r="F309" s="8" t="inlineStr">
        <is>
          <t>No</t>
        </is>
      </c>
      <c r="G309" s="8" t="n">
        <v>6</v>
      </c>
    </row>
    <row r="310">
      <c r="A310" s="8" t="inlineStr">
        <is>
          <t>PUT</t>
        </is>
      </c>
      <c r="B310" s="8" t="inlineStr">
        <is>
          <t>/api/v1/admin/whatsapp/templates</t>
        </is>
      </c>
      <c r="C310" s="8" t="inlineStr">
        <is>
          <t>CONFIG</t>
        </is>
      </c>
      <c r="D310" s="8" t="inlineStr">
        <is>
          <t>worker/src/routes/admin/whatsapp.ts</t>
        </is>
      </c>
      <c r="E310" s="8" t="n">
        <v>226</v>
      </c>
      <c r="F310" s="8" t="inlineStr">
        <is>
          <t>No</t>
        </is>
      </c>
      <c r="G310" s="8" t="n">
        <v>6</v>
      </c>
    </row>
    <row r="311">
      <c r="A311" s="8" t="inlineStr">
        <is>
          <t>POST</t>
        </is>
      </c>
      <c r="B311" s="8" t="inlineStr">
        <is>
          <t>/api/v1/admin/whatsapp/templates/submit</t>
        </is>
      </c>
      <c r="C311" s="8" t="inlineStr">
        <is>
          <t>CREDS</t>
        </is>
      </c>
      <c r="D311" s="8" t="inlineStr">
        <is>
          <t>worker/src/routes/admin/whatsapp.ts</t>
        </is>
      </c>
      <c r="E311" s="8" t="n">
        <v>297</v>
      </c>
      <c r="F311" s="8" t="inlineStr">
        <is>
          <t>No</t>
        </is>
      </c>
      <c r="G311" s="8" t="n">
        <v>6</v>
      </c>
    </row>
    <row r="312">
      <c r="A312" s="8" t="inlineStr">
        <is>
          <t>POST</t>
        </is>
      </c>
      <c r="B312" s="8" t="inlineStr">
        <is>
          <t>/api/v1/admin/whatsapp/templates/{code}/submit</t>
        </is>
      </c>
      <c r="C312" s="8" t="inlineStr">
        <is>
          <t>CREDS</t>
        </is>
      </c>
      <c r="D312" s="8" t="inlineStr">
        <is>
          <t>worker/src/routes/admin/whatsapp.ts</t>
        </is>
      </c>
      <c r="E312" s="8" t="n">
        <v>298</v>
      </c>
      <c r="F312" s="8" t="inlineStr">
        <is>
          <t>No</t>
        </is>
      </c>
      <c r="G312" s="8" t="n">
        <v>6</v>
      </c>
    </row>
    <row r="313">
      <c r="A313" s="8" t="inlineStr">
        <is>
          <t>GET</t>
        </is>
      </c>
      <c r="B313" s="8" t="inlineStr">
        <is>
          <t>/api/v1/admin/messaging/test-link</t>
        </is>
      </c>
      <c r="C313" s="8" t="inlineStr">
        <is>
          <t>CREDS</t>
        </is>
      </c>
      <c r="D313" s="8" t="inlineStr">
        <is>
          <t>worker/src/routes/admin/whatsapp.ts</t>
        </is>
      </c>
      <c r="E313" s="8" t="n">
        <v>300</v>
      </c>
      <c r="F313" s="8" t="inlineStr">
        <is>
          <t>No</t>
        </is>
      </c>
      <c r="G313" s="8" t="n">
        <v>6</v>
      </c>
    </row>
    <row r="314">
      <c r="A314" s="8" t="inlineStr">
        <is>
          <t>GET</t>
        </is>
      </c>
      <c r="B314" s="8" t="inlineStr">
        <is>
          <t>/api/v1/admin/whatsapp/log</t>
        </is>
      </c>
      <c r="C314" s="8" t="inlineStr">
        <is>
          <t>auth</t>
        </is>
      </c>
      <c r="D314" s="8" t="inlineStr">
        <is>
          <t>worker/src/routes/admin/whatsapp.ts</t>
        </is>
      </c>
      <c r="E314" s="8" t="n">
        <v>311</v>
      </c>
      <c r="F314" s="8" t="inlineStr">
        <is>
          <t>No</t>
        </is>
      </c>
      <c r="G314" s="8" t="n">
        <v>6</v>
      </c>
    </row>
    <row r="315">
      <c r="A315" s="8" t="inlineStr">
        <is>
          <t>GET</t>
        </is>
      </c>
      <c r="B315" s="8" t="inlineStr">
        <is>
          <t>/api/v1/admin/messaging/recipients</t>
        </is>
      </c>
      <c r="C315" s="8" t="inlineStr">
        <is>
          <t>READ</t>
        </is>
      </c>
      <c r="D315" s="8" t="inlineStr">
        <is>
          <t>worker/src/routes/admin/whatsapp.ts</t>
        </is>
      </c>
      <c r="E315" s="8" t="n">
        <v>320</v>
      </c>
      <c r="F315" s="8" t="inlineStr">
        <is>
          <t>No</t>
        </is>
      </c>
      <c r="G315" s="8" t="n">
        <v>6</v>
      </c>
    </row>
    <row r="316">
      <c r="A316" s="8" t="inlineStr">
        <is>
          <t>PUT</t>
        </is>
      </c>
      <c r="B316" s="8" t="inlineStr">
        <is>
          <t>/api/v1/admin/messaging/recipients/mode</t>
        </is>
      </c>
      <c r="C316" s="8" t="inlineStr">
        <is>
          <t>CREDS</t>
        </is>
      </c>
      <c r="D316" s="8" t="inlineStr">
        <is>
          <t>worker/src/routes/admin/whatsapp.ts</t>
        </is>
      </c>
      <c r="E316" s="8" t="n">
        <v>322</v>
      </c>
      <c r="F316" s="8" t="inlineStr">
        <is>
          <t>No</t>
        </is>
      </c>
      <c r="G316" s="8" t="n">
        <v>6</v>
      </c>
    </row>
    <row r="317">
      <c r="A317" s="8" t="inlineStr">
        <is>
          <t>POST</t>
        </is>
      </c>
      <c r="B317" s="8" t="inlineStr">
        <is>
          <t>/api/v1/admin/messaging/recipients</t>
        </is>
      </c>
      <c r="C317" s="8" t="inlineStr">
        <is>
          <t>CREDS</t>
        </is>
      </c>
      <c r="D317" s="8" t="inlineStr">
        <is>
          <t>worker/src/routes/admin/whatsapp.ts</t>
        </is>
      </c>
      <c r="E317" s="8" t="n">
        <v>335</v>
      </c>
      <c r="F317" s="8" t="inlineStr">
        <is>
          <t>No</t>
        </is>
      </c>
      <c r="G317" s="8" t="n">
        <v>6</v>
      </c>
    </row>
    <row r="318">
      <c r="A318" s="8" t="inlineStr">
        <is>
          <t>DELETE</t>
        </is>
      </c>
      <c r="B318" s="8" t="inlineStr">
        <is>
          <t>/api/v1/admin/messaging/recipients/{id}</t>
        </is>
      </c>
      <c r="C318" s="8" t="inlineStr">
        <is>
          <t>CREDS</t>
        </is>
      </c>
      <c r="D318" s="8" t="inlineStr">
        <is>
          <t>worker/src/routes/admin/whatsapp.ts</t>
        </is>
      </c>
      <c r="E318" s="8" t="n">
        <v>355</v>
      </c>
      <c r="F318" s="8" t="inlineStr">
        <is>
          <t>No</t>
        </is>
      </c>
      <c r="G318" s="8" t="n">
        <v>6</v>
      </c>
    </row>
    <row r="319">
      <c r="A319" s="8" t="inlineStr">
        <is>
          <t>GET</t>
        </is>
      </c>
      <c r="B319" s="8" t="inlineStr">
        <is>
          <t>/api/v1/admissions/campaigns</t>
        </is>
      </c>
      <c r="C319" s="8" t="inlineStr">
        <is>
          <t>READ</t>
        </is>
      </c>
      <c r="D319" s="8" t="inlineStr">
        <is>
          <t>worker/src/routes/admissions/campaigns.ts</t>
        </is>
      </c>
      <c r="E319" s="8" t="n">
        <v>46</v>
      </c>
      <c r="F319" s="8" t="inlineStr">
        <is>
          <t>No</t>
        </is>
      </c>
      <c r="G319" s="8" t="n">
        <v>9</v>
      </c>
    </row>
    <row r="320">
      <c r="A320" s="8" t="inlineStr">
        <is>
          <t>POST</t>
        </is>
      </c>
      <c r="B320" s="8" t="inlineStr">
        <is>
          <t>/api/v1/admissions/campaigns</t>
        </is>
      </c>
      <c r="C320" s="8" t="inlineStr">
        <is>
          <t>WRITE</t>
        </is>
      </c>
      <c r="D320" s="8" t="inlineStr">
        <is>
          <t>worker/src/routes/admissions/campaigns.ts</t>
        </is>
      </c>
      <c r="E320" s="8" t="n">
        <v>58</v>
      </c>
      <c r="F320" s="8" t="inlineStr">
        <is>
          <t>No</t>
        </is>
      </c>
      <c r="G320" s="8" t="n">
        <v>9</v>
      </c>
    </row>
    <row r="321">
      <c r="A321" s="8" t="inlineStr">
        <is>
          <t>GET</t>
        </is>
      </c>
      <c r="B321" s="8" t="inlineStr">
        <is>
          <t>/api/v1/admissions/campaigns/outbox</t>
        </is>
      </c>
      <c r="C321" s="8" t="inlineStr">
        <is>
          <t>READ</t>
        </is>
      </c>
      <c r="D321" s="8" t="inlineStr">
        <is>
          <t>worker/src/routes/admissions/campaigns.ts</t>
        </is>
      </c>
      <c r="E321" s="8" t="n">
        <v>81</v>
      </c>
      <c r="F321" s="8" t="inlineStr">
        <is>
          <t>No</t>
        </is>
      </c>
      <c r="G321" s="8" t="n">
        <v>9</v>
      </c>
    </row>
    <row r="322">
      <c r="A322" s="8" t="inlineStr">
        <is>
          <t>POST</t>
        </is>
      </c>
      <c r="B322" s="8" t="inlineStr">
        <is>
          <t>/api/v1/admissions/campaigns/run</t>
        </is>
      </c>
      <c r="C322" s="8" t="inlineStr">
        <is>
          <t>WRITE</t>
        </is>
      </c>
      <c r="D322" s="8" t="inlineStr">
        <is>
          <t>worker/src/routes/admissions/campaigns.ts</t>
        </is>
      </c>
      <c r="E322" s="8" t="n">
        <v>96</v>
      </c>
      <c r="F322" s="8" t="inlineStr">
        <is>
          <t>No</t>
        </is>
      </c>
      <c r="G322" s="8" t="n">
        <v>9</v>
      </c>
    </row>
    <row r="323">
      <c r="A323" s="8" t="inlineStr">
        <is>
          <t>GET</t>
        </is>
      </c>
      <c r="B323" s="8" t="inlineStr">
        <is>
          <t>/api/v1/admissions/campaigns/{id}/steps</t>
        </is>
      </c>
      <c r="C323" s="8" t="inlineStr">
        <is>
          <t>READ</t>
        </is>
      </c>
      <c r="D323" s="8" t="inlineStr">
        <is>
          <t>worker/src/routes/admissions/campaigns.ts</t>
        </is>
      </c>
      <c r="E323" s="8" t="n">
        <v>98</v>
      </c>
      <c r="F323" s="8" t="inlineStr">
        <is>
          <t>No</t>
        </is>
      </c>
      <c r="G323" s="8" t="n">
        <v>9</v>
      </c>
    </row>
    <row r="324">
      <c r="A324" s="8" t="inlineStr">
        <is>
          <t>POST</t>
        </is>
      </c>
      <c r="B324" s="8" t="inlineStr">
        <is>
          <t>/api/v1/admissions/campaigns/{id}/steps</t>
        </is>
      </c>
      <c r="C324" s="8" t="inlineStr">
        <is>
          <t>WRITE</t>
        </is>
      </c>
      <c r="D324" s="8" t="inlineStr">
        <is>
          <t>worker/src/routes/admissions/campaigns.ts</t>
        </is>
      </c>
      <c r="E324" s="8" t="n">
        <v>108</v>
      </c>
      <c r="F324" s="8" t="inlineStr">
        <is>
          <t>No</t>
        </is>
      </c>
      <c r="G324" s="8" t="n">
        <v>9</v>
      </c>
    </row>
    <row r="325">
      <c r="A325" s="8" t="inlineStr">
        <is>
          <t>DELETE</t>
        </is>
      </c>
      <c r="B325" s="8" t="inlineStr">
        <is>
          <t>/api/v1/admissions/campaign-steps/{id}</t>
        </is>
      </c>
      <c r="C325" s="8" t="inlineStr">
        <is>
          <t>WRITE</t>
        </is>
      </c>
      <c r="D325" s="8" t="inlineStr">
        <is>
          <t>worker/src/routes/admissions/campaigns.ts</t>
        </is>
      </c>
      <c r="E325" s="8" t="n">
        <v>142</v>
      </c>
      <c r="F325" s="8" t="inlineStr">
        <is>
          <t>No</t>
        </is>
      </c>
      <c r="G325" s="8" t="n">
        <v>9</v>
      </c>
    </row>
    <row r="326">
      <c r="A326" s="8" t="inlineStr">
        <is>
          <t>GET</t>
        </is>
      </c>
      <c r="B326" s="8" t="inlineStr">
        <is>
          <t>/api/v1/admissions/campaigns/{id}/enrolments</t>
        </is>
      </c>
      <c r="C326" s="8" t="inlineStr">
        <is>
          <t>READ</t>
        </is>
      </c>
      <c r="D326" s="8" t="inlineStr">
        <is>
          <t>worker/src/routes/admissions/campaigns.ts</t>
        </is>
      </c>
      <c r="E326" s="8" t="n">
        <v>152</v>
      </c>
      <c r="F326" s="8" t="inlineStr">
        <is>
          <t>No</t>
        </is>
      </c>
      <c r="G326" s="8" t="n">
        <v>9</v>
      </c>
    </row>
    <row r="327">
      <c r="A327" s="8" t="inlineStr">
        <is>
          <t>POST</t>
        </is>
      </c>
      <c r="B327" s="8" t="inlineStr">
        <is>
          <t>/api/v1/admissions/campaigns/{id}/enrol</t>
        </is>
      </c>
      <c r="C327" s="8" t="inlineStr">
        <is>
          <t>WRITE</t>
        </is>
      </c>
      <c r="D327" s="8" t="inlineStr">
        <is>
          <t>worker/src/routes/admissions/campaigns.ts</t>
        </is>
      </c>
      <c r="E327" s="8" t="n">
        <v>165</v>
      </c>
      <c r="F327" s="8" t="inlineStr">
        <is>
          <t>No</t>
        </is>
      </c>
      <c r="G327" s="8" t="n">
        <v>9</v>
      </c>
    </row>
    <row r="328">
      <c r="A328" s="8" t="inlineStr">
        <is>
          <t>POST</t>
        </is>
      </c>
      <c r="B328" s="8" t="inlineStr">
        <is>
          <t>/api/v1/admissions/campaign-enrolments/{id}/stop</t>
        </is>
      </c>
      <c r="C328" s="8" t="inlineStr">
        <is>
          <t>WRITE</t>
        </is>
      </c>
      <c r="D328" s="8" t="inlineStr">
        <is>
          <t>worker/src/routes/admissions/campaigns.ts</t>
        </is>
      </c>
      <c r="E328" s="8" t="n">
        <v>210</v>
      </c>
      <c r="F328" s="8" t="inlineStr">
        <is>
          <t>No</t>
        </is>
      </c>
      <c r="G328" s="8" t="n">
        <v>9</v>
      </c>
    </row>
    <row r="329">
      <c r="A329" s="8" t="inlineStr">
        <is>
          <t>GET</t>
        </is>
      </c>
      <c r="B329" s="8" t="inlineStr">
        <is>
          <t>/api/v1/admissions/lost-leads/reasons</t>
        </is>
      </c>
      <c r="C329" s="8" t="inlineStr">
        <is>
          <t>READ</t>
        </is>
      </c>
      <c r="D329" s="8" t="inlineStr">
        <is>
          <t>worker/src/routes/admissions/campaigns.ts</t>
        </is>
      </c>
      <c r="E329" s="8" t="n">
        <v>222</v>
      </c>
      <c r="F329" s="8" t="inlineStr">
        <is>
          <t>Yes</t>
        </is>
      </c>
      <c r="G329" s="8" t="n">
        <v>9</v>
      </c>
    </row>
    <row r="330">
      <c r="A330" s="8" t="inlineStr">
        <is>
          <t>GET</t>
        </is>
      </c>
      <c r="B330" s="8" t="inlineStr">
        <is>
          <t>/api/v1/admissions/lost-leads/analysis</t>
        </is>
      </c>
      <c r="C330" s="8" t="inlineStr">
        <is>
          <t>READ</t>
        </is>
      </c>
      <c r="D330" s="8" t="inlineStr">
        <is>
          <t>worker/src/routes/admissions/campaigns.ts</t>
        </is>
      </c>
      <c r="E330" s="8" t="n">
        <v>224</v>
      </c>
      <c r="F330" s="8" t="inlineStr">
        <is>
          <t>No</t>
        </is>
      </c>
      <c r="G330" s="8" t="n">
        <v>9</v>
      </c>
    </row>
    <row r="331">
      <c r="A331" s="8" t="inlineStr">
        <is>
          <t>GET</t>
        </is>
      </c>
      <c r="B331" s="8" t="inlineStr">
        <is>
          <t>/api/v1/admissions/lost-leads</t>
        </is>
      </c>
      <c r="C331" s="8" t="inlineStr">
        <is>
          <t>READ</t>
        </is>
      </c>
      <c r="D331" s="8" t="inlineStr">
        <is>
          <t>worker/src/routes/admissions/campaigns.ts</t>
        </is>
      </c>
      <c r="E331" s="8" t="n">
        <v>262</v>
      </c>
      <c r="F331" s="8" t="inlineStr">
        <is>
          <t>No</t>
        </is>
      </c>
      <c r="G331" s="8" t="n">
        <v>9</v>
      </c>
    </row>
    <row r="332">
      <c r="A332" s="8" t="inlineStr">
        <is>
          <t>POST</t>
        </is>
      </c>
      <c r="B332" s="8" t="inlineStr">
        <is>
          <t>/api/v1/admissions/leads/{id}/lost</t>
        </is>
      </c>
      <c r="C332" s="8" t="inlineStr">
        <is>
          <t>WRITE</t>
        </is>
      </c>
      <c r="D332" s="8" t="inlineStr">
        <is>
          <t>worker/src/routes/admissions/campaigns.ts</t>
        </is>
      </c>
      <c r="E332" s="8" t="n">
        <v>283</v>
      </c>
      <c r="F332" s="8" t="inlineStr">
        <is>
          <t>Yes</t>
        </is>
      </c>
      <c r="G332" s="8" t="n">
        <v>9</v>
      </c>
    </row>
    <row r="333">
      <c r="A333" s="8" t="inlineStr">
        <is>
          <t>POST</t>
        </is>
      </c>
      <c r="B333" s="8" t="inlineStr">
        <is>
          <t>/api/v1/admissions/leads/{id}/reopen</t>
        </is>
      </c>
      <c r="C333" s="8" t="inlineStr">
        <is>
          <t>WRITE</t>
        </is>
      </c>
      <c r="D333" s="8" t="inlineStr">
        <is>
          <t>worker/src/routes/admissions/campaigns.ts</t>
        </is>
      </c>
      <c r="E333" s="8" t="n">
        <v>309</v>
      </c>
      <c r="F333" s="8" t="inlineStr">
        <is>
          <t>Yes</t>
        </is>
      </c>
      <c r="G333" s="8" t="n">
        <v>9</v>
      </c>
    </row>
    <row r="334">
      <c r="A334" s="8" t="inlineStr">
        <is>
          <t>POST</t>
        </is>
      </c>
      <c r="B334" s="8" t="inlineStr">
        <is>
          <t>/api/v1/admissions/leads/{id}/opt-out</t>
        </is>
      </c>
      <c r="C334" s="8" t="inlineStr">
        <is>
          <t>WRITE</t>
        </is>
      </c>
      <c r="D334" s="8" t="inlineStr">
        <is>
          <t>worker/src/routes/admissions/campaigns.ts</t>
        </is>
      </c>
      <c r="E334" s="8" t="n">
        <v>319</v>
      </c>
      <c r="F334" s="8" t="inlineStr">
        <is>
          <t>No</t>
        </is>
      </c>
      <c r="G334" s="8" t="n">
        <v>9</v>
      </c>
    </row>
    <row r="335">
      <c r="A335" s="8" t="inlineStr">
        <is>
          <t>GET</t>
        </is>
      </c>
      <c r="B335" s="8" t="inlineStr">
        <is>
          <t>/api/v1/admissions/workflow/enquiries/duplicates</t>
        </is>
      </c>
      <c r="C335" s="8" t="inlineStr">
        <is>
          <t>READ</t>
        </is>
      </c>
      <c r="D335" s="8" t="inlineStr">
        <is>
          <t>worker/src/routes/admissions/crm.ts</t>
        </is>
      </c>
      <c r="E335" s="8" t="n">
        <v>43</v>
      </c>
      <c r="F335" s="8" t="inlineStr">
        <is>
          <t>Yes</t>
        </is>
      </c>
      <c r="G335" s="8" t="n">
        <v>5</v>
      </c>
    </row>
    <row r="336">
      <c r="A336" s="8" t="inlineStr">
        <is>
          <t>GET</t>
        </is>
      </c>
      <c r="B336" s="8" t="inlineStr">
        <is>
          <t>/api/v1/admissions/workflow/enquiries/{id}</t>
        </is>
      </c>
      <c r="C336" s="8" t="inlineStr">
        <is>
          <t>READ</t>
        </is>
      </c>
      <c r="D336" s="8" t="inlineStr">
        <is>
          <t>worker/src/routes/admissions/crm.ts</t>
        </is>
      </c>
      <c r="E336" s="8" t="n">
        <v>48</v>
      </c>
      <c r="F336" s="8" t="inlineStr">
        <is>
          <t>Yes</t>
        </is>
      </c>
      <c r="G336" s="8" t="n">
        <v>5</v>
      </c>
    </row>
    <row r="337">
      <c r="A337" s="8" t="inlineStr">
        <is>
          <t>POST</t>
        </is>
      </c>
      <c r="B337" s="8" t="inlineStr">
        <is>
          <t>/api/v1/admissions/workflow/enquiries/{id}/activities</t>
        </is>
      </c>
      <c r="C337" s="8" t="inlineStr">
        <is>
          <t>WRITE</t>
        </is>
      </c>
      <c r="D337" s="8" t="inlineStr">
        <is>
          <t>worker/src/routes/admissions/crm.ts</t>
        </is>
      </c>
      <c r="E337" s="8" t="n">
        <v>75</v>
      </c>
      <c r="F337" s="8" t="inlineStr">
        <is>
          <t>Yes</t>
        </is>
      </c>
      <c r="G337" s="8" t="n">
        <v>5</v>
      </c>
    </row>
    <row r="338">
      <c r="A338" s="8" t="inlineStr">
        <is>
          <t>GET</t>
        </is>
      </c>
      <c r="B338" s="8" t="inlineStr">
        <is>
          <t>/api/v1/admissions/forms</t>
        </is>
      </c>
      <c r="C338" s="8" t="inlineStr">
        <is>
          <t>READ</t>
        </is>
      </c>
      <c r="D338" s="8" t="inlineStr">
        <is>
          <t>worker/src/routes/admissions/forms.ts</t>
        </is>
      </c>
      <c r="E338" s="8" t="n">
        <v>112</v>
      </c>
      <c r="F338" s="8" t="inlineStr">
        <is>
          <t>No</t>
        </is>
      </c>
      <c r="G338" s="8" t="n">
        <v>7</v>
      </c>
    </row>
    <row r="339">
      <c r="A339" s="8" t="inlineStr">
        <is>
          <t>POST</t>
        </is>
      </c>
      <c r="B339" s="8" t="inlineStr">
        <is>
          <t>/api/v1/admissions/forms</t>
        </is>
      </c>
      <c r="C339" s="8" t="inlineStr">
        <is>
          <t>WRITE</t>
        </is>
      </c>
      <c r="D339" s="8" t="inlineStr">
        <is>
          <t>worker/src/routes/admissions/forms.ts</t>
        </is>
      </c>
      <c r="E339" s="8" t="n">
        <v>124</v>
      </c>
      <c r="F339" s="8" t="inlineStr">
        <is>
          <t>No</t>
        </is>
      </c>
      <c r="G339" s="8" t="n">
        <v>7</v>
      </c>
    </row>
    <row r="340">
      <c r="A340" s="8" t="inlineStr">
        <is>
          <t>POST</t>
        </is>
      </c>
      <c r="B340" s="8" t="inlineStr">
        <is>
          <t>/api/v1/admissions/forms/{id}</t>
        </is>
      </c>
      <c r="C340" s="8" t="inlineStr">
        <is>
          <t>WRITE</t>
        </is>
      </c>
      <c r="D340" s="8" t="inlineStr">
        <is>
          <t>worker/src/routes/admissions/forms.ts</t>
        </is>
      </c>
      <c r="E340" s="8" t="n">
        <v>151</v>
      </c>
      <c r="F340" s="8" t="inlineStr">
        <is>
          <t>No</t>
        </is>
      </c>
      <c r="G340" s="8" t="n">
        <v>7</v>
      </c>
    </row>
    <row r="341">
      <c r="A341" s="8" t="inlineStr">
        <is>
          <t>GET</t>
        </is>
      </c>
      <c r="B341" s="8" t="inlineStr">
        <is>
          <t>/api/v1/admissions/forms/{id}/versions</t>
        </is>
      </c>
      <c r="C341" s="8" t="inlineStr">
        <is>
          <t>READ</t>
        </is>
      </c>
      <c r="D341" s="8" t="inlineStr">
        <is>
          <t>worker/src/routes/admissions/forms.ts</t>
        </is>
      </c>
      <c r="E341" s="8" t="n">
        <v>174</v>
      </c>
      <c r="F341" s="8" t="inlineStr">
        <is>
          <t>No</t>
        </is>
      </c>
      <c r="G341" s="8" t="n">
        <v>7</v>
      </c>
    </row>
    <row r="342">
      <c r="A342" s="8" t="inlineStr">
        <is>
          <t>POST</t>
        </is>
      </c>
      <c r="B342" s="8" t="inlineStr">
        <is>
          <t>/api/v1/admissions/forms/{id}/draft</t>
        </is>
      </c>
      <c r="C342" s="8" t="inlineStr">
        <is>
          <t>WRITE</t>
        </is>
      </c>
      <c r="D342" s="8" t="inlineStr">
        <is>
          <t>worker/src/routes/admissions/forms.ts</t>
        </is>
      </c>
      <c r="E342" s="8" t="n">
        <v>184</v>
      </c>
      <c r="F342" s="8" t="inlineStr">
        <is>
          <t>No</t>
        </is>
      </c>
      <c r="G342" s="8" t="n">
        <v>7</v>
      </c>
    </row>
    <row r="343">
      <c r="A343" s="8" t="inlineStr">
        <is>
          <t>GET</t>
        </is>
      </c>
      <c r="B343" s="8" t="inlineStr">
        <is>
          <t>/api/v1/admissions/form-versions/{id}</t>
        </is>
      </c>
      <c r="C343" s="8" t="inlineStr">
        <is>
          <t>READ</t>
        </is>
      </c>
      <c r="D343" s="8" t="inlineStr">
        <is>
          <t>worker/src/routes/admissions/forms.ts</t>
        </is>
      </c>
      <c r="E343" s="8" t="n">
        <v>224</v>
      </c>
      <c r="F343" s="8" t="inlineStr">
        <is>
          <t>No</t>
        </is>
      </c>
      <c r="G343" s="8" t="n">
        <v>7</v>
      </c>
    </row>
    <row r="344">
      <c r="A344" s="8" t="inlineStr">
        <is>
          <t>POST</t>
        </is>
      </c>
      <c r="B344" s="8" t="inlineStr">
        <is>
          <t>/api/v1/admissions/form-versions/{id}/publish</t>
        </is>
      </c>
      <c r="C344" s="8" t="inlineStr">
        <is>
          <t>WRITE</t>
        </is>
      </c>
      <c r="D344" s="8" t="inlineStr">
        <is>
          <t>worker/src/routes/admissions/forms.ts</t>
        </is>
      </c>
      <c r="E344" s="8" t="n">
        <v>230</v>
      </c>
      <c r="F344" s="8" t="inlineStr">
        <is>
          <t>No</t>
        </is>
      </c>
      <c r="G344" s="8" t="n">
        <v>7</v>
      </c>
    </row>
    <row r="345">
      <c r="A345" s="8" t="inlineStr">
        <is>
          <t>POST</t>
        </is>
      </c>
      <c r="B345" s="8" t="inlineStr">
        <is>
          <t>/api/v1/admissions/form-versions/{id}/sections</t>
        </is>
      </c>
      <c r="C345" s="8" t="inlineStr">
        <is>
          <t>WRITE</t>
        </is>
      </c>
      <c r="D345" s="8" t="inlineStr">
        <is>
          <t>worker/src/routes/admissions/forms.ts</t>
        </is>
      </c>
      <c r="E345" s="8" t="n">
        <v>253</v>
      </c>
      <c r="F345" s="8" t="inlineStr">
        <is>
          <t>No</t>
        </is>
      </c>
      <c r="G345" s="8" t="n">
        <v>7</v>
      </c>
    </row>
    <row r="346">
      <c r="A346" s="8" t="inlineStr">
        <is>
          <t>DELETE</t>
        </is>
      </c>
      <c r="B346" s="8" t="inlineStr">
        <is>
          <t>/api/v1/admissions/form-sections/{id}</t>
        </is>
      </c>
      <c r="C346" s="8" t="inlineStr">
        <is>
          <t>WRITE</t>
        </is>
      </c>
      <c r="D346" s="8" t="inlineStr">
        <is>
          <t>worker/src/routes/admissions/forms.ts</t>
        </is>
      </c>
      <c r="E346" s="8" t="n">
        <v>277</v>
      </c>
      <c r="F346" s="8" t="inlineStr">
        <is>
          <t>No</t>
        </is>
      </c>
      <c r="G346" s="8" t="n">
        <v>7</v>
      </c>
    </row>
    <row r="347">
      <c r="A347" s="8" t="inlineStr">
        <is>
          <t>POST</t>
        </is>
      </c>
      <c r="B347" s="8" t="inlineStr">
        <is>
          <t>/api/v1/admissions/form-versions/{id}/fields</t>
        </is>
      </c>
      <c r="C347" s="8" t="inlineStr">
        <is>
          <t>WRITE</t>
        </is>
      </c>
      <c r="D347" s="8" t="inlineStr">
        <is>
          <t>worker/src/routes/admissions/forms.ts</t>
        </is>
      </c>
      <c r="E347" s="8" t="n">
        <v>288</v>
      </c>
      <c r="F347" s="8" t="inlineStr">
        <is>
          <t>No</t>
        </is>
      </c>
      <c r="G347" s="8" t="n">
        <v>7</v>
      </c>
    </row>
    <row r="348">
      <c r="A348" s="8" t="inlineStr">
        <is>
          <t>DELETE</t>
        </is>
      </c>
      <c r="B348" s="8" t="inlineStr">
        <is>
          <t>/api/v1/admissions/form-fields/{id}</t>
        </is>
      </c>
      <c r="C348" s="8" t="inlineStr">
        <is>
          <t>WRITE</t>
        </is>
      </c>
      <c r="D348" s="8" t="inlineStr">
        <is>
          <t>worker/src/routes/admissions/forms.ts</t>
        </is>
      </c>
      <c r="E348" s="8" t="n">
        <v>341</v>
      </c>
      <c r="F348" s="8" t="inlineStr">
        <is>
          <t>No</t>
        </is>
      </c>
      <c r="G348" s="8" t="n">
        <v>7</v>
      </c>
    </row>
    <row r="349">
      <c r="A349" s="8" t="inlineStr">
        <is>
          <t>GET</t>
        </is>
      </c>
      <c r="B349" s="8" t="inlineStr">
        <is>
          <t>/api/v1/admissions/applications/{id}/answers</t>
        </is>
      </c>
      <c r="C349" s="8" t="inlineStr">
        <is>
          <t>READ</t>
        </is>
      </c>
      <c r="D349" s="8" t="inlineStr">
        <is>
          <t>worker/src/routes/admissions/forms.ts</t>
        </is>
      </c>
      <c r="E349" s="8" t="n">
        <v>352</v>
      </c>
      <c r="F349" s="8" t="inlineStr">
        <is>
          <t>Yes</t>
        </is>
      </c>
      <c r="G349" s="8" t="n">
        <v>7</v>
      </c>
    </row>
    <row r="350">
      <c r="A350" s="8" t="inlineStr">
        <is>
          <t>GET</t>
        </is>
      </c>
      <c r="B350" s="8" t="inlineStr">
        <is>
          <t>/api/v1/admissions/dashboard</t>
        </is>
      </c>
      <c r="C350" s="8" t="inlineStr">
        <is>
          <t>READ</t>
        </is>
      </c>
      <c r="D350" s="8" t="inlineStr">
        <is>
          <t>worker/src/routes/admissions/funnel.ts</t>
        </is>
      </c>
      <c r="E350" s="8" t="n">
        <v>20</v>
      </c>
      <c r="F350" s="8" t="inlineStr">
        <is>
          <t>Yes</t>
        </is>
      </c>
      <c r="G350" s="8" t="n">
        <v>19</v>
      </c>
    </row>
    <row r="351">
      <c r="A351" s="8" t="inlineStr">
        <is>
          <t>GET</t>
        </is>
      </c>
      <c r="B351" s="8" t="inlineStr">
        <is>
          <t>/api/v1/admissions/enquiries</t>
        </is>
      </c>
      <c r="C351" s="8" t="inlineStr">
        <is>
          <t>READ</t>
        </is>
      </c>
      <c r="D351" s="8" t="inlineStr">
        <is>
          <t>worker/src/routes/admissions/funnel.ts</t>
        </is>
      </c>
      <c r="E351" s="8" t="n">
        <v>33</v>
      </c>
      <c r="F351" s="8" t="inlineStr">
        <is>
          <t>Yes</t>
        </is>
      </c>
      <c r="G351" s="8" t="n">
        <v>19</v>
      </c>
    </row>
    <row r="352">
      <c r="A352" s="8" t="inlineStr">
        <is>
          <t>GET</t>
        </is>
      </c>
      <c r="B352" s="8" t="inlineStr">
        <is>
          <t>/api/v1/admissions/applications</t>
        </is>
      </c>
      <c r="C352" s="8" t="inlineStr">
        <is>
          <t>READ</t>
        </is>
      </c>
      <c r="D352" s="8" t="inlineStr">
        <is>
          <t>worker/src/routes/admissions/funnel.ts</t>
        </is>
      </c>
      <c r="E352" s="8" t="n">
        <v>43</v>
      </c>
      <c r="F352" s="8" t="inlineStr">
        <is>
          <t>Yes</t>
        </is>
      </c>
      <c r="G352" s="8" t="n">
        <v>19</v>
      </c>
    </row>
    <row r="353">
      <c r="A353" s="8" t="inlineStr">
        <is>
          <t>GET</t>
        </is>
      </c>
      <c r="B353" s="8" t="inlineStr">
        <is>
          <t>/api/v1/admissions/sources</t>
        </is>
      </c>
      <c r="C353" s="8" t="inlineStr">
        <is>
          <t>READ</t>
        </is>
      </c>
      <c r="D353" s="8" t="inlineStr">
        <is>
          <t>worker/src/routes/admissions/funnel.ts</t>
        </is>
      </c>
      <c r="E353" s="8" t="n">
        <v>61</v>
      </c>
      <c r="F353" s="8" t="inlineStr">
        <is>
          <t>Yes</t>
        </is>
      </c>
      <c r="G353" s="8" t="n">
        <v>19</v>
      </c>
    </row>
    <row r="354">
      <c r="A354" s="8" t="inlineStr">
        <is>
          <t>GET</t>
        </is>
      </c>
      <c r="B354" s="8" t="inlineStr">
        <is>
          <t>/api/v1/admissions/leads</t>
        </is>
      </c>
      <c r="C354" s="8" t="inlineStr">
        <is>
          <t>READ</t>
        </is>
      </c>
      <c r="D354" s="8" t="inlineStr">
        <is>
          <t>worker/src/routes/admissions/funnel.ts</t>
        </is>
      </c>
      <c r="E354" s="8" t="n">
        <v>77</v>
      </c>
      <c r="F354" s="8" t="inlineStr">
        <is>
          <t>Yes</t>
        </is>
      </c>
      <c r="G354" s="8" t="n">
        <v>19</v>
      </c>
    </row>
    <row r="355">
      <c r="A355" s="8" t="inlineStr">
        <is>
          <t>POST</t>
        </is>
      </c>
      <c r="B355" s="8" t="inlineStr">
        <is>
          <t>/api/v1/admissions/leads/assign</t>
        </is>
      </c>
      <c r="C355" s="8" t="inlineStr">
        <is>
          <t>WRITE</t>
        </is>
      </c>
      <c r="D355" s="8" t="inlineStr">
        <is>
          <t>worker/src/routes/admissions/funnel.ts</t>
        </is>
      </c>
      <c r="E355" s="8" t="n">
        <v>94</v>
      </c>
      <c r="F355" s="8" t="inlineStr">
        <is>
          <t>Yes</t>
        </is>
      </c>
      <c r="G355" s="8" t="n">
        <v>19</v>
      </c>
    </row>
    <row r="356">
      <c r="A356" s="8" t="inlineStr">
        <is>
          <t>GET</t>
        </is>
      </c>
      <c r="B356" s="8" t="inlineStr">
        <is>
          <t>/api/v1/admissions/register</t>
        </is>
      </c>
      <c r="C356" s="8" t="inlineStr">
        <is>
          <t>READ</t>
        </is>
      </c>
      <c r="D356" s="8" t="inlineStr">
        <is>
          <t>worker/src/routes/admissions/funnel.ts</t>
        </is>
      </c>
      <c r="E356" s="8" t="n">
        <v>119</v>
      </c>
      <c r="F356" s="8" t="inlineStr">
        <is>
          <t>Yes</t>
        </is>
      </c>
      <c r="G356" s="8" t="n">
        <v>19</v>
      </c>
    </row>
    <row r="357">
      <c r="A357" s="8" t="inlineStr">
        <is>
          <t>POST</t>
        </is>
      </c>
      <c r="B357" s="8" t="inlineStr">
        <is>
          <t>/api/v1/admissions/applications/patch</t>
        </is>
      </c>
      <c r="C357" s="8" t="inlineStr">
        <is>
          <t>WRITE</t>
        </is>
      </c>
      <c r="D357" s="8" t="inlineStr">
        <is>
          <t>worker/src/routes/admissions/funnel.ts</t>
        </is>
      </c>
      <c r="E357" s="8" t="n">
        <v>148</v>
      </c>
      <c r="F357" s="8" t="inlineStr">
        <is>
          <t>Yes</t>
        </is>
      </c>
      <c r="G357" s="8" t="n">
        <v>19</v>
      </c>
    </row>
    <row r="358">
      <c r="A358" s="8" t="inlineStr">
        <is>
          <t>GET</t>
        </is>
      </c>
      <c r="B358" s="8" t="inlineStr">
        <is>
          <t>/api/v1/admissions/siblings</t>
        </is>
      </c>
      <c r="C358" s="8" t="inlineStr">
        <is>
          <t>READ</t>
        </is>
      </c>
      <c r="D358" s="8" t="inlineStr">
        <is>
          <t>worker/src/routes/admissions/funnel.ts</t>
        </is>
      </c>
      <c r="E358" s="8" t="n">
        <v>208</v>
      </c>
      <c r="F358" s="8" t="inlineStr">
        <is>
          <t>No</t>
        </is>
      </c>
      <c r="G358" s="8" t="n">
        <v>19</v>
      </c>
    </row>
    <row r="359">
      <c r="A359" s="8" t="inlineStr">
        <is>
          <t>POST</t>
        </is>
      </c>
      <c r="B359" s="8" t="inlineStr">
        <is>
          <t>/api/v1/admissions/waitlist/promote</t>
        </is>
      </c>
      <c r="C359" s="8" t="inlineStr">
        <is>
          <t>WRITE</t>
        </is>
      </c>
      <c r="D359" s="8" t="inlineStr">
        <is>
          <t>worker/src/routes/admissions/funnel.ts</t>
        </is>
      </c>
      <c r="E359" s="8" t="n">
        <v>228</v>
      </c>
      <c r="F359" s="8" t="inlineStr">
        <is>
          <t>Yes</t>
        </is>
      </c>
      <c r="G359" s="8" t="n">
        <v>19</v>
      </c>
    </row>
    <row r="360">
      <c r="A360" s="8" t="inlineStr">
        <is>
          <t>GET</t>
        </is>
      </c>
      <c r="B360" s="8" t="inlineStr">
        <is>
          <t>/api/v1/admissions/sessions</t>
        </is>
      </c>
      <c r="C360" s="8" t="inlineStr">
        <is>
          <t>READ</t>
        </is>
      </c>
      <c r="D360" s="8" t="inlineStr">
        <is>
          <t>worker/src/routes/admissions/funnel.ts</t>
        </is>
      </c>
      <c r="E360" s="8" t="n">
        <v>248</v>
      </c>
      <c r="F360" s="8" t="inlineStr">
        <is>
          <t>Yes</t>
        </is>
      </c>
      <c r="G360" s="8" t="n">
        <v>19</v>
      </c>
    </row>
    <row r="361">
      <c r="A361" s="8" t="inlineStr">
        <is>
          <t>POST</t>
        </is>
      </c>
      <c r="B361" s="8" t="inlineStr">
        <is>
          <t>/api/v1/admissions/sessions</t>
        </is>
      </c>
      <c r="C361" s="8" t="inlineStr">
        <is>
          <t>WRITE</t>
        </is>
      </c>
      <c r="D361" s="8" t="inlineStr">
        <is>
          <t>worker/src/routes/admissions/funnel.ts</t>
        </is>
      </c>
      <c r="E361" s="8" t="n">
        <v>270</v>
      </c>
      <c r="F361" s="8" t="inlineStr">
        <is>
          <t>Yes</t>
        </is>
      </c>
      <c r="G361" s="8" t="n">
        <v>19</v>
      </c>
    </row>
    <row r="362">
      <c r="A362" s="8" t="inlineStr">
        <is>
          <t>PUT</t>
        </is>
      </c>
      <c r="B362" s="8" t="inlineStr">
        <is>
          <t>/api/v1/admissions/sessions/{id}</t>
        </is>
      </c>
      <c r="C362" s="8" t="inlineStr">
        <is>
          <t>WRITE</t>
        </is>
      </c>
      <c r="D362" s="8" t="inlineStr">
        <is>
          <t>worker/src/routes/admissions/funnel.ts</t>
        </is>
      </c>
      <c r="E362" s="8" t="n">
        <v>280</v>
      </c>
      <c r="F362" s="8" t="inlineStr">
        <is>
          <t>Yes</t>
        </is>
      </c>
      <c r="G362" s="8" t="n">
        <v>19</v>
      </c>
    </row>
    <row r="363">
      <c r="A363" s="8" t="inlineStr">
        <is>
          <t>DELETE</t>
        </is>
      </c>
      <c r="B363" s="8" t="inlineStr">
        <is>
          <t>/api/v1/admissions/sessions/{id}</t>
        </is>
      </c>
      <c r="C363" s="8" t="inlineStr">
        <is>
          <t>WRITE</t>
        </is>
      </c>
      <c r="D363" s="8" t="inlineStr">
        <is>
          <t>worker/src/routes/admissions/funnel.ts</t>
        </is>
      </c>
      <c r="E363" s="8" t="n">
        <v>289</v>
      </c>
      <c r="F363" s="8" t="inlineStr">
        <is>
          <t>Yes</t>
        </is>
      </c>
      <c r="G363" s="8" t="n">
        <v>19</v>
      </c>
    </row>
    <row r="364">
      <c r="A364" s="8" t="inlineStr">
        <is>
          <t>POST</t>
        </is>
      </c>
      <c r="B364" s="8" t="inlineStr">
        <is>
          <t>/api/v1/admissions/rte/import</t>
        </is>
      </c>
      <c r="C364" s="8" t="inlineStr">
        <is>
          <t>WRITE</t>
        </is>
      </c>
      <c r="D364" s="8" t="inlineStr">
        <is>
          <t>worker/src/routes/admissions/funnel.ts</t>
        </is>
      </c>
      <c r="E364" s="8" t="n">
        <v>299</v>
      </c>
      <c r="F364" s="8" t="inlineStr">
        <is>
          <t>Yes</t>
        </is>
      </c>
      <c r="G364" s="8" t="n">
        <v>19</v>
      </c>
    </row>
    <row r="365">
      <c r="A365" s="8" t="inlineStr">
        <is>
          <t>POST</t>
        </is>
      </c>
      <c r="B365" s="8" t="inlineStr">
        <is>
          <t>/api/v1/admissions/message</t>
        </is>
      </c>
      <c r="C365" s="8" t="inlineStr">
        <is>
          <t>WRITE</t>
        </is>
      </c>
      <c r="D365" s="8" t="inlineStr">
        <is>
          <t>worker/src/routes/admissions/funnel.ts</t>
        </is>
      </c>
      <c r="E365" s="8" t="n">
        <v>326</v>
      </c>
      <c r="F365" s="8" t="inlineStr">
        <is>
          <t>Yes</t>
        </is>
      </c>
      <c r="G365" s="8" t="n">
        <v>19</v>
      </c>
    </row>
    <row r="366">
      <c r="A366" s="8" t="inlineStr">
        <is>
          <t>GET</t>
        </is>
      </c>
      <c r="B366" s="8" t="inlineStr">
        <is>
          <t>/api/v1/admissions/open-days</t>
        </is>
      </c>
      <c r="C366" s="8" t="inlineStr">
        <is>
          <t>READ</t>
        </is>
      </c>
      <c r="D366" s="8" t="inlineStr">
        <is>
          <t>worker/src/routes/admissions/funnel.ts</t>
        </is>
      </c>
      <c r="E366" s="8" t="n">
        <v>372</v>
      </c>
      <c r="F366" s="8" t="inlineStr">
        <is>
          <t>Yes</t>
        </is>
      </c>
      <c r="G366" s="8" t="n">
        <v>19</v>
      </c>
    </row>
    <row r="367">
      <c r="A367" s="8" t="inlineStr">
        <is>
          <t>POST</t>
        </is>
      </c>
      <c r="B367" s="8" t="inlineStr">
        <is>
          <t>/api/v1/admissions/open-days</t>
        </is>
      </c>
      <c r="C367" s="8" t="inlineStr">
        <is>
          <t>WRITE</t>
        </is>
      </c>
      <c r="D367" s="8" t="inlineStr">
        <is>
          <t>worker/src/routes/admissions/funnel.ts</t>
        </is>
      </c>
      <c r="E367" s="8" t="n">
        <v>384</v>
      </c>
      <c r="F367" s="8" t="inlineStr">
        <is>
          <t>Yes</t>
        </is>
      </c>
      <c r="G367" s="8" t="n">
        <v>19</v>
      </c>
    </row>
    <row r="368">
      <c r="A368" s="8" t="inlineStr">
        <is>
          <t>GET</t>
        </is>
      </c>
      <c r="B368" s="8" t="inlineStr">
        <is>
          <t>/api/v1/admissions/open-days/{id}/slots</t>
        </is>
      </c>
      <c r="C368" s="8" t="inlineStr">
        <is>
          <t>READ</t>
        </is>
      </c>
      <c r="D368" s="8" t="inlineStr">
        <is>
          <t>worker/src/routes/admissions/funnel.ts</t>
        </is>
      </c>
      <c r="E368" s="8" t="n">
        <v>403</v>
      </c>
      <c r="F368" s="8" t="inlineStr">
        <is>
          <t>Yes</t>
        </is>
      </c>
      <c r="G368" s="8" t="n">
        <v>19</v>
      </c>
    </row>
    <row r="369">
      <c r="A369" s="8" t="inlineStr">
        <is>
          <t>GET</t>
        </is>
      </c>
      <c r="B369" s="8" t="inlineStr">
        <is>
          <t>/api/v1/admissions/open-days/{id}/bookings</t>
        </is>
      </c>
      <c r="C369" s="8" t="inlineStr">
        <is>
          <t>READ</t>
        </is>
      </c>
      <c r="D369" s="8" t="inlineStr">
        <is>
          <t>worker/src/routes/admissions/funnel.ts</t>
        </is>
      </c>
      <c r="E369" s="8" t="n">
        <v>413</v>
      </c>
      <c r="F369" s="8" t="inlineStr">
        <is>
          <t>Yes</t>
        </is>
      </c>
      <c r="G369" s="8" t="n">
        <v>19</v>
      </c>
    </row>
    <row r="370">
      <c r="A370" s="8" t="inlineStr">
        <is>
          <t>POST</t>
        </is>
      </c>
      <c r="B370" s="8" t="inlineStr">
        <is>
          <t>/api/v1/admissions/open-days/book</t>
        </is>
      </c>
      <c r="C370" s="8" t="inlineStr">
        <is>
          <t>WRITE</t>
        </is>
      </c>
      <c r="D370" s="8" t="inlineStr">
        <is>
          <t>worker/src/routes/admissions/funnel.ts</t>
        </is>
      </c>
      <c r="E370" s="8" t="n">
        <v>422</v>
      </c>
      <c r="F370" s="8" t="inlineStr">
        <is>
          <t>Yes</t>
        </is>
      </c>
      <c r="G370" s="8" t="n">
        <v>19</v>
      </c>
    </row>
    <row r="371">
      <c r="A371" s="8" t="inlineStr">
        <is>
          <t>GET</t>
        </is>
      </c>
      <c r="B371" s="8" t="inlineStr">
        <is>
          <t>/api/v1/admissions/prospectus</t>
        </is>
      </c>
      <c r="C371" s="8" t="inlineStr">
        <is>
          <t>READ</t>
        </is>
      </c>
      <c r="D371" s="8" t="inlineStr">
        <is>
          <t>worker/src/routes/admissions/funnel.ts</t>
        </is>
      </c>
      <c r="E371" s="8" t="n">
        <v>455</v>
      </c>
      <c r="F371" s="8" t="inlineStr">
        <is>
          <t>Yes</t>
        </is>
      </c>
      <c r="G371" s="8" t="n">
        <v>19</v>
      </c>
    </row>
    <row r="372">
      <c r="A372" s="8" t="inlineStr">
        <is>
          <t>POST</t>
        </is>
      </c>
      <c r="B372" s="8" t="inlineStr">
        <is>
          <t>/api/v1/admissions/prospectus</t>
        </is>
      </c>
      <c r="C372" s="8" t="inlineStr">
        <is>
          <t>WRITE</t>
        </is>
      </c>
      <c r="D372" s="8" t="inlineStr">
        <is>
          <t>worker/src/routes/admissions/funnel.ts</t>
        </is>
      </c>
      <c r="E372" s="8" t="n">
        <v>467</v>
      </c>
      <c r="F372" s="8" t="inlineStr">
        <is>
          <t>Yes</t>
        </is>
      </c>
      <c r="G372" s="8" t="n">
        <v>19</v>
      </c>
    </row>
    <row r="373">
      <c r="A373" s="8" t="inlineStr">
        <is>
          <t>GET</t>
        </is>
      </c>
      <c r="B373" s="8" t="inlineStr">
        <is>
          <t>/api/v1/admissions/workflow/merit</t>
        </is>
      </c>
      <c r="C373" s="8" t="inlineStr">
        <is>
          <t>READ</t>
        </is>
      </c>
      <c r="D373" s="8" t="inlineStr">
        <is>
          <t>worker/src/routes/admissions/workflow.ts</t>
        </is>
      </c>
      <c r="E373" s="8" t="n">
        <v>54</v>
      </c>
      <c r="F373" s="8" t="inlineStr">
        <is>
          <t>Yes</t>
        </is>
      </c>
      <c r="G373" s="8" t="n">
        <v>25</v>
      </c>
    </row>
    <row r="374">
      <c r="A374" s="8" t="inlineStr">
        <is>
          <t>GET</t>
        </is>
      </c>
      <c r="B374" s="8" t="inlineStr">
        <is>
          <t>/api/v1/admissions/workflow/seats</t>
        </is>
      </c>
      <c r="C374" s="8" t="inlineStr">
        <is>
          <t>READ</t>
        </is>
      </c>
      <c r="D374" s="8" t="inlineStr">
        <is>
          <t>worker/src/routes/admissions/workflow.ts</t>
        </is>
      </c>
      <c r="E374" s="8" t="n">
        <v>74</v>
      </c>
      <c r="F374" s="8" t="inlineStr">
        <is>
          <t>Yes</t>
        </is>
      </c>
      <c r="G374" s="8" t="n">
        <v>25</v>
      </c>
    </row>
    <row r="375">
      <c r="A375" s="8" t="inlineStr">
        <is>
          <t>GET</t>
        </is>
      </c>
      <c r="B375" s="8" t="inlineStr">
        <is>
          <t>/api/v1/admissions/workflow/funnel</t>
        </is>
      </c>
      <c r="C375" s="8" t="inlineStr">
        <is>
          <t>READ</t>
        </is>
      </c>
      <c r="D375" s="8" t="inlineStr">
        <is>
          <t>worker/src/routes/admissions/workflow.ts</t>
        </is>
      </c>
      <c r="E375" s="8" t="n">
        <v>94</v>
      </c>
      <c r="F375" s="8" t="inlineStr">
        <is>
          <t>Yes</t>
        </is>
      </c>
      <c r="G375" s="8" t="n">
        <v>25</v>
      </c>
    </row>
    <row r="376">
      <c r="A376" s="8" t="inlineStr">
        <is>
          <t>POST</t>
        </is>
      </c>
      <c r="B376" s="8" t="inlineStr">
        <is>
          <t>/api/v1/admissions/workflow/enquiries</t>
        </is>
      </c>
      <c r="C376" s="8" t="inlineStr">
        <is>
          <t>WRITE</t>
        </is>
      </c>
      <c r="D376" s="8" t="inlineStr">
        <is>
          <t>worker/src/routes/admissions/workflow.ts</t>
        </is>
      </c>
      <c r="E376" s="8" t="n">
        <v>104</v>
      </c>
      <c r="F376" s="8" t="inlineStr">
        <is>
          <t>Yes</t>
        </is>
      </c>
      <c r="G376" s="8" t="n">
        <v>25</v>
      </c>
    </row>
    <row r="377">
      <c r="A377" s="8" t="inlineStr">
        <is>
          <t>PUT</t>
        </is>
      </c>
      <c r="B377" s="8" t="inlineStr">
        <is>
          <t>/api/v1/admissions/workflow/enquiries/{id}</t>
        </is>
      </c>
      <c r="C377" s="8" t="inlineStr">
        <is>
          <t>WRITE</t>
        </is>
      </c>
      <c r="D377" s="8" t="inlineStr">
        <is>
          <t>worker/src/routes/admissions/workflow.ts</t>
        </is>
      </c>
      <c r="E377" s="8" t="n">
        <v>140</v>
      </c>
      <c r="F377" s="8" t="inlineStr">
        <is>
          <t>Yes</t>
        </is>
      </c>
      <c r="G377" s="8" t="n">
        <v>25</v>
      </c>
    </row>
    <row r="378">
      <c r="A378" s="8" t="inlineStr">
        <is>
          <t>POST</t>
        </is>
      </c>
      <c r="B378" s="8" t="inlineStr">
        <is>
          <t>/api/v1/admissions/workflow/applicant-messages</t>
        </is>
      </c>
      <c r="C378" s="8" t="inlineStr">
        <is>
          <t>WRITE</t>
        </is>
      </c>
      <c r="D378" s="8" t="inlineStr">
        <is>
          <t>worker/src/routes/admissions/workflow.ts</t>
        </is>
      </c>
      <c r="E378" s="8" t="n">
        <v>181</v>
      </c>
      <c r="F378" s="8" t="inlineStr">
        <is>
          <t>Yes</t>
        </is>
      </c>
      <c r="G378" s="8" t="n">
        <v>25</v>
      </c>
    </row>
    <row r="379">
      <c r="A379" s="8" t="inlineStr">
        <is>
          <t>GET</t>
        </is>
      </c>
      <c r="B379" s="8" t="inlineStr">
        <is>
          <t>/api/v1/admissions/workflow/applications/{id}/fees</t>
        </is>
      </c>
      <c r="C379" s="8" t="inlineStr">
        <is>
          <t>READ</t>
        </is>
      </c>
      <c r="D379" s="8" t="inlineStr">
        <is>
          <t>worker/src/routes/admissions/workflow.ts</t>
        </is>
      </c>
      <c r="E379" s="8" t="n">
        <v>215</v>
      </c>
      <c r="F379" s="8" t="inlineStr">
        <is>
          <t>Yes</t>
        </is>
      </c>
      <c r="G379" s="8" t="n">
        <v>25</v>
      </c>
    </row>
    <row r="380">
      <c r="A380" s="8" t="inlineStr">
        <is>
          <t>GET</t>
        </is>
      </c>
      <c r="B380" s="8" t="inlineStr">
        <is>
          <t>/api/v1/admissions/workflow/applications/{id}/documents</t>
        </is>
      </c>
      <c r="C380" s="8" t="inlineStr">
        <is>
          <t>READ</t>
        </is>
      </c>
      <c r="D380" s="8" t="inlineStr">
        <is>
          <t>worker/src/routes/admissions/workflow.ts</t>
        </is>
      </c>
      <c r="E380" s="8" t="n">
        <v>244</v>
      </c>
      <c r="F380" s="8" t="inlineStr">
        <is>
          <t>Yes</t>
        </is>
      </c>
      <c r="G380" s="8" t="n">
        <v>25</v>
      </c>
    </row>
    <row r="381">
      <c r="A381" s="8" t="inlineStr">
        <is>
          <t>POST</t>
        </is>
      </c>
      <c r="B381" s="8" t="inlineStr">
        <is>
          <t>/api/v1/admissions/workflow/applications/{id}/documents/{docID}</t>
        </is>
      </c>
      <c r="C381" s="8" t="inlineStr">
        <is>
          <t>WRITE</t>
        </is>
      </c>
      <c r="D381" s="8" t="inlineStr">
        <is>
          <t>worker/src/routes/admissions/workflow.ts</t>
        </is>
      </c>
      <c r="E381" s="8" t="n">
        <v>261</v>
      </c>
      <c r="F381" s="8" t="inlineStr">
        <is>
          <t>Yes</t>
        </is>
      </c>
      <c r="G381" s="8" t="n">
        <v>25</v>
      </c>
    </row>
    <row r="382">
      <c r="A382" s="8" t="inlineStr">
        <is>
          <t>GET</t>
        </is>
      </c>
      <c r="B382" s="8" t="inlineStr">
        <is>
          <t>/api/v1/admissions/workflow/stages</t>
        </is>
      </c>
      <c r="C382" s="8" t="inlineStr">
        <is>
          <t>READ</t>
        </is>
      </c>
      <c r="D382" s="8" t="inlineStr">
        <is>
          <t>worker/src/routes/admissions/workflow.ts</t>
        </is>
      </c>
      <c r="E382" s="8" t="n">
        <v>275</v>
      </c>
      <c r="F382" s="8" t="inlineStr">
        <is>
          <t>Yes</t>
        </is>
      </c>
      <c r="G382" s="8" t="n">
        <v>25</v>
      </c>
    </row>
    <row r="383">
      <c r="A383" s="8" t="inlineStr">
        <is>
          <t>PUT</t>
        </is>
      </c>
      <c r="B383" s="8" t="inlineStr">
        <is>
          <t>/api/v1/admissions/workflow/stages</t>
        </is>
      </c>
      <c r="C383" s="8" t="inlineStr">
        <is>
          <t>WRITE</t>
        </is>
      </c>
      <c r="D383" s="8" t="inlineStr">
        <is>
          <t>worker/src/routes/admissions/workflow.ts</t>
        </is>
      </c>
      <c r="E383" s="8" t="n">
        <v>280</v>
      </c>
      <c r="F383" s="8" t="inlineStr">
        <is>
          <t>Yes</t>
        </is>
      </c>
      <c r="G383" s="8" t="n">
        <v>25</v>
      </c>
    </row>
    <row r="384">
      <c r="A384" s="8" t="inlineStr">
        <is>
          <t>POST</t>
        </is>
      </c>
      <c r="B384" s="8" t="inlineStr">
        <is>
          <t>/api/v1/admissions/workflow/applications</t>
        </is>
      </c>
      <c r="C384" s="8" t="inlineStr">
        <is>
          <t>WRITE</t>
        </is>
      </c>
      <c r="D384" s="8" t="inlineStr">
        <is>
          <t>worker/src/routes/admissions/workflow.ts</t>
        </is>
      </c>
      <c r="E384" s="8" t="n">
        <v>287</v>
      </c>
      <c r="F384" s="8" t="inlineStr">
        <is>
          <t>Yes</t>
        </is>
      </c>
      <c r="G384" s="8" t="n">
        <v>25</v>
      </c>
    </row>
    <row r="385">
      <c r="A385" s="8" t="inlineStr">
        <is>
          <t>POST</t>
        </is>
      </c>
      <c r="B385" s="8" t="inlineStr">
        <is>
          <t>/api/v1/admissions/workflow/applications/{id}/assessment</t>
        </is>
      </c>
      <c r="C385" s="8" t="inlineStr">
        <is>
          <t>WRITE</t>
        </is>
      </c>
      <c r="D385" s="8" t="inlineStr">
        <is>
          <t>worker/src/routes/admissions/workflow.ts</t>
        </is>
      </c>
      <c r="E385" s="8" t="n">
        <v>343</v>
      </c>
      <c r="F385" s="8" t="inlineStr">
        <is>
          <t>Yes</t>
        </is>
      </c>
      <c r="G385" s="8" t="n">
        <v>25</v>
      </c>
    </row>
    <row r="386">
      <c r="A386" s="8" t="inlineStr">
        <is>
          <t>POST</t>
        </is>
      </c>
      <c r="B386" s="8" t="inlineStr">
        <is>
          <t>/api/v1/admissions/workflow/applications/{id}/decision</t>
        </is>
      </c>
      <c r="C386" s="8" t="inlineStr">
        <is>
          <t>WRITE</t>
        </is>
      </c>
      <c r="D386" s="8" t="inlineStr">
        <is>
          <t>worker/src/routes/admissions/workflow.ts</t>
        </is>
      </c>
      <c r="E386" s="8" t="n">
        <v>355</v>
      </c>
      <c r="F386" s="8" t="inlineStr">
        <is>
          <t>Yes</t>
        </is>
      </c>
      <c r="G386" s="8" t="n">
        <v>25</v>
      </c>
    </row>
    <row r="387">
      <c r="A387" s="8" t="inlineStr">
        <is>
          <t>GET</t>
        </is>
      </c>
      <c r="B387" s="8" t="inlineStr">
        <is>
          <t>/api/v1/admissions/workflow/pending-admissions</t>
        </is>
      </c>
      <c r="C387" s="8" t="inlineStr">
        <is>
          <t>READ</t>
        </is>
      </c>
      <c r="D387" s="8" t="inlineStr">
        <is>
          <t>worker/src/routes/admissions/workflow.ts</t>
        </is>
      </c>
      <c r="E387" s="8" t="n">
        <v>397</v>
      </c>
      <c r="F387" s="8" t="inlineStr">
        <is>
          <t>Yes</t>
        </is>
      </c>
      <c r="G387" s="8" t="n">
        <v>25</v>
      </c>
    </row>
    <row r="388">
      <c r="A388" s="8" t="inlineStr">
        <is>
          <t>POST</t>
        </is>
      </c>
      <c r="B388" s="8" t="inlineStr">
        <is>
          <t>/api/v1/admissions/workflow/pending-admissions/{id}/decide</t>
        </is>
      </c>
      <c r="C388" s="8" t="inlineStr">
        <is>
          <t>admissions.approve</t>
        </is>
      </c>
      <c r="D388" s="8" t="inlineStr">
        <is>
          <t>worker/src/routes/admissions/workflow.ts</t>
        </is>
      </c>
      <c r="E388" s="8" t="n">
        <v>414</v>
      </c>
      <c r="F388" s="8" t="inlineStr">
        <is>
          <t>Yes</t>
        </is>
      </c>
      <c r="G388" s="8" t="n">
        <v>25</v>
      </c>
    </row>
    <row r="389">
      <c r="A389" s="8" t="inlineStr">
        <is>
          <t>GET</t>
        </is>
      </c>
      <c r="B389" s="8" t="inlineStr">
        <is>
          <t>/api/v1/admissions/workflow/admission-approval</t>
        </is>
      </c>
      <c r="C389" s="8" t="inlineStr">
        <is>
          <t>institution.settings.write</t>
        </is>
      </c>
      <c r="D389" s="8" t="inlineStr">
        <is>
          <t>worker/src/routes/admissions/workflow.ts</t>
        </is>
      </c>
      <c r="E389" s="8" t="n">
        <v>427</v>
      </c>
      <c r="F389" s="8" t="inlineStr">
        <is>
          <t>No</t>
        </is>
      </c>
      <c r="G389" s="8" t="n">
        <v>25</v>
      </c>
    </row>
    <row r="390">
      <c r="A390" s="8" t="inlineStr">
        <is>
          <t>PUT</t>
        </is>
      </c>
      <c r="B390" s="8" t="inlineStr">
        <is>
          <t>/api/v1/admissions/workflow/admission-approval</t>
        </is>
      </c>
      <c r="C390" s="8" t="inlineStr">
        <is>
          <t>institution.settings.write</t>
        </is>
      </c>
      <c r="D390" s="8" t="inlineStr">
        <is>
          <t>worker/src/routes/admissions/workflow.ts</t>
        </is>
      </c>
      <c r="E390" s="8" t="n">
        <v>429</v>
      </c>
      <c r="F390" s="8" t="inlineStr">
        <is>
          <t>No</t>
        </is>
      </c>
      <c r="G390" s="8" t="n">
        <v>25</v>
      </c>
    </row>
    <row r="391">
      <c r="A391" s="8" t="inlineStr">
        <is>
          <t>POST</t>
        </is>
      </c>
      <c r="B391" s="8" t="inlineStr">
        <is>
          <t>/api/v1/admissions/workflow/applications/{id}/enrol</t>
        </is>
      </c>
      <c r="C391" s="8" t="inlineStr">
        <is>
          <t>students.write</t>
        </is>
      </c>
      <c r="D391" s="8" t="inlineStr">
        <is>
          <t>worker/src/routes/admissions/workflow.ts</t>
        </is>
      </c>
      <c r="E391" s="8" t="n">
        <v>436</v>
      </c>
      <c r="F391" s="8" t="inlineStr">
        <is>
          <t>Yes</t>
        </is>
      </c>
      <c r="G391" s="8" t="n">
        <v>25</v>
      </c>
    </row>
    <row r="392">
      <c r="A392" s="8" t="inlineStr">
        <is>
          <t>GET</t>
        </is>
      </c>
      <c r="B392" s="8" t="inlineStr">
        <is>
          <t>/api/v1/ai/briefs/principal</t>
        </is>
      </c>
      <c r="C392" s="8" t="inlineStr">
        <is>
          <t>auth</t>
        </is>
      </c>
      <c r="D392" s="8" t="inlineStr">
        <is>
          <t>worker/src/routes/ai/briefs.ts</t>
        </is>
      </c>
      <c r="E392" s="8" t="n">
        <v>33</v>
      </c>
      <c r="F392" s="8" t="inlineStr">
        <is>
          <t>Yes</t>
        </is>
      </c>
      <c r="G392" s="8" t="n">
        <v>2</v>
      </c>
    </row>
    <row r="393">
      <c r="A393" s="8" t="inlineStr">
        <is>
          <t>POST</t>
        </is>
      </c>
      <c r="B393" s="8" t="inlineStr">
        <is>
          <t>/api/v1/ai/briefs/principal</t>
        </is>
      </c>
      <c r="C393" s="8" t="inlineStr">
        <is>
          <t>auth</t>
        </is>
      </c>
      <c r="D393" s="8" t="inlineStr">
        <is>
          <t>worker/src/routes/ai/briefs.ts</t>
        </is>
      </c>
      <c r="E393" s="8" t="n">
        <v>40</v>
      </c>
      <c r="F393" s="8" t="inlineStr">
        <is>
          <t>Yes</t>
        </is>
      </c>
      <c r="G393" s="8" t="n">
        <v>2</v>
      </c>
    </row>
    <row r="394">
      <c r="A394" s="8" t="inlineStr">
        <is>
          <t>GET</t>
        </is>
      </c>
      <c r="B394" s="8" t="inlineStr">
        <is>
          <t>/api/v1/ai/briefs/student/{id}</t>
        </is>
      </c>
      <c r="C394" s="8" t="inlineStr">
        <is>
          <t>auth</t>
        </is>
      </c>
      <c r="D394" s="8" t="inlineStr">
        <is>
          <t>worker/src/routes/ai/briefs.ts</t>
        </is>
      </c>
      <c r="E394" s="8" t="n">
        <v>47</v>
      </c>
      <c r="F394" s="8" t="inlineStr">
        <is>
          <t>Yes</t>
        </is>
      </c>
      <c r="G394" s="8" t="n">
        <v>2</v>
      </c>
    </row>
    <row r="395">
      <c r="A395" s="8" t="inlineStr">
        <is>
          <t>POST</t>
        </is>
      </c>
      <c r="B395" s="8" t="inlineStr">
        <is>
          <t>/api/v1/ai/briefs/student/{id}</t>
        </is>
      </c>
      <c r="C395" s="8" t="inlineStr">
        <is>
          <t>auth</t>
        </is>
      </c>
      <c r="D395" s="8" t="inlineStr">
        <is>
          <t>worker/src/routes/ai/briefs.ts</t>
        </is>
      </c>
      <c r="E395" s="8" t="n">
        <v>53</v>
      </c>
      <c r="F395" s="8" t="inlineStr">
        <is>
          <t>Yes</t>
        </is>
      </c>
      <c r="G395" s="8" t="n">
        <v>2</v>
      </c>
    </row>
    <row r="396">
      <c r="A396" s="8" t="inlineStr">
        <is>
          <t>GET</t>
        </is>
      </c>
      <c r="B396" s="8" t="inlineStr">
        <is>
          <t>/api/v1/portal/ai/weekly</t>
        </is>
      </c>
      <c r="C396" s="8" t="inlineStr">
        <is>
          <t>self.profile.read</t>
        </is>
      </c>
      <c r="D396" s="8" t="inlineStr">
        <is>
          <t>worker/src/routes/ai/briefs.ts</t>
        </is>
      </c>
      <c r="E396" s="8" t="n">
        <v>61</v>
      </c>
      <c r="F396" s="8" t="inlineStr">
        <is>
          <t>Yes</t>
        </is>
      </c>
      <c r="G396" s="8" t="n">
        <v>2</v>
      </c>
    </row>
    <row r="397">
      <c r="A397" s="8" t="inlineStr">
        <is>
          <t>GET</t>
        </is>
      </c>
      <c r="B397" s="8" t="inlineStr">
        <is>
          <t>/api/v1/ai/settings</t>
        </is>
      </c>
      <c r="C397" s="8" t="inlineStr">
        <is>
          <t>institution.read</t>
        </is>
      </c>
      <c r="D397" s="8" t="inlineStr">
        <is>
          <t>worker/src/routes/ai/briefs.ts</t>
        </is>
      </c>
      <c r="E397" s="8" t="n">
        <v>69</v>
      </c>
      <c r="F397" s="8" t="inlineStr">
        <is>
          <t>No</t>
        </is>
      </c>
      <c r="G397" s="8" t="n">
        <v>2</v>
      </c>
    </row>
    <row r="398">
      <c r="A398" s="8" t="inlineStr">
        <is>
          <t>PUT</t>
        </is>
      </c>
      <c r="B398" s="8" t="inlineStr">
        <is>
          <t>/api/v1/ai/settings</t>
        </is>
      </c>
      <c r="C398" s="8" t="inlineStr">
        <is>
          <t>institution.settings.write</t>
        </is>
      </c>
      <c r="D398" s="8" t="inlineStr">
        <is>
          <t>worker/src/routes/ai/briefs.ts</t>
        </is>
      </c>
      <c r="E398" s="8" t="n">
        <v>73</v>
      </c>
      <c r="F398" s="8" t="inlineStr">
        <is>
          <t>No</t>
        </is>
      </c>
      <c r="G398" s="8" t="n">
        <v>2</v>
      </c>
    </row>
    <row r="399">
      <c r="A399" s="8" t="inlineStr">
        <is>
          <t>GET</t>
        </is>
      </c>
      <c r="B399" s="8" t="inlineStr">
        <is>
          <t>/api/v1/ai/status</t>
        </is>
      </c>
      <c r="C399" s="8" t="inlineStr">
        <is>
          <t>auth</t>
        </is>
      </c>
      <c r="D399" s="8" t="inlineStr">
        <is>
          <t>worker/src/routes/ai/drafting.ts</t>
        </is>
      </c>
      <c r="E399" s="8" t="n">
        <v>231</v>
      </c>
      <c r="F399" s="8" t="inlineStr">
        <is>
          <t>Yes</t>
        </is>
      </c>
      <c r="G399" s="8" t="n">
        <v>12</v>
      </c>
    </row>
    <row r="400">
      <c r="A400" s="8" t="inlineStr">
        <is>
          <t>POST</t>
        </is>
      </c>
      <c r="B400" s="8" t="inlineStr">
        <is>
          <t>/api/v1/ai/draft</t>
        </is>
      </c>
      <c r="C400" s="8" t="inlineStr">
        <is>
          <t>auth</t>
        </is>
      </c>
      <c r="D400" s="8" t="inlineStr">
        <is>
          <t>worker/src/routes/ai/drafting.ts</t>
        </is>
      </c>
      <c r="E400" s="8" t="n">
        <v>232</v>
      </c>
      <c r="F400" s="8" t="inlineStr">
        <is>
          <t>Yes</t>
        </is>
      </c>
      <c r="G400" s="8" t="n">
        <v>12</v>
      </c>
    </row>
    <row r="401">
      <c r="A401" s="8" t="inlineStr">
        <is>
          <t>POST</t>
        </is>
      </c>
      <c r="B401" s="8" t="inlineStr">
        <is>
          <t>/api/v1/ai/translate</t>
        </is>
      </c>
      <c r="C401" s="8" t="inlineStr">
        <is>
          <t>auth</t>
        </is>
      </c>
      <c r="D401" s="8" t="inlineStr">
        <is>
          <t>worker/src/routes/ai/drafting.ts</t>
        </is>
      </c>
      <c r="E401" s="8" t="n">
        <v>233</v>
      </c>
      <c r="F401" s="8" t="inlineStr">
        <is>
          <t>Yes</t>
        </is>
      </c>
      <c r="G401" s="8" t="n">
        <v>12</v>
      </c>
    </row>
    <row r="402">
      <c r="A402" s="8" t="inlineStr">
        <is>
          <t>GET</t>
        </is>
      </c>
      <c r="B402" s="8" t="inlineStr">
        <is>
          <t>/api/v1/ai/import/kinds</t>
        </is>
      </c>
      <c r="C402" s="8" t="inlineStr">
        <is>
          <t>auth</t>
        </is>
      </c>
      <c r="D402" s="8" t="inlineStr">
        <is>
          <t>worker/src/routes/ai/import.ts</t>
        </is>
      </c>
      <c r="E402" s="8" t="n">
        <v>176</v>
      </c>
      <c r="F402" s="8" t="inlineStr">
        <is>
          <t>No</t>
        </is>
      </c>
      <c r="G402" s="8" t="n">
        <v>1</v>
      </c>
    </row>
    <row r="403">
      <c r="A403" s="8" t="inlineStr">
        <is>
          <t>POST</t>
        </is>
      </c>
      <c r="B403" s="8" t="inlineStr">
        <is>
          <t>/api/v1/ai/import/analyze</t>
        </is>
      </c>
      <c r="C403" s="8" t="inlineStr">
        <is>
          <t>auth</t>
        </is>
      </c>
      <c r="D403" s="8" t="inlineStr">
        <is>
          <t>worker/src/routes/ai/import.ts</t>
        </is>
      </c>
      <c r="E403" s="8" t="n">
        <v>177</v>
      </c>
      <c r="F403" s="8" t="inlineStr">
        <is>
          <t>Yes</t>
        </is>
      </c>
      <c r="G403" s="8" t="n">
        <v>1</v>
      </c>
    </row>
    <row r="404">
      <c r="A404" s="8" t="inlineStr">
        <is>
          <t>POST</t>
        </is>
      </c>
      <c r="B404" s="8" t="inlineStr">
        <is>
          <t>/api/v1/ai/import/propose</t>
        </is>
      </c>
      <c r="C404" s="8" t="inlineStr">
        <is>
          <t>auth</t>
        </is>
      </c>
      <c r="D404" s="8" t="inlineStr">
        <is>
          <t>worker/src/routes/ai/import.ts</t>
        </is>
      </c>
      <c r="E404" s="8" t="n">
        <v>178</v>
      </c>
      <c r="F404" s="8" t="inlineStr">
        <is>
          <t>Yes</t>
        </is>
      </c>
      <c r="G404" s="8" t="n">
        <v>1</v>
      </c>
    </row>
    <row r="405">
      <c r="A405" s="8" t="inlineStr">
        <is>
          <t>POST</t>
        </is>
      </c>
      <c r="B405" s="8" t="inlineStr">
        <is>
          <t>/api/v1/ai/import/preview</t>
        </is>
      </c>
      <c r="C405" s="8" t="inlineStr">
        <is>
          <t>auth</t>
        </is>
      </c>
      <c r="D405" s="8" t="inlineStr">
        <is>
          <t>worker/src/routes/ai/import.ts</t>
        </is>
      </c>
      <c r="E405" s="8" t="n">
        <v>179</v>
      </c>
      <c r="F405" s="8" t="inlineStr">
        <is>
          <t>Yes</t>
        </is>
      </c>
      <c r="G405" s="8" t="n">
        <v>1</v>
      </c>
    </row>
    <row r="406">
      <c r="A406" s="8" t="inlineStr">
        <is>
          <t>POST</t>
        </is>
      </c>
      <c r="B406" s="8" t="inlineStr">
        <is>
          <t>/api/v1/ai/import/commit</t>
        </is>
      </c>
      <c r="C406" s="8" t="inlineStr">
        <is>
          <t>auth</t>
        </is>
      </c>
      <c r="D406" s="8" t="inlineStr">
        <is>
          <t>worker/src/routes/ai/import.ts</t>
        </is>
      </c>
      <c r="E406" s="8" t="n">
        <v>180</v>
      </c>
      <c r="F406" s="8" t="inlineStr">
        <is>
          <t>Yes</t>
        </is>
      </c>
      <c r="G406" s="8" t="n">
        <v>1</v>
      </c>
    </row>
    <row r="407">
      <c r="A407" s="8" t="inlineStr">
        <is>
          <t>GET</t>
        </is>
      </c>
      <c r="B407" s="8" t="inlineStr">
        <is>
          <t>/api/v1/ai/warnings</t>
        </is>
      </c>
      <c r="C407" s="8" t="inlineStr">
        <is>
          <t>auth</t>
        </is>
      </c>
      <c r="D407" s="8" t="inlineStr">
        <is>
          <t>worker/src/routes/ai/warnings.ts</t>
        </is>
      </c>
      <c r="E407" s="8" t="n">
        <v>49</v>
      </c>
      <c r="F407" s="8" t="inlineStr">
        <is>
          <t>Yes</t>
        </is>
      </c>
      <c r="G407" s="8" t="n">
        <v>5</v>
      </c>
    </row>
    <row r="408">
      <c r="A408" s="8" t="inlineStr">
        <is>
          <t>GET</t>
        </is>
      </c>
      <c r="B408" s="8" t="inlineStr">
        <is>
          <t>/api/v1/ai/warnings/student/{id}</t>
        </is>
      </c>
      <c r="C408" s="8" t="inlineStr">
        <is>
          <t>auth</t>
        </is>
      </c>
      <c r="D408" s="8" t="inlineStr">
        <is>
          <t>worker/src/routes/ai/warnings.ts</t>
        </is>
      </c>
      <c r="E408" s="8" t="n">
        <v>71</v>
      </c>
      <c r="F408" s="8" t="inlineStr">
        <is>
          <t>Yes</t>
        </is>
      </c>
      <c r="G408" s="8" t="n">
        <v>5</v>
      </c>
    </row>
    <row r="409">
      <c r="A409" s="8" t="inlineStr">
        <is>
          <t>GET</t>
        </is>
      </c>
      <c r="B409" s="8" t="inlineStr">
        <is>
          <t>/api/v1/ai/warnings/digest</t>
        </is>
      </c>
      <c r="C409" s="8" t="inlineStr">
        <is>
          <t>auth</t>
        </is>
      </c>
      <c r="D409" s="8" t="inlineStr">
        <is>
          <t>worker/src/routes/ai/warnings.ts</t>
        </is>
      </c>
      <c r="E409" s="8" t="n">
        <v>80</v>
      </c>
      <c r="F409" s="8" t="inlineStr">
        <is>
          <t>Yes</t>
        </is>
      </c>
      <c r="G409" s="8" t="n">
        <v>5</v>
      </c>
    </row>
    <row r="410">
      <c r="A410" s="8" t="inlineStr">
        <is>
          <t>POST</t>
        </is>
      </c>
      <c r="B410" s="8" t="inlineStr">
        <is>
          <t>/api/v1/ai/warnings/{id}/status</t>
        </is>
      </c>
      <c r="C410" s="8" t="inlineStr">
        <is>
          <t>auth</t>
        </is>
      </c>
      <c r="D410" s="8" t="inlineStr">
        <is>
          <t>worker/src/routes/ai/warnings.ts</t>
        </is>
      </c>
      <c r="E410" s="8" t="n">
        <v>86</v>
      </c>
      <c r="F410" s="8" t="inlineStr">
        <is>
          <t>Yes</t>
        </is>
      </c>
      <c r="G410" s="8" t="n">
        <v>5</v>
      </c>
    </row>
    <row r="411">
      <c r="A411" s="8" t="inlineStr">
        <is>
          <t>POST</t>
        </is>
      </c>
      <c r="B411" s="8" t="inlineStr">
        <is>
          <t>/api/v1/ai/warnings/{id}/dismiss</t>
        </is>
      </c>
      <c r="C411" s="8" t="inlineStr">
        <is>
          <t>auth</t>
        </is>
      </c>
      <c r="D411" s="8" t="inlineStr">
        <is>
          <t>worker/src/routes/ai/warnings.ts</t>
        </is>
      </c>
      <c r="E411" s="8" t="n">
        <v>103</v>
      </c>
      <c r="F411" s="8" t="inlineStr">
        <is>
          <t>Yes</t>
        </is>
      </c>
      <c r="G411" s="8" t="n">
        <v>5</v>
      </c>
    </row>
    <row r="412">
      <c r="A412" s="8" t="inlineStr">
        <is>
          <t>DELETE</t>
        </is>
      </c>
      <c r="B412" s="8" t="inlineStr">
        <is>
          <t>/api/v1/ai/warnings/{id}/dismiss</t>
        </is>
      </c>
      <c r="C412" s="8" t="inlineStr">
        <is>
          <t>auth</t>
        </is>
      </c>
      <c r="D412" s="8" t="inlineStr">
        <is>
          <t>worker/src/routes/ai/warnings.ts</t>
        </is>
      </c>
      <c r="E412" s="8" t="n">
        <v>112</v>
      </c>
      <c r="F412" s="8" t="inlineStr">
        <is>
          <t>Yes</t>
        </is>
      </c>
      <c r="G412" s="8" t="n">
        <v>5</v>
      </c>
    </row>
    <row r="413">
      <c r="A413" s="8" t="inlineStr">
        <is>
          <t>POST</t>
        </is>
      </c>
      <c r="B413" s="8" t="inlineStr">
        <is>
          <t>/api/v1/ai/warnings/dismiss-all</t>
        </is>
      </c>
      <c r="C413" s="8" t="inlineStr">
        <is>
          <t>auth</t>
        </is>
      </c>
      <c r="D413" s="8" t="inlineStr">
        <is>
          <t>worker/src/routes/ai/warnings.ts</t>
        </is>
      </c>
      <c r="E413" s="8" t="n">
        <v>119</v>
      </c>
      <c r="F413" s="8" t="inlineStr">
        <is>
          <t>Yes</t>
        </is>
      </c>
      <c r="G413" s="8" t="n">
        <v>5</v>
      </c>
    </row>
    <row r="414">
      <c r="A414" s="8" t="inlineStr">
        <is>
          <t>POST</t>
        </is>
      </c>
      <c r="B414" s="8" t="inlineStr">
        <is>
          <t>/api/v1/ai/warnings/undismiss</t>
        </is>
      </c>
      <c r="C414" s="8" t="inlineStr">
        <is>
          <t>auth</t>
        </is>
      </c>
      <c r="D414" s="8" t="inlineStr">
        <is>
          <t>worker/src/routes/ai/warnings.ts</t>
        </is>
      </c>
      <c r="E414" s="8" t="n">
        <v>131</v>
      </c>
      <c r="F414" s="8" t="inlineStr">
        <is>
          <t>Yes</t>
        </is>
      </c>
      <c r="G414" s="8" t="n">
        <v>5</v>
      </c>
    </row>
    <row r="415">
      <c r="A415" s="8" t="inlineStr">
        <is>
          <t>POST</t>
        </is>
      </c>
      <c r="B415" s="8" t="inlineStr">
        <is>
          <t>/api/v1/ai/warnings/run</t>
        </is>
      </c>
      <c r="C415" s="8" t="inlineStr">
        <is>
          <t>students.read.all</t>
        </is>
      </c>
      <c r="D415" s="8" t="inlineStr">
        <is>
          <t>worker/src/routes/ai/warnings.ts</t>
        </is>
      </c>
      <c r="E415" s="8" t="n">
        <v>140</v>
      </c>
      <c r="F415" s="8" t="inlineStr">
        <is>
          <t>Yes</t>
        </is>
      </c>
      <c r="G415" s="8" t="n">
        <v>5</v>
      </c>
    </row>
    <row r="416">
      <c r="A416" s="8" t="inlineStr">
        <is>
          <t>GET</t>
        </is>
      </c>
      <c r="B416" s="8" t="inlineStr">
        <is>
          <t>/api/v1/exams/board/registrations</t>
        </is>
      </c>
      <c r="C416" s="8" t="inlineStr">
        <is>
          <t>STUDENTS_READ_ALL</t>
        </is>
      </c>
      <c r="D416" s="8" t="inlineStr">
        <is>
          <t>worker/src/routes/board_exams.ts</t>
        </is>
      </c>
      <c r="E416" s="8" t="n">
        <v>47</v>
      </c>
      <c r="F416" s="8" t="inlineStr">
        <is>
          <t>Yes</t>
        </is>
      </c>
      <c r="G416" s="8" t="n">
        <v>25</v>
      </c>
    </row>
    <row r="417">
      <c r="A417" s="8" t="inlineStr">
        <is>
          <t>GET</t>
        </is>
      </c>
      <c r="B417" s="8" t="inlineStr">
        <is>
          <t>/api/v1/exams/board/eligible</t>
        </is>
      </c>
      <c r="C417" s="8" t="inlineStr">
        <is>
          <t>STUDENTS_READ_ALL</t>
        </is>
      </c>
      <c r="D417" s="8" t="inlineStr">
        <is>
          <t>worker/src/routes/board_exams.ts</t>
        </is>
      </c>
      <c r="E417" s="8" t="n">
        <v>48</v>
      </c>
      <c r="F417" s="8" t="inlineStr">
        <is>
          <t>Yes</t>
        </is>
      </c>
      <c r="G417" s="8" t="n">
        <v>25</v>
      </c>
    </row>
    <row r="418">
      <c r="A418" s="8" t="inlineStr">
        <is>
          <t>POST</t>
        </is>
      </c>
      <c r="B418" s="8" t="inlineStr">
        <is>
          <t>/api/v1/exams/board/registrations</t>
        </is>
      </c>
      <c r="C418" s="8" t="inlineStr">
        <is>
          <t>EXAMS_WRITE</t>
        </is>
      </c>
      <c r="D418" s="8" t="inlineStr">
        <is>
          <t>worker/src/routes/board_exams.ts</t>
        </is>
      </c>
      <c r="E418" s="8" t="n">
        <v>49</v>
      </c>
      <c r="F418" s="8" t="inlineStr">
        <is>
          <t>Yes</t>
        </is>
      </c>
      <c r="G418" s="8" t="n">
        <v>25</v>
      </c>
    </row>
    <row r="419">
      <c r="A419" s="8" t="inlineStr">
        <is>
          <t>PUT</t>
        </is>
      </c>
      <c r="B419" s="8" t="inlineStr">
        <is>
          <t>/api/v1/exams/board/registrations/{id}</t>
        </is>
      </c>
      <c r="C419" s="8" t="inlineStr">
        <is>
          <t>EXAMS_WRITE</t>
        </is>
      </c>
      <c r="D419" s="8" t="inlineStr">
        <is>
          <t>worker/src/routes/board_exams.ts</t>
        </is>
      </c>
      <c r="E419" s="8" t="n">
        <v>50</v>
      </c>
      <c r="F419" s="8" t="inlineStr">
        <is>
          <t>Yes</t>
        </is>
      </c>
      <c r="G419" s="8" t="n">
        <v>25</v>
      </c>
    </row>
    <row r="420">
      <c r="A420" s="8" t="inlineStr">
        <is>
          <t>POST</t>
        </is>
      </c>
      <c r="B420" s="8" t="inlineStr">
        <is>
          <t>/api/v1/exams/board/registrations/{id}/verify</t>
        </is>
      </c>
      <c r="C420" s="8" t="inlineStr">
        <is>
          <t>EXAMS_WRITE</t>
        </is>
      </c>
      <c r="D420" s="8" t="inlineStr">
        <is>
          <t>worker/src/routes/board_exams.ts</t>
        </is>
      </c>
      <c r="E420" s="8" t="n">
        <v>51</v>
      </c>
      <c r="F420" s="8" t="inlineStr">
        <is>
          <t>Yes</t>
        </is>
      </c>
      <c r="G420" s="8" t="n">
        <v>25</v>
      </c>
    </row>
    <row r="421">
      <c r="A421" s="8" t="inlineStr">
        <is>
          <t>POST</t>
        </is>
      </c>
      <c r="B421" s="8" t="inlineStr">
        <is>
          <t>/api/v1/exams/board/submit</t>
        </is>
      </c>
      <c r="C421" s="8" t="inlineStr">
        <is>
          <t>EXAMS_WRITE</t>
        </is>
      </c>
      <c r="D421" s="8" t="inlineStr">
        <is>
          <t>worker/src/routes/board_exams.ts</t>
        </is>
      </c>
      <c r="E421" s="8" t="n">
        <v>52</v>
      </c>
      <c r="F421" s="8" t="inlineStr">
        <is>
          <t>Yes</t>
        </is>
      </c>
      <c r="G421" s="8" t="n">
        <v>25</v>
      </c>
    </row>
    <row r="422">
      <c r="A422" s="8" t="inlineStr">
        <is>
          <t>POST</t>
        </is>
      </c>
      <c r="B422" s="8" t="inlineStr">
        <is>
          <t>/api/v1/exams/board/registrations/{id}/board-response</t>
        </is>
      </c>
      <c r="C422" s="8" t="inlineStr">
        <is>
          <t>EXAMS_WRITE</t>
        </is>
      </c>
      <c r="D422" s="8" t="inlineStr">
        <is>
          <t>worker/src/routes/board_exams.ts</t>
        </is>
      </c>
      <c r="E422" s="8" t="n">
        <v>53</v>
      </c>
      <c r="F422" s="8" t="inlineStr">
        <is>
          <t>Yes</t>
        </is>
      </c>
      <c r="G422" s="8" t="n">
        <v>25</v>
      </c>
    </row>
    <row r="423">
      <c r="A423" s="8" t="inlineStr">
        <is>
          <t>GET</t>
        </is>
      </c>
      <c r="B423" s="8" t="inlineStr">
        <is>
          <t>/api/v1/exams/board/amendments</t>
        </is>
      </c>
      <c r="C423" s="8" t="inlineStr">
        <is>
          <t>STUDENTS_READ_ALL</t>
        </is>
      </c>
      <c r="D423" s="8" t="inlineStr">
        <is>
          <t>worker/src/routes/board_exams.ts</t>
        </is>
      </c>
      <c r="E423" s="8" t="n">
        <v>55</v>
      </c>
      <c r="F423" s="8" t="inlineStr">
        <is>
          <t>Yes</t>
        </is>
      </c>
      <c r="G423" s="8" t="n">
        <v>25</v>
      </c>
    </row>
    <row r="424">
      <c r="A424" s="8" t="inlineStr">
        <is>
          <t>POST</t>
        </is>
      </c>
      <c r="B424" s="8" t="inlineStr">
        <is>
          <t>/api/v1/exams/board/registrations/{id}/amendments</t>
        </is>
      </c>
      <c r="C424" s="8" t="inlineStr">
        <is>
          <t>EXAMS_WRITE</t>
        </is>
      </c>
      <c r="D424" s="8" t="inlineStr">
        <is>
          <t>worker/src/routes/board_exams.ts</t>
        </is>
      </c>
      <c r="E424" s="8" t="n">
        <v>56</v>
      </c>
      <c r="F424" s="8" t="inlineStr">
        <is>
          <t>Yes</t>
        </is>
      </c>
      <c r="G424" s="8" t="n">
        <v>25</v>
      </c>
    </row>
    <row r="425">
      <c r="A425" s="8" t="inlineStr">
        <is>
          <t>POST</t>
        </is>
      </c>
      <c r="B425" s="8" t="inlineStr">
        <is>
          <t>/api/v1/exams/board/amendments/{id}/decide</t>
        </is>
      </c>
      <c r="C425" s="8" t="inlineStr">
        <is>
          <t>EXAMS_WRITE</t>
        </is>
      </c>
      <c r="D425" s="8" t="inlineStr">
        <is>
          <t>worker/src/routes/board_exams.ts</t>
        </is>
      </c>
      <c r="E425" s="8" t="n">
        <v>57</v>
      </c>
      <c r="F425" s="8" t="inlineStr">
        <is>
          <t>Yes</t>
        </is>
      </c>
      <c r="G425" s="8" t="n">
        <v>25</v>
      </c>
    </row>
    <row r="426">
      <c r="A426" s="8" t="inlineStr">
        <is>
          <t>GET</t>
        </is>
      </c>
      <c r="B426" s="8" t="inlineStr">
        <is>
          <t>/api/v1/exams/board/results/imports</t>
        </is>
      </c>
      <c r="C426" s="8" t="inlineStr">
        <is>
          <t>STUDENTS_READ_ALL</t>
        </is>
      </c>
      <c r="D426" s="8" t="inlineStr">
        <is>
          <t>worker/src/routes/board_exams.ts</t>
        </is>
      </c>
      <c r="E426" s="8" t="n">
        <v>59</v>
      </c>
      <c r="F426" s="8" t="inlineStr">
        <is>
          <t>Yes</t>
        </is>
      </c>
      <c r="G426" s="8" t="n">
        <v>25</v>
      </c>
    </row>
    <row r="427">
      <c r="A427" s="8" t="inlineStr">
        <is>
          <t>GET</t>
        </is>
      </c>
      <c r="B427" s="8" t="inlineStr">
        <is>
          <t>/api/v1/exams/board/results/reconciliation</t>
        </is>
      </c>
      <c r="C427" s="8" t="inlineStr">
        <is>
          <t>STUDENTS_READ_ALL</t>
        </is>
      </c>
      <c r="D427" s="8" t="inlineStr">
        <is>
          <t>worker/src/routes/board_exams.ts</t>
        </is>
      </c>
      <c r="E427" s="8" t="n">
        <v>60</v>
      </c>
      <c r="F427" s="8" t="inlineStr">
        <is>
          <t>Yes</t>
        </is>
      </c>
      <c r="G427" s="8" t="n">
        <v>25</v>
      </c>
    </row>
    <row r="428">
      <c r="A428" s="8" t="inlineStr">
        <is>
          <t>POST</t>
        </is>
      </c>
      <c r="B428" s="8" t="inlineStr">
        <is>
          <t>/api/v1/exams/board/results/import</t>
        </is>
      </c>
      <c r="C428" s="8" t="inlineStr">
        <is>
          <t>EXAMS_WRITE</t>
        </is>
      </c>
      <c r="D428" s="8" t="inlineStr">
        <is>
          <t>worker/src/routes/board_exams.ts</t>
        </is>
      </c>
      <c r="E428" s="8" t="n">
        <v>61</v>
      </c>
      <c r="F428" s="8" t="inlineStr">
        <is>
          <t>Yes</t>
        </is>
      </c>
      <c r="G428" s="8" t="n">
        <v>25</v>
      </c>
    </row>
    <row r="429">
      <c r="A429" s="8" t="inlineStr">
        <is>
          <t>POST</t>
        </is>
      </c>
      <c r="B429" s="8" t="inlineStr">
        <is>
          <t>/api/v1/exams/board/results/rows/{id}/match</t>
        </is>
      </c>
      <c r="C429" s="8" t="inlineStr">
        <is>
          <t>EXAMS_WRITE</t>
        </is>
      </c>
      <c r="D429" s="8" t="inlineStr">
        <is>
          <t>worker/src/routes/board_exams.ts</t>
        </is>
      </c>
      <c r="E429" s="8" t="n">
        <v>62</v>
      </c>
      <c r="F429" s="8" t="inlineStr">
        <is>
          <t>Yes</t>
        </is>
      </c>
      <c r="G429" s="8" t="n">
        <v>25</v>
      </c>
    </row>
    <row r="430">
      <c r="A430" s="8" t="inlineStr">
        <is>
          <t>POST</t>
        </is>
      </c>
      <c r="B430" s="8" t="inlineStr">
        <is>
          <t>/api/v1/exams/board/results/imports/{id}/publish</t>
        </is>
      </c>
      <c r="C430" s="8" t="inlineStr">
        <is>
          <t>EXAMS_WRITE</t>
        </is>
      </c>
      <c r="D430" s="8" t="inlineStr">
        <is>
          <t>worker/src/routes/board_exams.ts</t>
        </is>
      </c>
      <c r="E430" s="8" t="n">
        <v>63</v>
      </c>
      <c r="F430" s="8" t="inlineStr">
        <is>
          <t>Yes</t>
        </is>
      </c>
      <c r="G430" s="8" t="n">
        <v>25</v>
      </c>
    </row>
    <row r="431">
      <c r="A431" s="8" t="inlineStr">
        <is>
          <t>GET</t>
        </is>
      </c>
      <c r="B431" s="8" t="inlineStr">
        <is>
          <t>/api/v1/exams/board/analysis/baseline</t>
        </is>
      </c>
      <c r="C431" s="8" t="inlineStr">
        <is>
          <t>REPORTS_READ</t>
        </is>
      </c>
      <c r="D431" s="8" t="inlineStr">
        <is>
          <t>worker/src/routes/board_exams.ts</t>
        </is>
      </c>
      <c r="E431" s="8" t="n">
        <v>65</v>
      </c>
      <c r="F431" s="8" t="inlineStr">
        <is>
          <t>Yes</t>
        </is>
      </c>
      <c r="G431" s="8" t="n">
        <v>25</v>
      </c>
    </row>
    <row r="432">
      <c r="A432" s="8" t="inlineStr">
        <is>
          <t>GET</t>
        </is>
      </c>
      <c r="B432" s="8" t="inlineStr">
        <is>
          <t>/api/v1/exams/board/performance</t>
        </is>
      </c>
      <c r="C432" s="8" t="inlineStr">
        <is>
          <t>REPORTS_READ</t>
        </is>
      </c>
      <c r="D432" s="8" t="inlineStr">
        <is>
          <t>worker/src/routes/board_exams.ts</t>
        </is>
      </c>
      <c r="E432" s="8" t="n">
        <v>66</v>
      </c>
      <c r="F432" s="8" t="inlineStr">
        <is>
          <t>Yes</t>
        </is>
      </c>
      <c r="G432" s="8" t="n">
        <v>25</v>
      </c>
    </row>
    <row r="433">
      <c r="A433" s="8" t="inlineStr">
        <is>
          <t>GET</t>
        </is>
      </c>
      <c r="B433" s="8" t="inlineStr">
        <is>
          <t>/api/v1/me/calendar</t>
        </is>
      </c>
      <c r="C433" s="8" t="inlineStr">
        <is>
          <t>SELF_READ</t>
        </is>
      </c>
      <c r="D433" s="8" t="inlineStr">
        <is>
          <t>worker/src/routes/board_exams.ts</t>
        </is>
      </c>
      <c r="E433" s="8" t="n">
        <v>68</v>
      </c>
      <c r="F433" s="8" t="inlineStr">
        <is>
          <t>Yes</t>
        </is>
      </c>
      <c r="G433" s="8" t="n">
        <v>25</v>
      </c>
    </row>
    <row r="434">
      <c r="A434" s="8" t="inlineStr">
        <is>
          <t>GET</t>
        </is>
      </c>
      <c r="B434" s="8" t="inlineStr">
        <is>
          <t>/api/v1/classroom/attendance/batches</t>
        </is>
      </c>
      <c r="C434" s="8" t="inlineStr">
        <is>
          <t>OPEN</t>
        </is>
      </c>
      <c r="D434" s="8" t="inlineStr">
        <is>
          <t>worker/src/routes/comms/capture.ts</t>
        </is>
      </c>
      <c r="E434" s="8" t="n">
        <v>263</v>
      </c>
      <c r="F434" s="8" t="inlineStr">
        <is>
          <t>No</t>
        </is>
      </c>
      <c r="G434" s="8" t="n">
        <v>10</v>
      </c>
    </row>
    <row r="435">
      <c r="A435" s="8" t="inlineStr">
        <is>
          <t>GET</t>
        </is>
      </c>
      <c r="B435" s="8" t="inlineStr">
        <is>
          <t>/api/v1/classroom/attendance/conflicts</t>
        </is>
      </c>
      <c r="C435" s="8" t="inlineStr">
        <is>
          <t>OPEN</t>
        </is>
      </c>
      <c r="D435" s="8" t="inlineStr">
        <is>
          <t>worker/src/routes/comms/capture.ts</t>
        </is>
      </c>
      <c r="E435" s="8" t="n">
        <v>264</v>
      </c>
      <c r="F435" s="8" t="inlineStr">
        <is>
          <t>Yes</t>
        </is>
      </c>
      <c r="G435" s="8" t="n">
        <v>10</v>
      </c>
    </row>
    <row r="436">
      <c r="A436" s="8" t="inlineStr">
        <is>
          <t>POST</t>
        </is>
      </c>
      <c r="B436" s="8" t="inlineStr">
        <is>
          <t>/api/v1/classroom/attendance/capture</t>
        </is>
      </c>
      <c r="C436" s="8" t="inlineStr">
        <is>
          <t>OPEN</t>
        </is>
      </c>
      <c r="D436" s="8" t="inlineStr">
        <is>
          <t>worker/src/routes/comms/capture.ts</t>
        </is>
      </c>
      <c r="E436" s="8" t="n">
        <v>265</v>
      </c>
      <c r="F436" s="8" t="inlineStr">
        <is>
          <t>Yes</t>
        </is>
      </c>
      <c r="G436" s="8" t="n">
        <v>10</v>
      </c>
    </row>
    <row r="437">
      <c r="A437" s="8" t="inlineStr">
        <is>
          <t>POST</t>
        </is>
      </c>
      <c r="B437" s="8" t="inlineStr">
        <is>
          <t>/api/v1/classroom/attendance/conflicts/{id}/resolve</t>
        </is>
      </c>
      <c r="C437" s="8" t="inlineStr">
        <is>
          <t>OPEN</t>
        </is>
      </c>
      <c r="D437" s="8" t="inlineStr">
        <is>
          <t>worker/src/routes/comms/capture.ts</t>
        </is>
      </c>
      <c r="E437" s="8" t="n">
        <v>266</v>
      </c>
      <c r="F437" s="8" t="inlineStr">
        <is>
          <t>Yes</t>
        </is>
      </c>
      <c r="G437" s="8" t="n">
        <v>10</v>
      </c>
    </row>
    <row r="438">
      <c r="A438" s="8" t="inlineStr">
        <is>
          <t>GET</t>
        </is>
      </c>
      <c r="B438" s="8" t="inlineStr">
        <is>
          <t>/api/v1/classroom/diary</t>
        </is>
      </c>
      <c r="C438" s="8" t="inlineStr">
        <is>
          <t>OPEN</t>
        </is>
      </c>
      <c r="D438" s="8" t="inlineStr">
        <is>
          <t>worker/src/routes/comms/capture.ts</t>
        </is>
      </c>
      <c r="E438" s="8" t="n">
        <v>267</v>
      </c>
      <c r="F438" s="8" t="inlineStr">
        <is>
          <t>Yes</t>
        </is>
      </c>
      <c r="G438" s="8" t="n">
        <v>10</v>
      </c>
    </row>
    <row r="439">
      <c r="A439" s="8" t="inlineStr">
        <is>
          <t>POST</t>
        </is>
      </c>
      <c r="B439" s="8" t="inlineStr">
        <is>
          <t>/api/v1/classroom/diary</t>
        </is>
      </c>
      <c r="C439" s="8" t="inlineStr">
        <is>
          <t>OPEN</t>
        </is>
      </c>
      <c r="D439" s="8" t="inlineStr">
        <is>
          <t>worker/src/routes/comms/capture.ts</t>
        </is>
      </c>
      <c r="E439" s="8" t="n">
        <v>268</v>
      </c>
      <c r="F439" s="8" t="inlineStr">
        <is>
          <t>Yes</t>
        </is>
      </c>
      <c r="G439" s="8" t="n">
        <v>10</v>
      </c>
    </row>
    <row r="440">
      <c r="A440" s="8" t="inlineStr">
        <is>
          <t>GET</t>
        </is>
      </c>
      <c r="B440" s="8" t="inlineStr">
        <is>
          <t>/api/v1/status/feed</t>
        </is>
      </c>
      <c r="C440" s="8" t="inlineStr">
        <is>
          <t>auth</t>
        </is>
      </c>
      <c r="D440" s="8" t="inlineStr">
        <is>
          <t>worker/src/routes/comms/class_status.ts</t>
        </is>
      </c>
      <c r="E440" s="8" t="n">
        <v>332</v>
      </c>
      <c r="F440" s="8" t="inlineStr">
        <is>
          <t>Yes</t>
        </is>
      </c>
      <c r="G440" s="8" t="n">
        <v>17</v>
      </c>
    </row>
    <row r="441">
      <c r="A441" s="8" t="inlineStr">
        <is>
          <t>GET</t>
        </is>
      </c>
      <c r="B441" s="8" t="inlineStr">
        <is>
          <t>/api/v1/status/unseen</t>
        </is>
      </c>
      <c r="C441" s="8" t="inlineStr">
        <is>
          <t>auth</t>
        </is>
      </c>
      <c r="D441" s="8" t="inlineStr">
        <is>
          <t>worker/src/routes/comms/class_status.ts</t>
        </is>
      </c>
      <c r="E441" s="8" t="n">
        <v>379</v>
      </c>
      <c r="F441" s="8" t="inlineStr">
        <is>
          <t>No</t>
        </is>
      </c>
      <c r="G441" s="8" t="n">
        <v>17</v>
      </c>
    </row>
    <row r="442">
      <c r="A442" s="8" t="inlineStr">
        <is>
          <t>GET</t>
        </is>
      </c>
      <c r="B442" s="8" t="inlineStr">
        <is>
          <t>/api/v1/status/audiences</t>
        </is>
      </c>
      <c r="C442" s="8" t="inlineStr">
        <is>
          <t>auth</t>
        </is>
      </c>
      <c r="D442" s="8" t="inlineStr">
        <is>
          <t>worker/src/routes/comms/class_status.ts</t>
        </is>
      </c>
      <c r="E442" s="8" t="n">
        <v>391</v>
      </c>
      <c r="F442" s="8" t="inlineStr">
        <is>
          <t>Yes</t>
        </is>
      </c>
      <c r="G442" s="8" t="n">
        <v>17</v>
      </c>
    </row>
    <row r="443">
      <c r="A443" s="8" t="inlineStr">
        <is>
          <t>POST</t>
        </is>
      </c>
      <c r="B443" s="8" t="inlineStr">
        <is>
          <t>/api/v1/status/posts</t>
        </is>
      </c>
      <c r="C443" s="8" t="inlineStr">
        <is>
          <t>auth</t>
        </is>
      </c>
      <c r="D443" s="8" t="inlineStr">
        <is>
          <t>worker/src/routes/comms/class_status.ts</t>
        </is>
      </c>
      <c r="E443" s="8" t="n">
        <v>413</v>
      </c>
      <c r="F443" s="8" t="inlineStr">
        <is>
          <t>Yes</t>
        </is>
      </c>
      <c r="G443" s="8" t="n">
        <v>17</v>
      </c>
    </row>
    <row r="444">
      <c r="A444" s="8" t="inlineStr">
        <is>
          <t>POST</t>
        </is>
      </c>
      <c r="B444" s="8" t="inlineStr">
        <is>
          <t>/api/v1/status/consent-check</t>
        </is>
      </c>
      <c r="C444" s="8" t="inlineStr">
        <is>
          <t>auth</t>
        </is>
      </c>
      <c r="D444" s="8" t="inlineStr">
        <is>
          <t>worker/src/routes/comms/class_status.ts</t>
        </is>
      </c>
      <c r="E444" s="8" t="n">
        <v>479</v>
      </c>
      <c r="F444" s="8" t="inlineStr">
        <is>
          <t>No</t>
        </is>
      </c>
      <c r="G444" s="8" t="n">
        <v>17</v>
      </c>
    </row>
    <row r="445">
      <c r="A445" s="8" t="inlineStr">
        <is>
          <t>GET</t>
        </is>
      </c>
      <c r="B445" s="8" t="inlineStr">
        <is>
          <t>/api/v1/status/mine</t>
        </is>
      </c>
      <c r="C445" s="8" t="inlineStr">
        <is>
          <t>auth</t>
        </is>
      </c>
      <c r="D445" s="8" t="inlineStr">
        <is>
          <t>worker/src/routes/comms/class_status.ts</t>
        </is>
      </c>
      <c r="E445" s="8" t="n">
        <v>485</v>
      </c>
      <c r="F445" s="8" t="inlineStr">
        <is>
          <t>Yes</t>
        </is>
      </c>
      <c r="G445" s="8" t="n">
        <v>17</v>
      </c>
    </row>
    <row r="446">
      <c r="A446" s="8" t="inlineStr">
        <is>
          <t>GET</t>
        </is>
      </c>
      <c r="B446" s="8" t="inlineStr">
        <is>
          <t>/api/v1/status/posts/{id}/views</t>
        </is>
      </c>
      <c r="C446" s="8" t="inlineStr">
        <is>
          <t>auth</t>
        </is>
      </c>
      <c r="D446" s="8" t="inlineStr">
        <is>
          <t>worker/src/routes/comms/class_status.ts</t>
        </is>
      </c>
      <c r="E446" s="8" t="n">
        <v>497</v>
      </c>
      <c r="F446" s="8" t="inlineStr">
        <is>
          <t>Yes</t>
        </is>
      </c>
      <c r="G446" s="8" t="n">
        <v>17</v>
      </c>
    </row>
    <row r="447">
      <c r="A447" s="8" t="inlineStr">
        <is>
          <t>POST</t>
        </is>
      </c>
      <c r="B447" s="8" t="inlineStr">
        <is>
          <t>/api/v1/status/posts/{id}/view</t>
        </is>
      </c>
      <c r="C447" s="8" t="inlineStr">
        <is>
          <t>auth</t>
        </is>
      </c>
      <c r="D447" s="8" t="inlineStr">
        <is>
          <t>worker/src/routes/comms/class_status.ts</t>
        </is>
      </c>
      <c r="E447" s="8" t="n">
        <v>509</v>
      </c>
      <c r="F447" s="8" t="inlineStr">
        <is>
          <t>Yes</t>
        </is>
      </c>
      <c r="G447" s="8" t="n">
        <v>17</v>
      </c>
    </row>
    <row r="448">
      <c r="A448" s="8" t="inlineStr">
        <is>
          <t>GET</t>
        </is>
      </c>
      <c r="B448" s="8" t="inlineStr">
        <is>
          <t>/api/v1/status/posts/{id}/media</t>
        </is>
      </c>
      <c r="C448" s="8" t="inlineStr">
        <is>
          <t>auth</t>
        </is>
      </c>
      <c r="D448" s="8" t="inlineStr">
        <is>
          <t>worker/src/routes/comms/class_status.ts</t>
        </is>
      </c>
      <c r="E448" s="8" t="n">
        <v>534</v>
      </c>
      <c r="F448" s="8" t="inlineStr">
        <is>
          <t>Yes</t>
        </is>
      </c>
      <c r="G448" s="8" t="n">
        <v>17</v>
      </c>
    </row>
    <row r="449">
      <c r="A449" s="8" t="inlineStr">
        <is>
          <t>GET</t>
        </is>
      </c>
      <c r="B449" s="8" t="inlineStr">
        <is>
          <t>/api/v1/status/posts/{id}/thumb</t>
        </is>
      </c>
      <c r="C449" s="8" t="inlineStr">
        <is>
          <t>auth</t>
        </is>
      </c>
      <c r="D449" s="8" t="inlineStr">
        <is>
          <t>worker/src/routes/comms/class_status.ts</t>
        </is>
      </c>
      <c r="E449" s="8" t="n">
        <v>544</v>
      </c>
      <c r="F449" s="8" t="inlineStr">
        <is>
          <t>Yes</t>
        </is>
      </c>
      <c r="G449" s="8" t="n">
        <v>17</v>
      </c>
    </row>
    <row r="450">
      <c r="A450" s="8" t="inlineStr">
        <is>
          <t>POST</t>
        </is>
      </c>
      <c r="B450" s="8" t="inlineStr">
        <is>
          <t>/api/v1/status/posts/{id}/pin</t>
        </is>
      </c>
      <c r="C450" s="8" t="inlineStr">
        <is>
          <t>auth</t>
        </is>
      </c>
      <c r="D450" s="8" t="inlineStr">
        <is>
          <t>worker/src/routes/comms/class_status.ts</t>
        </is>
      </c>
      <c r="E450" s="8" t="n">
        <v>559</v>
      </c>
      <c r="F450" s="8" t="inlineStr">
        <is>
          <t>Yes</t>
        </is>
      </c>
      <c r="G450" s="8" t="n">
        <v>17</v>
      </c>
    </row>
    <row r="451">
      <c r="A451" s="8" t="inlineStr">
        <is>
          <t>DELETE</t>
        </is>
      </c>
      <c r="B451" s="8" t="inlineStr">
        <is>
          <t>/api/v1/status/posts/{id}</t>
        </is>
      </c>
      <c r="C451" s="8" t="inlineStr">
        <is>
          <t>auth</t>
        </is>
      </c>
      <c r="D451" s="8" t="inlineStr">
        <is>
          <t>worker/src/routes/comms/class_status.ts</t>
        </is>
      </c>
      <c r="E451" s="8" t="n">
        <v>567</v>
      </c>
      <c r="F451" s="8" t="inlineStr">
        <is>
          <t>Yes</t>
        </is>
      </c>
      <c r="G451" s="8" t="n">
        <v>17</v>
      </c>
    </row>
    <row r="452">
      <c r="A452" s="8" t="inlineStr">
        <is>
          <t>GET</t>
        </is>
      </c>
      <c r="B452" s="8" t="inlineStr">
        <is>
          <t>/api/v1/status/admin/posts</t>
        </is>
      </c>
      <c r="C452" s="8" t="inlineStr">
        <is>
          <t>MANAGE</t>
        </is>
      </c>
      <c r="D452" s="8" t="inlineStr">
        <is>
          <t>worker/src/routes/comms/class_status.ts</t>
        </is>
      </c>
      <c r="E452" s="8" t="n">
        <v>576</v>
      </c>
      <c r="F452" s="8" t="inlineStr">
        <is>
          <t>Yes</t>
        </is>
      </c>
      <c r="G452" s="8" t="n">
        <v>17</v>
      </c>
    </row>
    <row r="453">
      <c r="A453" s="8" t="inlineStr">
        <is>
          <t>POST</t>
        </is>
      </c>
      <c r="B453" s="8" t="inlineStr">
        <is>
          <t>/api/v1/status/posts/{id}/approve</t>
        </is>
      </c>
      <c r="C453" s="8" t="inlineStr">
        <is>
          <t>MANAGE</t>
        </is>
      </c>
      <c r="D453" s="8" t="inlineStr">
        <is>
          <t>worker/src/routes/comms/class_status.ts</t>
        </is>
      </c>
      <c r="E453" s="8" t="n">
        <v>611</v>
      </c>
      <c r="F453" s="8" t="inlineStr">
        <is>
          <t>Yes</t>
        </is>
      </c>
      <c r="G453" s="8" t="n">
        <v>17</v>
      </c>
    </row>
    <row r="454">
      <c r="A454" s="8" t="inlineStr">
        <is>
          <t>POST</t>
        </is>
      </c>
      <c r="B454" s="8" t="inlineStr">
        <is>
          <t>/api/v1/status/posts/{id}/reject</t>
        </is>
      </c>
      <c r="C454" s="8" t="inlineStr">
        <is>
          <t>MANAGE</t>
        </is>
      </c>
      <c r="D454" s="8" t="inlineStr">
        <is>
          <t>worker/src/routes/comms/class_status.ts</t>
        </is>
      </c>
      <c r="E454" s="8" t="n">
        <v>620</v>
      </c>
      <c r="F454" s="8" t="inlineStr">
        <is>
          <t>Yes</t>
        </is>
      </c>
      <c r="G454" s="8" t="n">
        <v>17</v>
      </c>
    </row>
    <row r="455">
      <c r="A455" s="8" t="inlineStr">
        <is>
          <t>GET</t>
        </is>
      </c>
      <c r="B455" s="8" t="inlineStr">
        <is>
          <t>/api/v1/status/summary</t>
        </is>
      </c>
      <c r="C455" s="8" t="inlineStr">
        <is>
          <t>MANAGE</t>
        </is>
      </c>
      <c r="D455" s="8" t="inlineStr">
        <is>
          <t>worker/src/routes/comms/class_status.ts</t>
        </is>
      </c>
      <c r="E455" s="8" t="n">
        <v>631</v>
      </c>
      <c r="F455" s="8" t="inlineStr">
        <is>
          <t>No</t>
        </is>
      </c>
      <c r="G455" s="8" t="n">
        <v>17</v>
      </c>
    </row>
    <row r="456">
      <c r="A456" s="8" t="inlineStr">
        <is>
          <t>GET</t>
        </is>
      </c>
      <c r="B456" s="8" t="inlineStr">
        <is>
          <t>/api/v1/status/settings</t>
        </is>
      </c>
      <c r="C456" s="8" t="inlineStr">
        <is>
          <t>MANAGE</t>
        </is>
      </c>
      <c r="D456" s="8" t="inlineStr">
        <is>
          <t>worker/src/routes/comms/class_status.ts</t>
        </is>
      </c>
      <c r="E456" s="8" t="n">
        <v>633</v>
      </c>
      <c r="F456" s="8" t="inlineStr">
        <is>
          <t>Yes</t>
        </is>
      </c>
      <c r="G456" s="8" t="n">
        <v>17</v>
      </c>
    </row>
    <row r="457">
      <c r="A457" s="8" t="inlineStr">
        <is>
          <t>PUT</t>
        </is>
      </c>
      <c r="B457" s="8" t="inlineStr">
        <is>
          <t>/api/v1/status/settings</t>
        </is>
      </c>
      <c r="C457" s="8" t="inlineStr">
        <is>
          <t>MANAGE</t>
        </is>
      </c>
      <c r="D457" s="8" t="inlineStr">
        <is>
          <t>worker/src/routes/comms/class_status.ts</t>
        </is>
      </c>
      <c r="E457" s="8" t="n">
        <v>635</v>
      </c>
      <c r="F457" s="8" t="inlineStr">
        <is>
          <t>Yes</t>
        </is>
      </c>
      <c r="G457" s="8" t="n">
        <v>17</v>
      </c>
    </row>
    <row r="458">
      <c r="A458" s="8" t="inlineStr">
        <is>
          <t>GET</t>
        </is>
      </c>
      <c r="B458" s="8" t="inlineStr">
        <is>
          <t>/api/v1/classroom/languages/options</t>
        </is>
      </c>
      <c r="C458" s="8" t="inlineStr">
        <is>
          <t>OPEN</t>
        </is>
      </c>
      <c r="D458" s="8" t="inlineStr">
        <is>
          <t>worker/src/routes/comms/classroom.ts</t>
        </is>
      </c>
      <c r="E458" s="8" t="n">
        <v>433</v>
      </c>
      <c r="F458" s="8" t="inlineStr">
        <is>
          <t>Yes</t>
        </is>
      </c>
      <c r="G458" s="8" t="n">
        <v>16</v>
      </c>
    </row>
    <row r="459">
      <c r="A459" s="8" t="inlineStr">
        <is>
          <t>POST</t>
        </is>
      </c>
      <c r="B459" s="8" t="inlineStr">
        <is>
          <t>/api/v1/classroom/languages/options</t>
        </is>
      </c>
      <c r="C459" s="8" t="inlineStr">
        <is>
          <t>OPEN</t>
        </is>
      </c>
      <c r="D459" s="8" t="inlineStr">
        <is>
          <t>worker/src/routes/comms/classroom.ts</t>
        </is>
      </c>
      <c r="E459" s="8" t="n">
        <v>434</v>
      </c>
      <c r="F459" s="8" t="inlineStr">
        <is>
          <t>Yes</t>
        </is>
      </c>
      <c r="G459" s="8" t="n">
        <v>16</v>
      </c>
    </row>
    <row r="460">
      <c r="A460" s="8" t="inlineStr">
        <is>
          <t>DELETE</t>
        </is>
      </c>
      <c r="B460" s="8" t="inlineStr">
        <is>
          <t>/api/v1/classroom/languages/options/{id}</t>
        </is>
      </c>
      <c r="C460" s="8" t="inlineStr">
        <is>
          <t>OPEN</t>
        </is>
      </c>
      <c r="D460" s="8" t="inlineStr">
        <is>
          <t>worker/src/routes/comms/classroom.ts</t>
        </is>
      </c>
      <c r="E460" s="8" t="n">
        <v>435</v>
      </c>
      <c r="F460" s="8" t="inlineStr">
        <is>
          <t>Yes</t>
        </is>
      </c>
      <c r="G460" s="8" t="n">
        <v>16</v>
      </c>
    </row>
    <row r="461">
      <c r="A461" s="8" t="inlineStr">
        <is>
          <t>GET</t>
        </is>
      </c>
      <c r="B461" s="8" t="inlineStr">
        <is>
          <t>/api/v1/classroom/languages/elections</t>
        </is>
      </c>
      <c r="C461" s="8" t="inlineStr">
        <is>
          <t>OPEN</t>
        </is>
      </c>
      <c r="D461" s="8" t="inlineStr">
        <is>
          <t>worker/src/routes/comms/classroom.ts</t>
        </is>
      </c>
      <c r="E461" s="8" t="n">
        <v>436</v>
      </c>
      <c r="F461" s="8" t="inlineStr">
        <is>
          <t>Yes</t>
        </is>
      </c>
      <c r="G461" s="8" t="n">
        <v>16</v>
      </c>
    </row>
    <row r="462">
      <c r="A462" s="8" t="inlineStr">
        <is>
          <t>POST</t>
        </is>
      </c>
      <c r="B462" s="8" t="inlineStr">
        <is>
          <t>/api/v1/classroom/languages/elections</t>
        </is>
      </c>
      <c r="C462" s="8" t="inlineStr">
        <is>
          <t>OPEN</t>
        </is>
      </c>
      <c r="D462" s="8" t="inlineStr">
        <is>
          <t>worker/src/routes/comms/classroom.ts</t>
        </is>
      </c>
      <c r="E462" s="8" t="n">
        <v>437</v>
      </c>
      <c r="F462" s="8" t="inlineStr">
        <is>
          <t>Yes</t>
        </is>
      </c>
      <c r="G462" s="8" t="n">
        <v>16</v>
      </c>
    </row>
    <row r="463">
      <c r="A463" s="8" t="inlineStr">
        <is>
          <t>GET</t>
        </is>
      </c>
      <c r="B463" s="8" t="inlineStr">
        <is>
          <t>/api/v1/classroom/languages/allocation</t>
        </is>
      </c>
      <c r="C463" s="8" t="inlineStr">
        <is>
          <t>OPEN</t>
        </is>
      </c>
      <c r="D463" s="8" t="inlineStr">
        <is>
          <t>worker/src/routes/comms/classroom.ts</t>
        </is>
      </c>
      <c r="E463" s="8" t="n">
        <v>438</v>
      </c>
      <c r="F463" s="8" t="inlineStr">
        <is>
          <t>Yes</t>
        </is>
      </c>
      <c r="G463" s="8" t="n">
        <v>16</v>
      </c>
    </row>
    <row r="464">
      <c r="A464" s="8" t="inlineStr">
        <is>
          <t>POST</t>
        </is>
      </c>
      <c r="B464" s="8" t="inlineStr">
        <is>
          <t>/api/v1/classroom/portfolio/curations</t>
        </is>
      </c>
      <c r="C464" s="8" t="inlineStr">
        <is>
          <t>OPEN</t>
        </is>
      </c>
      <c r="D464" s="8" t="inlineStr">
        <is>
          <t>worker/src/routes/comms/classroom.ts</t>
        </is>
      </c>
      <c r="E464" s="8" t="n">
        <v>440</v>
      </c>
      <c r="F464" s="8" t="inlineStr">
        <is>
          <t>Yes</t>
        </is>
      </c>
      <c r="G464" s="8" t="n">
        <v>16</v>
      </c>
    </row>
    <row r="465">
      <c r="A465" s="8" t="inlineStr">
        <is>
          <t>GET</t>
        </is>
      </c>
      <c r="B465" s="8" t="inlineStr">
        <is>
          <t>/api/v1/classroom/portfolio/{studentID}</t>
        </is>
      </c>
      <c r="C465" s="8" t="inlineStr">
        <is>
          <t>OPEN</t>
        </is>
      </c>
      <c r="D465" s="8" t="inlineStr">
        <is>
          <t>worker/src/routes/comms/classroom.ts</t>
        </is>
      </c>
      <c r="E465" s="8" t="n">
        <v>441</v>
      </c>
      <c r="F465" s="8" t="inlineStr">
        <is>
          <t>Yes</t>
        </is>
      </c>
      <c r="G465" s="8" t="n">
        <v>16</v>
      </c>
    </row>
    <row r="466">
      <c r="A466" s="8" t="inlineStr">
        <is>
          <t>GET</t>
        </is>
      </c>
      <c r="B466" s="8" t="inlineStr">
        <is>
          <t>/api/v1/classroom/montessori/materials</t>
        </is>
      </c>
      <c r="C466" s="8" t="inlineStr">
        <is>
          <t>OPEN</t>
        </is>
      </c>
      <c r="D466" s="8" t="inlineStr">
        <is>
          <t>worker/src/routes/comms/classroom.ts</t>
        </is>
      </c>
      <c r="E466" s="8" t="n">
        <v>443</v>
      </c>
      <c r="F466" s="8" t="inlineStr">
        <is>
          <t>Yes</t>
        </is>
      </c>
      <c r="G466" s="8" t="n">
        <v>16</v>
      </c>
    </row>
    <row r="467">
      <c r="A467" s="8" t="inlineStr">
        <is>
          <t>POST</t>
        </is>
      </c>
      <c r="B467" s="8" t="inlineStr">
        <is>
          <t>/api/v1/classroom/montessori/materials</t>
        </is>
      </c>
      <c r="C467" s="8" t="inlineStr">
        <is>
          <t>OPEN</t>
        </is>
      </c>
      <c r="D467" s="8" t="inlineStr">
        <is>
          <t>worker/src/routes/comms/classroom.ts</t>
        </is>
      </c>
      <c r="E467" s="8" t="n">
        <v>444</v>
      </c>
      <c r="F467" s="8" t="inlineStr">
        <is>
          <t>Yes</t>
        </is>
      </c>
      <c r="G467" s="8" t="n">
        <v>16</v>
      </c>
    </row>
    <row r="468">
      <c r="A468" s="8" t="inlineStr">
        <is>
          <t>GET</t>
        </is>
      </c>
      <c r="B468" s="8" t="inlineStr">
        <is>
          <t>/api/v1/classroom/montessori/child/{studentID}</t>
        </is>
      </c>
      <c r="C468" s="8" t="inlineStr">
        <is>
          <t>OPEN</t>
        </is>
      </c>
      <c r="D468" s="8" t="inlineStr">
        <is>
          <t>worker/src/routes/comms/classroom.ts</t>
        </is>
      </c>
      <c r="E468" s="8" t="n">
        <v>445</v>
      </c>
      <c r="F468" s="8" t="inlineStr">
        <is>
          <t>Yes</t>
        </is>
      </c>
      <c r="G468" s="8" t="n">
        <v>16</v>
      </c>
    </row>
    <row r="469">
      <c r="A469" s="8" t="inlineStr">
        <is>
          <t>GET</t>
        </is>
      </c>
      <c r="B469" s="8" t="inlineStr">
        <is>
          <t>/api/v1/classroom/montessori/section</t>
        </is>
      </c>
      <c r="C469" s="8" t="inlineStr">
        <is>
          <t>OPEN</t>
        </is>
      </c>
      <c r="D469" s="8" t="inlineStr">
        <is>
          <t>worker/src/routes/comms/classroom.ts</t>
        </is>
      </c>
      <c r="E469" s="8" t="n">
        <v>446</v>
      </c>
      <c r="F469" s="8" t="inlineStr">
        <is>
          <t>Yes</t>
        </is>
      </c>
      <c r="G469" s="8" t="n">
        <v>16</v>
      </c>
    </row>
    <row r="470">
      <c r="A470" s="8" t="inlineStr">
        <is>
          <t>POST</t>
        </is>
      </c>
      <c r="B470" s="8" t="inlineStr">
        <is>
          <t>/api/v1/classroom/montessori/progress</t>
        </is>
      </c>
      <c r="C470" s="8" t="inlineStr">
        <is>
          <t>OPEN</t>
        </is>
      </c>
      <c r="D470" s="8" t="inlineStr">
        <is>
          <t>worker/src/routes/comms/classroom.ts</t>
        </is>
      </c>
      <c r="E470" s="8" t="n">
        <v>447</v>
      </c>
      <c r="F470" s="8" t="inlineStr">
        <is>
          <t>Yes</t>
        </is>
      </c>
      <c r="G470" s="8" t="n">
        <v>16</v>
      </c>
    </row>
    <row r="471">
      <c r="A471" s="8" t="inlineStr">
        <is>
          <t>GET</t>
        </is>
      </c>
      <c r="B471" s="8" t="inlineStr">
        <is>
          <t>/api/v1/comms/counselor/contacts</t>
        </is>
      </c>
      <c r="C471" s="8" t="inlineStr">
        <is>
          <t>P</t>
        </is>
      </c>
      <c r="D471" s="8" t="inlineStr">
        <is>
          <t>worker/src/routes/comms/counselor.ts</t>
        </is>
      </c>
      <c r="E471" s="8" t="n">
        <v>287</v>
      </c>
      <c r="F471" s="8" t="inlineStr">
        <is>
          <t>Yes</t>
        </is>
      </c>
      <c r="G471" s="8" t="n">
        <v>12</v>
      </c>
    </row>
    <row r="472">
      <c r="A472" s="8" t="inlineStr">
        <is>
          <t>GET</t>
        </is>
      </c>
      <c r="B472" s="8" t="inlineStr">
        <is>
          <t>/api/v1/comms/counselor/threads</t>
        </is>
      </c>
      <c r="C472" s="8" t="inlineStr">
        <is>
          <t>P</t>
        </is>
      </c>
      <c r="D472" s="8" t="inlineStr">
        <is>
          <t>worker/src/routes/comms/counselor.ts</t>
        </is>
      </c>
      <c r="E472" s="8" t="n">
        <v>288</v>
      </c>
      <c r="F472" s="8" t="inlineStr">
        <is>
          <t>Yes</t>
        </is>
      </c>
      <c r="G472" s="8" t="n">
        <v>12</v>
      </c>
    </row>
    <row r="473">
      <c r="A473" s="8" t="inlineStr">
        <is>
          <t>POST</t>
        </is>
      </c>
      <c r="B473" s="8" t="inlineStr">
        <is>
          <t>/api/v1/comms/counselor/threads</t>
        </is>
      </c>
      <c r="C473" s="8" t="inlineStr">
        <is>
          <t>P</t>
        </is>
      </c>
      <c r="D473" s="8" t="inlineStr">
        <is>
          <t>worker/src/routes/comms/counselor.ts</t>
        </is>
      </c>
      <c r="E473" s="8" t="n">
        <v>289</v>
      </c>
      <c r="F473" s="8" t="inlineStr">
        <is>
          <t>Yes</t>
        </is>
      </c>
      <c r="G473" s="8" t="n">
        <v>12</v>
      </c>
    </row>
    <row r="474">
      <c r="A474" s="8" t="inlineStr">
        <is>
          <t>GET</t>
        </is>
      </c>
      <c r="B474" s="8" t="inlineStr">
        <is>
          <t>/api/v1/comms/counselor/threads/{id}</t>
        </is>
      </c>
      <c r="C474" s="8" t="inlineStr">
        <is>
          <t>P</t>
        </is>
      </c>
      <c r="D474" s="8" t="inlineStr">
        <is>
          <t>worker/src/routes/comms/counselor.ts</t>
        </is>
      </c>
      <c r="E474" s="8" t="n">
        <v>290</v>
      </c>
      <c r="F474" s="8" t="inlineStr">
        <is>
          <t>No</t>
        </is>
      </c>
      <c r="G474" s="8" t="n">
        <v>12</v>
      </c>
    </row>
    <row r="475">
      <c r="A475" s="8" t="inlineStr">
        <is>
          <t>GET</t>
        </is>
      </c>
      <c r="B475" s="8" t="inlineStr">
        <is>
          <t>/api/v1/comms/counselor/threads/{id}/messages</t>
        </is>
      </c>
      <c r="C475" s="8" t="inlineStr">
        <is>
          <t>P</t>
        </is>
      </c>
      <c r="D475" s="8" t="inlineStr">
        <is>
          <t>worker/src/routes/comms/counselor.ts</t>
        </is>
      </c>
      <c r="E475" s="8" t="n">
        <v>291</v>
      </c>
      <c r="F475" s="8" t="inlineStr">
        <is>
          <t>Yes</t>
        </is>
      </c>
      <c r="G475" s="8" t="n">
        <v>12</v>
      </c>
    </row>
    <row r="476">
      <c r="A476" s="8" t="inlineStr">
        <is>
          <t>POST</t>
        </is>
      </c>
      <c r="B476" s="8" t="inlineStr">
        <is>
          <t>/api/v1/comms/counselor/threads/{id}/messages</t>
        </is>
      </c>
      <c r="C476" s="8" t="inlineStr">
        <is>
          <t>P</t>
        </is>
      </c>
      <c r="D476" s="8" t="inlineStr">
        <is>
          <t>worker/src/routes/comms/counselor.ts</t>
        </is>
      </c>
      <c r="E476" s="8" t="n">
        <v>292</v>
      </c>
      <c r="F476" s="8" t="inlineStr">
        <is>
          <t>Yes</t>
        </is>
      </c>
      <c r="G476" s="8" t="n">
        <v>12</v>
      </c>
    </row>
    <row r="477">
      <c r="A477" s="8" t="inlineStr">
        <is>
          <t>GET</t>
        </is>
      </c>
      <c r="B477" s="8" t="inlineStr">
        <is>
          <t>/api/v1/comms/counselor/threads/{id}/participants</t>
        </is>
      </c>
      <c r="C477" s="8" t="inlineStr">
        <is>
          <t>P</t>
        </is>
      </c>
      <c r="D477" s="8" t="inlineStr">
        <is>
          <t>worker/src/routes/comms/counselor.ts</t>
        </is>
      </c>
      <c r="E477" s="8" t="n">
        <v>293</v>
      </c>
      <c r="F477" s="8" t="inlineStr">
        <is>
          <t>Yes</t>
        </is>
      </c>
      <c r="G477" s="8" t="n">
        <v>12</v>
      </c>
    </row>
    <row r="478">
      <c r="A478" s="8" t="inlineStr">
        <is>
          <t>POST</t>
        </is>
      </c>
      <c r="B478" s="8" t="inlineStr">
        <is>
          <t>/api/v1/comms/counselor/threads/{id}/participants</t>
        </is>
      </c>
      <c r="C478" s="8" t="inlineStr">
        <is>
          <t>P</t>
        </is>
      </c>
      <c r="D478" s="8" t="inlineStr">
        <is>
          <t>worker/src/routes/comms/counselor.ts</t>
        </is>
      </c>
      <c r="E478" s="8" t="n">
        <v>294</v>
      </c>
      <c r="F478" s="8" t="inlineStr">
        <is>
          <t>Yes</t>
        </is>
      </c>
      <c r="G478" s="8" t="n">
        <v>12</v>
      </c>
    </row>
    <row r="479">
      <c r="A479" s="8" t="inlineStr">
        <is>
          <t>POST</t>
        </is>
      </c>
      <c r="B479" s="8" t="inlineStr">
        <is>
          <t>/api/v1/comms/counselor/threads/{id}/participants/{userID}/remove</t>
        </is>
      </c>
      <c r="C479" s="8" t="inlineStr">
        <is>
          <t>P</t>
        </is>
      </c>
      <c r="D479" s="8" t="inlineStr">
        <is>
          <t>worker/src/routes/comms/counselor.ts</t>
        </is>
      </c>
      <c r="E479" s="8" t="n">
        <v>295</v>
      </c>
      <c r="F479" s="8" t="inlineStr">
        <is>
          <t>No</t>
        </is>
      </c>
      <c r="G479" s="8" t="n">
        <v>12</v>
      </c>
    </row>
    <row r="480">
      <c r="A480" s="8" t="inlineStr">
        <is>
          <t>POST</t>
        </is>
      </c>
      <c r="B480" s="8" t="inlineStr">
        <is>
          <t>/api/v1/comms/counselor/threads/{id}/close</t>
        </is>
      </c>
      <c r="C480" s="8" t="inlineStr">
        <is>
          <t>P</t>
        </is>
      </c>
      <c r="D480" s="8" t="inlineStr">
        <is>
          <t>worker/src/routes/comms/counselor.ts</t>
        </is>
      </c>
      <c r="E480" s="8" t="n">
        <v>296</v>
      </c>
      <c r="F480" s="8" t="inlineStr">
        <is>
          <t>Yes</t>
        </is>
      </c>
      <c r="G480" s="8" t="n">
        <v>12</v>
      </c>
    </row>
    <row r="481">
      <c r="A481" s="8" t="inlineStr">
        <is>
          <t>GET</t>
        </is>
      </c>
      <c r="B481" s="8" t="inlineStr">
        <is>
          <t>/api/v1/admin/messaging/health</t>
        </is>
      </c>
      <c r="C481" s="8" t="inlineStr">
        <is>
          <t>READ</t>
        </is>
      </c>
      <c r="D481" s="8" t="inlineStr">
        <is>
          <t>worker/src/routes/comms/delivery.ts</t>
        </is>
      </c>
      <c r="E481" s="8" t="n">
        <v>173</v>
      </c>
      <c r="F481" s="8" t="inlineStr">
        <is>
          <t>Yes</t>
        </is>
      </c>
      <c r="G481" s="8" t="n">
        <v>9</v>
      </c>
    </row>
    <row r="482">
      <c r="A482" s="8" t="inlineStr">
        <is>
          <t>GET</t>
        </is>
      </c>
      <c r="B482" s="8" t="inlineStr">
        <is>
          <t>/api/v1/admin/messaging/delivery-rules</t>
        </is>
      </c>
      <c r="C482" s="8" t="inlineStr">
        <is>
          <t>READ</t>
        </is>
      </c>
      <c r="D482" s="8" t="inlineStr">
        <is>
          <t>worker/src/routes/comms/delivery.ts</t>
        </is>
      </c>
      <c r="E482" s="8" t="n">
        <v>174</v>
      </c>
      <c r="F482" s="8" t="inlineStr">
        <is>
          <t>Yes</t>
        </is>
      </c>
      <c r="G482" s="8" t="n">
        <v>9</v>
      </c>
    </row>
    <row r="483">
      <c r="A483" s="8" t="inlineStr">
        <is>
          <t>PUT</t>
        </is>
      </c>
      <c r="B483" s="8" t="inlineStr">
        <is>
          <t>/api/v1/admin/messaging/delivery-rules</t>
        </is>
      </c>
      <c r="C483" s="8" t="inlineStr">
        <is>
          <t>CONFIG</t>
        </is>
      </c>
      <c r="D483" s="8" t="inlineStr">
        <is>
          <t>worker/src/routes/comms/delivery.ts</t>
        </is>
      </c>
      <c r="E483" s="8" t="n">
        <v>176</v>
      </c>
      <c r="F483" s="8" t="inlineStr">
        <is>
          <t>Yes</t>
        </is>
      </c>
      <c r="G483" s="8" t="n">
        <v>9</v>
      </c>
    </row>
    <row r="484">
      <c r="A484" s="8" t="inlineStr">
        <is>
          <t>POST</t>
        </is>
      </c>
      <c r="B484" s="8" t="inlineStr">
        <is>
          <t>/api/v1/admin/messaging/estimate</t>
        </is>
      </c>
      <c r="C484" s="8" t="inlineStr">
        <is>
          <t>auth</t>
        </is>
      </c>
      <c r="D484" s="8" t="inlineStr">
        <is>
          <t>worker/src/routes/comms/delivery.ts</t>
        </is>
      </c>
      <c r="E484" s="8" t="n">
        <v>223</v>
      </c>
      <c r="F484" s="8" t="inlineStr">
        <is>
          <t>Yes</t>
        </is>
      </c>
      <c r="G484" s="8" t="n">
        <v>9</v>
      </c>
    </row>
    <row r="485">
      <c r="A485" s="8" t="inlineStr">
        <is>
          <t>GET</t>
        </is>
      </c>
      <c r="B485" s="8" t="inlineStr">
        <is>
          <t>/api/v1/admin/messaging/webhooks</t>
        </is>
      </c>
      <c r="C485" s="8" t="inlineStr">
        <is>
          <t>CREDS</t>
        </is>
      </c>
      <c r="D485" s="8" t="inlineStr">
        <is>
          <t>worker/src/routes/comms/delivery.ts</t>
        </is>
      </c>
      <c r="E485" s="8" t="n">
        <v>225</v>
      </c>
      <c r="F485" s="8" t="inlineStr">
        <is>
          <t>No</t>
        </is>
      </c>
      <c r="G485" s="8" t="n">
        <v>9</v>
      </c>
    </row>
    <row r="486">
      <c r="A486" s="8" t="inlineStr">
        <is>
          <t>GET</t>
        </is>
      </c>
      <c r="B486" s="8" t="inlineStr">
        <is>
          <t>/api/v1/admin/messaging/deliveries</t>
        </is>
      </c>
      <c r="C486" s="8" t="inlineStr">
        <is>
          <t>auth</t>
        </is>
      </c>
      <c r="D486" s="8" t="inlineStr">
        <is>
          <t>worker/src/routes/comms/delivery.ts</t>
        </is>
      </c>
      <c r="E486" s="8" t="n">
        <v>240</v>
      </c>
      <c r="F486" s="8" t="inlineStr">
        <is>
          <t>Yes</t>
        </is>
      </c>
      <c r="G486" s="8" t="n">
        <v>9</v>
      </c>
    </row>
    <row r="487">
      <c r="A487" s="8" t="inlineStr">
        <is>
          <t>GET</t>
        </is>
      </c>
      <c r="B487" s="8" t="inlineStr">
        <is>
          <t>/api/v1/admin/messaging/deliveries/{kind}/{id}</t>
        </is>
      </c>
      <c r="C487" s="8" t="inlineStr">
        <is>
          <t>auth</t>
        </is>
      </c>
      <c r="D487" s="8" t="inlineStr">
        <is>
          <t>worker/src/routes/comms/delivery.ts</t>
        </is>
      </c>
      <c r="E487" s="8" t="n">
        <v>258</v>
      </c>
      <c r="F487" s="8" t="inlineStr">
        <is>
          <t>Yes</t>
        </is>
      </c>
      <c r="G487" s="8" t="n">
        <v>9</v>
      </c>
    </row>
    <row r="488">
      <c r="A488" s="8" t="inlineStr">
        <is>
          <t>POST</t>
        </is>
      </c>
      <c r="B488" s="8" t="inlineStr">
        <is>
          <t>/api/v1/admin/messaging/deliveries/{kind}/{id}/resend</t>
        </is>
      </c>
      <c r="C488" s="8" t="inlineStr">
        <is>
          <t>SEND</t>
        </is>
      </c>
      <c r="D488" s="8" t="inlineStr">
        <is>
          <t>worker/src/routes/comms/delivery.ts</t>
        </is>
      </c>
      <c r="E488" s="8" t="n">
        <v>271</v>
      </c>
      <c r="F488" s="8" t="inlineStr">
        <is>
          <t>Yes</t>
        </is>
      </c>
      <c r="G488" s="8" t="n">
        <v>9</v>
      </c>
    </row>
    <row r="489">
      <c r="A489" s="8" t="inlineStr">
        <is>
          <t>GET</t>
        </is>
      </c>
      <c r="B489" s="8" t="inlineStr">
        <is>
          <t>/api/v1/seller/dead-letters</t>
        </is>
      </c>
      <c r="C489" s="8" t="inlineStr">
        <is>
          <t>platform.tenants.write</t>
        </is>
      </c>
      <c r="D489" s="8" t="inlineStr">
        <is>
          <t>worker/src/routes/comms/delivery.ts</t>
        </is>
      </c>
      <c r="E489" s="8" t="n">
        <v>314</v>
      </c>
      <c r="F489" s="8" t="inlineStr">
        <is>
          <t>No</t>
        </is>
      </c>
      <c r="G489" s="8" t="n">
        <v>9</v>
      </c>
    </row>
    <row r="490">
      <c r="A490" s="8" t="inlineStr">
        <is>
          <t>POST</t>
        </is>
      </c>
      <c r="B490" s="8" t="inlineStr">
        <is>
          <t>/api/v1/seller/dead-letters/{id}/resolve</t>
        </is>
      </c>
      <c r="C490" s="8" t="inlineStr">
        <is>
          <t>platform.tenants.write</t>
        </is>
      </c>
      <c r="D490" s="8" t="inlineStr">
        <is>
          <t>worker/src/routes/comms/delivery.ts</t>
        </is>
      </c>
      <c r="E490" s="8" t="n">
        <v>319</v>
      </c>
      <c r="F490" s="8" t="inlineStr">
        <is>
          <t>No</t>
        </is>
      </c>
      <c r="G490" s="8" t="n">
        <v>9</v>
      </c>
    </row>
    <row r="491">
      <c r="A491" s="8" t="inlineStr">
        <is>
          <t>GET</t>
        </is>
      </c>
      <c r="B491" s="8" t="inlineStr">
        <is>
          <t>/api/v1/classroom/grading/tests</t>
        </is>
      </c>
      <c r="C491" s="8" t="inlineStr">
        <is>
          <t>OPEN</t>
        </is>
      </c>
      <c r="D491" s="8" t="inlineStr">
        <is>
          <t>worker/src/routes/comms/grading.ts</t>
        </is>
      </c>
      <c r="E491" s="8" t="n">
        <v>307</v>
      </c>
      <c r="F491" s="8" t="inlineStr">
        <is>
          <t>Yes</t>
        </is>
      </c>
      <c r="G491" s="8" t="n">
        <v>11</v>
      </c>
    </row>
    <row r="492">
      <c r="A492" s="8" t="inlineStr">
        <is>
          <t>GET</t>
        </is>
      </c>
      <c r="B492" s="8" t="inlineStr">
        <is>
          <t>/api/v1/classroom/grading/tests/{id}/key</t>
        </is>
      </c>
      <c r="C492" s="8" t="inlineStr">
        <is>
          <t>OPEN</t>
        </is>
      </c>
      <c r="D492" s="8" t="inlineStr">
        <is>
          <t>worker/src/routes/comms/grading.ts</t>
        </is>
      </c>
      <c r="E492" s="8" t="n">
        <v>308</v>
      </c>
      <c r="F492" s="8" t="inlineStr">
        <is>
          <t>Yes</t>
        </is>
      </c>
      <c r="G492" s="8" t="n">
        <v>11</v>
      </c>
    </row>
    <row r="493">
      <c r="A493" s="8" t="inlineStr">
        <is>
          <t>GET</t>
        </is>
      </c>
      <c r="B493" s="8" t="inlineStr">
        <is>
          <t>/api/v1/classroom/grading/tests/{id}/results</t>
        </is>
      </c>
      <c r="C493" s="8" t="inlineStr">
        <is>
          <t>OPEN</t>
        </is>
      </c>
      <c r="D493" s="8" t="inlineStr">
        <is>
          <t>worker/src/routes/comms/grading.ts</t>
        </is>
      </c>
      <c r="E493" s="8" t="n">
        <v>309</v>
      </c>
      <c r="F493" s="8" t="inlineStr">
        <is>
          <t>No</t>
        </is>
      </c>
      <c r="G493" s="8" t="n">
        <v>11</v>
      </c>
    </row>
    <row r="494">
      <c r="A494" s="8" t="inlineStr">
        <is>
          <t>GET</t>
        </is>
      </c>
      <c r="B494" s="8" t="inlineStr">
        <is>
          <t>/api/v1/classroom/grading/tests/{id}/item-analysis</t>
        </is>
      </c>
      <c r="C494" s="8" t="inlineStr">
        <is>
          <t>OPEN</t>
        </is>
      </c>
      <c r="D494" s="8" t="inlineStr">
        <is>
          <t>worker/src/routes/comms/grading.ts</t>
        </is>
      </c>
      <c r="E494" s="8" t="n">
        <v>310</v>
      </c>
      <c r="F494" s="8" t="inlineStr">
        <is>
          <t>Yes</t>
        </is>
      </c>
      <c r="G494" s="8" t="n">
        <v>11</v>
      </c>
    </row>
    <row r="495">
      <c r="A495" s="8" t="inlineStr">
        <is>
          <t>POST</t>
        </is>
      </c>
      <c r="B495" s="8" t="inlineStr">
        <is>
          <t>/api/v1/classroom/grading/tests/{id}/attempts</t>
        </is>
      </c>
      <c r="C495" s="8" t="inlineStr">
        <is>
          <t>OPEN</t>
        </is>
      </c>
      <c r="D495" s="8" t="inlineStr">
        <is>
          <t>worker/src/routes/comms/grading.ts</t>
        </is>
      </c>
      <c r="E495" s="8" t="n">
        <v>311</v>
      </c>
      <c r="F495" s="8" t="inlineStr">
        <is>
          <t>Yes</t>
        </is>
      </c>
      <c r="G495" s="8" t="n">
        <v>11</v>
      </c>
    </row>
    <row r="496">
      <c r="A496" s="8" t="inlineStr">
        <is>
          <t>POST</t>
        </is>
      </c>
      <c r="B496" s="8" t="inlineStr">
        <is>
          <t>/api/v1/classroom/grading/tests/{id}/regrade</t>
        </is>
      </c>
      <c r="C496" s="8" t="inlineStr">
        <is>
          <t>OPEN</t>
        </is>
      </c>
      <c r="D496" s="8" t="inlineStr">
        <is>
          <t>worker/src/routes/comms/grading.ts</t>
        </is>
      </c>
      <c r="E496" s="8" t="n">
        <v>312</v>
      </c>
      <c r="F496" s="8" t="inlineStr">
        <is>
          <t>Yes</t>
        </is>
      </c>
      <c r="G496" s="8" t="n">
        <v>11</v>
      </c>
    </row>
    <row r="497">
      <c r="A497" s="8" t="inlineStr">
        <is>
          <t>GET</t>
        </is>
      </c>
      <c r="B497" s="8" t="inlineStr">
        <is>
          <t>/api/v1/comms/grievances</t>
        </is>
      </c>
      <c r="C497" s="8" t="inlineStr">
        <is>
          <t>READ</t>
        </is>
      </c>
      <c r="D497" s="8" t="inlineStr">
        <is>
          <t>worker/src/routes/comms/grievances.ts</t>
        </is>
      </c>
      <c r="E497" s="8" t="n">
        <v>515</v>
      </c>
      <c r="F497" s="8" t="inlineStr">
        <is>
          <t>Yes</t>
        </is>
      </c>
      <c r="G497" s="8" t="n">
        <v>8</v>
      </c>
    </row>
    <row r="498">
      <c r="A498" s="8" t="inlineStr">
        <is>
          <t>GET</t>
        </is>
      </c>
      <c r="B498" s="8" t="inlineStr">
        <is>
          <t>/api/v1/comms/grievances/summary</t>
        </is>
      </c>
      <c r="C498" s="8" t="inlineStr">
        <is>
          <t>READ</t>
        </is>
      </c>
      <c r="D498" s="8" t="inlineStr">
        <is>
          <t>worker/src/routes/comms/grievances.ts</t>
        </is>
      </c>
      <c r="E498" s="8" t="n">
        <v>516</v>
      </c>
      <c r="F498" s="8" t="inlineStr">
        <is>
          <t>Yes</t>
        </is>
      </c>
      <c r="G498" s="8" t="n">
        <v>8</v>
      </c>
    </row>
    <row r="499">
      <c r="A499" s="8" t="inlineStr">
        <is>
          <t>GET</t>
        </is>
      </c>
      <c r="B499" s="8" t="inlineStr">
        <is>
          <t>/api/v1/comms/grievances/assignees</t>
        </is>
      </c>
      <c r="C499" s="8" t="inlineStr">
        <is>
          <t>READ</t>
        </is>
      </c>
      <c r="D499" s="8" t="inlineStr">
        <is>
          <t>worker/src/routes/comms/grievances.ts</t>
        </is>
      </c>
      <c r="E499" s="8" t="n">
        <v>517</v>
      </c>
      <c r="F499" s="8" t="inlineStr">
        <is>
          <t>Yes</t>
        </is>
      </c>
      <c r="G499" s="8" t="n">
        <v>8</v>
      </c>
    </row>
    <row r="500">
      <c r="A500" s="8" t="inlineStr">
        <is>
          <t>POST</t>
        </is>
      </c>
      <c r="B500" s="8" t="inlineStr">
        <is>
          <t>/api/v1/comms/grievances/escalate-overdue</t>
        </is>
      </c>
      <c r="C500" s="8" t="inlineStr">
        <is>
          <t>WRITE</t>
        </is>
      </c>
      <c r="D500" s="8" t="inlineStr">
        <is>
          <t>worker/src/routes/comms/grievances.ts</t>
        </is>
      </c>
      <c r="E500" s="8" t="n">
        <v>518</v>
      </c>
      <c r="F500" s="8" t="inlineStr">
        <is>
          <t>Yes</t>
        </is>
      </c>
      <c r="G500" s="8" t="n">
        <v>8</v>
      </c>
    </row>
    <row r="501">
      <c r="A501" s="8" t="inlineStr">
        <is>
          <t>GET</t>
        </is>
      </c>
      <c r="B501" s="8" t="inlineStr">
        <is>
          <t>/api/v1/comms/grievances/{id}</t>
        </is>
      </c>
      <c r="C501" s="8" t="inlineStr">
        <is>
          <t>READ</t>
        </is>
      </c>
      <c r="D501" s="8" t="inlineStr">
        <is>
          <t>worker/src/routes/comms/grievances.ts</t>
        </is>
      </c>
      <c r="E501" s="8" t="n">
        <v>519</v>
      </c>
      <c r="F501" s="8" t="inlineStr">
        <is>
          <t>Yes</t>
        </is>
      </c>
      <c r="G501" s="8" t="n">
        <v>8</v>
      </c>
    </row>
    <row r="502">
      <c r="A502" s="8" t="inlineStr">
        <is>
          <t>GET</t>
        </is>
      </c>
      <c r="B502" s="8" t="inlineStr">
        <is>
          <t>/api/v1/comms/grievances/{id}/updates</t>
        </is>
      </c>
      <c r="C502" s="8" t="inlineStr">
        <is>
          <t>READ</t>
        </is>
      </c>
      <c r="D502" s="8" t="inlineStr">
        <is>
          <t>worker/src/routes/comms/grievances.ts</t>
        </is>
      </c>
      <c r="E502" s="8" t="n">
        <v>520</v>
      </c>
      <c r="F502" s="8" t="inlineStr">
        <is>
          <t>Yes</t>
        </is>
      </c>
      <c r="G502" s="8" t="n">
        <v>8</v>
      </c>
    </row>
    <row r="503">
      <c r="A503" s="8" t="inlineStr">
        <is>
          <t>PUT</t>
        </is>
      </c>
      <c r="B503" s="8" t="inlineStr">
        <is>
          <t>/api/v1/comms/grievances/{id}/triage</t>
        </is>
      </c>
      <c r="C503" s="8" t="inlineStr">
        <is>
          <t>WRITE</t>
        </is>
      </c>
      <c r="D503" s="8" t="inlineStr">
        <is>
          <t>worker/src/routes/comms/grievances.ts</t>
        </is>
      </c>
      <c r="E503" s="8" t="n">
        <v>521</v>
      </c>
      <c r="F503" s="8" t="inlineStr">
        <is>
          <t>Yes</t>
        </is>
      </c>
      <c r="G503" s="8" t="n">
        <v>8</v>
      </c>
    </row>
    <row r="504">
      <c r="A504" s="8" t="inlineStr">
        <is>
          <t>POST</t>
        </is>
      </c>
      <c r="B504" s="8" t="inlineStr">
        <is>
          <t>/api/v1/comms/grievances/{id}/updates</t>
        </is>
      </c>
      <c r="C504" s="8" t="inlineStr">
        <is>
          <t>WRITE</t>
        </is>
      </c>
      <c r="D504" s="8" t="inlineStr">
        <is>
          <t>worker/src/routes/comms/grievances.ts</t>
        </is>
      </c>
      <c r="E504" s="8" t="n">
        <v>522</v>
      </c>
      <c r="F504" s="8" t="inlineStr">
        <is>
          <t>Yes</t>
        </is>
      </c>
      <c r="G504" s="8" t="n">
        <v>8</v>
      </c>
    </row>
    <row r="505">
      <c r="A505" s="8" t="inlineStr">
        <is>
          <t>POST</t>
        </is>
      </c>
      <c r="B505" s="8" t="inlineStr">
        <is>
          <t>/api/v1/comms/grievances/{id}/acknowledge</t>
        </is>
      </c>
      <c r="C505" s="8" t="inlineStr">
        <is>
          <t>WRITE</t>
        </is>
      </c>
      <c r="D505" s="8" t="inlineStr">
        <is>
          <t>worker/src/routes/comms/grievances.ts</t>
        </is>
      </c>
      <c r="E505" s="8" t="n">
        <v>523</v>
      </c>
      <c r="F505" s="8" t="inlineStr">
        <is>
          <t>Yes</t>
        </is>
      </c>
      <c r="G505" s="8" t="n">
        <v>8</v>
      </c>
    </row>
    <row r="506">
      <c r="A506" s="8" t="inlineStr">
        <is>
          <t>POST</t>
        </is>
      </c>
      <c r="B506" s="8" t="inlineStr">
        <is>
          <t>/api/v1/comms/grievances/{id}/start</t>
        </is>
      </c>
      <c r="C506" s="8" t="inlineStr">
        <is>
          <t>WRITE</t>
        </is>
      </c>
      <c r="D506" s="8" t="inlineStr">
        <is>
          <t>worker/src/routes/comms/grievances.ts</t>
        </is>
      </c>
      <c r="E506" s="8" t="n">
        <v>524</v>
      </c>
      <c r="F506" s="8" t="inlineStr">
        <is>
          <t>Yes</t>
        </is>
      </c>
      <c r="G506" s="8" t="n">
        <v>8</v>
      </c>
    </row>
    <row r="507">
      <c r="A507" s="8" t="inlineStr">
        <is>
          <t>PUT</t>
        </is>
      </c>
      <c r="B507" s="8" t="inlineStr">
        <is>
          <t>/api/v1/comms/grievances/{id}/assign</t>
        </is>
      </c>
      <c r="C507" s="8" t="inlineStr">
        <is>
          <t>WRITE</t>
        </is>
      </c>
      <c r="D507" s="8" t="inlineStr">
        <is>
          <t>worker/src/routes/comms/grievances.ts</t>
        </is>
      </c>
      <c r="E507" s="8" t="n">
        <v>525</v>
      </c>
      <c r="F507" s="8" t="inlineStr">
        <is>
          <t>Yes</t>
        </is>
      </c>
      <c r="G507" s="8" t="n">
        <v>8</v>
      </c>
    </row>
    <row r="508">
      <c r="A508" s="8" t="inlineStr">
        <is>
          <t>POST</t>
        </is>
      </c>
      <c r="B508" s="8" t="inlineStr">
        <is>
          <t>/api/v1/comms/grievances/{id}/escalate</t>
        </is>
      </c>
      <c r="C508" s="8" t="inlineStr">
        <is>
          <t>WRITE</t>
        </is>
      </c>
      <c r="D508" s="8" t="inlineStr">
        <is>
          <t>worker/src/routes/comms/grievances.ts</t>
        </is>
      </c>
      <c r="E508" s="8" t="n">
        <v>526</v>
      </c>
      <c r="F508" s="8" t="inlineStr">
        <is>
          <t>Yes</t>
        </is>
      </c>
      <c r="G508" s="8" t="n">
        <v>8</v>
      </c>
    </row>
    <row r="509">
      <c r="A509" s="8" t="inlineStr">
        <is>
          <t>POST</t>
        </is>
      </c>
      <c r="B509" s="8" t="inlineStr">
        <is>
          <t>/api/v1/comms/grievances/{id}/resolve</t>
        </is>
      </c>
      <c r="C509" s="8" t="inlineStr">
        <is>
          <t>WRITE</t>
        </is>
      </c>
      <c r="D509" s="8" t="inlineStr">
        <is>
          <t>worker/src/routes/comms/grievances.ts</t>
        </is>
      </c>
      <c r="E509" s="8" t="n">
        <v>527</v>
      </c>
      <c r="F509" s="8" t="inlineStr">
        <is>
          <t>Yes</t>
        </is>
      </c>
      <c r="G509" s="8" t="n">
        <v>8</v>
      </c>
    </row>
    <row r="510">
      <c r="A510" s="8" t="inlineStr">
        <is>
          <t>GET</t>
        </is>
      </c>
      <c r="B510" s="8" t="inlineStr">
        <is>
          <t>/api/v1/comms/grievance-sla</t>
        </is>
      </c>
      <c r="C510" s="8" t="inlineStr">
        <is>
          <t>READ</t>
        </is>
      </c>
      <c r="D510" s="8" t="inlineStr">
        <is>
          <t>worker/src/routes/comms/grievances.ts</t>
        </is>
      </c>
      <c r="E510" s="8" t="n">
        <v>529</v>
      </c>
      <c r="F510" s="8" t="inlineStr">
        <is>
          <t>Yes</t>
        </is>
      </c>
      <c r="G510" s="8" t="n">
        <v>8</v>
      </c>
    </row>
    <row r="511">
      <c r="A511" s="8" t="inlineStr">
        <is>
          <t>PUT</t>
        </is>
      </c>
      <c r="B511" s="8" t="inlineStr">
        <is>
          <t>/api/v1/comms/grievance-sla</t>
        </is>
      </c>
      <c r="C511" s="8" t="inlineStr">
        <is>
          <t>WRITE</t>
        </is>
      </c>
      <c r="D511" s="8" t="inlineStr">
        <is>
          <t>worker/src/routes/comms/grievances.ts</t>
        </is>
      </c>
      <c r="E511" s="8" t="n">
        <v>530</v>
      </c>
      <c r="F511" s="8" t="inlineStr">
        <is>
          <t>Yes</t>
        </is>
      </c>
      <c r="G511" s="8" t="n">
        <v>8</v>
      </c>
    </row>
    <row r="512">
      <c r="A512" s="8" t="inlineStr">
        <is>
          <t>GET</t>
        </is>
      </c>
      <c r="B512" s="8" t="inlineStr">
        <is>
          <t>/api/v1/live/socket</t>
        </is>
      </c>
      <c r="C512" s="8" t="inlineStr">
        <is>
          <t>auth</t>
        </is>
      </c>
      <c r="D512" s="8" t="inlineStr">
        <is>
          <t>worker/src/routes/comms/live_socket.ts</t>
        </is>
      </c>
      <c r="E512" s="8" t="n">
        <v>11</v>
      </c>
      <c r="F512" s="8" t="inlineStr">
        <is>
          <t>No</t>
        </is>
      </c>
      <c r="G512" s="8" t="n">
        <v>0</v>
      </c>
    </row>
    <row r="513">
      <c r="A513" s="8" t="inlineStr">
        <is>
          <t>GET</t>
        </is>
      </c>
      <c r="B513" s="8" t="inlineStr">
        <is>
          <t>/api/v1/comms/achievements</t>
        </is>
      </c>
      <c r="C513" s="8" t="inlineStr">
        <is>
          <t>READ</t>
        </is>
      </c>
      <c r="D513" s="8" t="inlineStr">
        <is>
          <t>worker/src/routes/comms/showcase.ts</t>
        </is>
      </c>
      <c r="E513" s="8" t="n">
        <v>237</v>
      </c>
      <c r="F513" s="8" t="inlineStr">
        <is>
          <t>Yes</t>
        </is>
      </c>
      <c r="G513" s="8" t="n">
        <v>8</v>
      </c>
    </row>
    <row r="514">
      <c r="A514" s="8" t="inlineStr">
        <is>
          <t>POST</t>
        </is>
      </c>
      <c r="B514" s="8" t="inlineStr">
        <is>
          <t>/api/v1/comms/achievements</t>
        </is>
      </c>
      <c r="C514" s="8" t="inlineStr">
        <is>
          <t>WRITE</t>
        </is>
      </c>
      <c r="D514" s="8" t="inlineStr">
        <is>
          <t>worker/src/routes/comms/showcase.ts</t>
        </is>
      </c>
      <c r="E514" s="8" t="n">
        <v>238</v>
      </c>
      <c r="F514" s="8" t="inlineStr">
        <is>
          <t>Yes</t>
        </is>
      </c>
      <c r="G514" s="8" t="n">
        <v>8</v>
      </c>
    </row>
    <row r="515">
      <c r="A515" s="8" t="inlineStr">
        <is>
          <t>GET</t>
        </is>
      </c>
      <c r="B515" s="8" t="inlineStr">
        <is>
          <t>/api/v1/comms/achievements/{id}</t>
        </is>
      </c>
      <c r="C515" s="8" t="inlineStr">
        <is>
          <t>READ</t>
        </is>
      </c>
      <c r="D515" s="8" t="inlineStr">
        <is>
          <t>worker/src/routes/comms/showcase.ts</t>
        </is>
      </c>
      <c r="E515" s="8" t="n">
        <v>239</v>
      </c>
      <c r="F515" s="8" t="inlineStr">
        <is>
          <t>Yes</t>
        </is>
      </c>
      <c r="G515" s="8" t="n">
        <v>8</v>
      </c>
    </row>
    <row r="516">
      <c r="A516" s="8" t="inlineStr">
        <is>
          <t>PUT</t>
        </is>
      </c>
      <c r="B516" s="8" t="inlineStr">
        <is>
          <t>/api/v1/comms/achievements/{id}</t>
        </is>
      </c>
      <c r="C516" s="8" t="inlineStr">
        <is>
          <t>WRITE</t>
        </is>
      </c>
      <c r="D516" s="8" t="inlineStr">
        <is>
          <t>worker/src/routes/comms/showcase.ts</t>
        </is>
      </c>
      <c r="E516" s="8" t="n">
        <v>240</v>
      </c>
      <c r="F516" s="8" t="inlineStr">
        <is>
          <t>Yes</t>
        </is>
      </c>
      <c r="G516" s="8" t="n">
        <v>8</v>
      </c>
    </row>
    <row r="517">
      <c r="A517" s="8" t="inlineStr">
        <is>
          <t>DELETE</t>
        </is>
      </c>
      <c r="B517" s="8" t="inlineStr">
        <is>
          <t>/api/v1/comms/achievements/{id}</t>
        </is>
      </c>
      <c r="C517" s="8" t="inlineStr">
        <is>
          <t>WRITE</t>
        </is>
      </c>
      <c r="D517" s="8" t="inlineStr">
        <is>
          <t>worker/src/routes/comms/showcase.ts</t>
        </is>
      </c>
      <c r="E517" s="8" t="n">
        <v>241</v>
      </c>
      <c r="F517" s="8" t="inlineStr">
        <is>
          <t>Yes</t>
        </is>
      </c>
      <c r="G517" s="8" t="n">
        <v>8</v>
      </c>
    </row>
    <row r="518">
      <c r="A518" s="8" t="inlineStr">
        <is>
          <t>POST</t>
        </is>
      </c>
      <c r="B518" s="8" t="inlineStr">
        <is>
          <t>/api/v1/comms/achievements/{id}/media</t>
        </is>
      </c>
      <c r="C518" s="8" t="inlineStr">
        <is>
          <t>WRITE</t>
        </is>
      </c>
      <c r="D518" s="8" t="inlineStr">
        <is>
          <t>worker/src/routes/comms/showcase.ts</t>
        </is>
      </c>
      <c r="E518" s="8" t="n">
        <v>242</v>
      </c>
      <c r="F518" s="8" t="inlineStr">
        <is>
          <t>Yes</t>
        </is>
      </c>
      <c r="G518" s="8" t="n">
        <v>8</v>
      </c>
    </row>
    <row r="519">
      <c r="A519" s="8" t="inlineStr">
        <is>
          <t>DELETE</t>
        </is>
      </c>
      <c r="B519" s="8" t="inlineStr">
        <is>
          <t>/api/v1/comms/achievements/{id}/media/{mediaID}</t>
        </is>
      </c>
      <c r="C519" s="8" t="inlineStr">
        <is>
          <t>WRITE</t>
        </is>
      </c>
      <c r="D519" s="8" t="inlineStr">
        <is>
          <t>worker/src/routes/comms/showcase.ts</t>
        </is>
      </c>
      <c r="E519" s="8" t="n">
        <v>243</v>
      </c>
      <c r="F519" s="8" t="inlineStr">
        <is>
          <t>Yes</t>
        </is>
      </c>
      <c r="G519" s="8" t="n">
        <v>8</v>
      </c>
    </row>
    <row r="520">
      <c r="A520" s="8" t="inlineStr">
        <is>
          <t>POST</t>
        </is>
      </c>
      <c r="B520" s="8" t="inlineStr">
        <is>
          <t>/api/v1/comms/achievements/{id}/consent</t>
        </is>
      </c>
      <c r="C520" s="8" t="inlineStr">
        <is>
          <t>WRITE</t>
        </is>
      </c>
      <c r="D520" s="8" t="inlineStr">
        <is>
          <t>worker/src/routes/comms/showcase.ts</t>
        </is>
      </c>
      <c r="E520" s="8" t="n">
        <v>244</v>
      </c>
      <c r="F520" s="8" t="inlineStr">
        <is>
          <t>Yes</t>
        </is>
      </c>
      <c r="G520" s="8" t="n">
        <v>8</v>
      </c>
    </row>
    <row r="521">
      <c r="A521" s="8" t="inlineStr">
        <is>
          <t>POST</t>
        </is>
      </c>
      <c r="B521" s="8" t="inlineStr">
        <is>
          <t>/api/v1/comms/achievements/{id}/publish</t>
        </is>
      </c>
      <c r="C521" s="8" t="inlineStr">
        <is>
          <t>PUBLISH</t>
        </is>
      </c>
      <c r="D521" s="8" t="inlineStr">
        <is>
          <t>worker/src/routes/comms/showcase.ts</t>
        </is>
      </c>
      <c r="E521" s="8" t="n">
        <v>245</v>
      </c>
      <c r="F521" s="8" t="inlineStr">
        <is>
          <t>Yes</t>
        </is>
      </c>
      <c r="G521" s="8" t="n">
        <v>8</v>
      </c>
    </row>
    <row r="522">
      <c r="A522" s="8" t="inlineStr">
        <is>
          <t>POST</t>
        </is>
      </c>
      <c r="B522" s="8" t="inlineStr">
        <is>
          <t>/api/v1/comms/achievements/{id}/unpublish</t>
        </is>
      </c>
      <c r="C522" s="8" t="inlineStr">
        <is>
          <t>PUBLISH</t>
        </is>
      </c>
      <c r="D522" s="8" t="inlineStr">
        <is>
          <t>worker/src/routes/comms/showcase.ts</t>
        </is>
      </c>
      <c r="E522" s="8" t="n">
        <v>246</v>
      </c>
      <c r="F522" s="8" t="inlineStr">
        <is>
          <t>Yes</t>
        </is>
      </c>
      <c r="G522" s="8" t="n">
        <v>8</v>
      </c>
    </row>
    <row r="523">
      <c r="A523" s="8" t="inlineStr">
        <is>
          <t>GET</t>
        </is>
      </c>
      <c r="B523" s="8" t="inlineStr">
        <is>
          <t>/api/v1/sms-gateway</t>
        </is>
      </c>
      <c r="C523" s="8" t="inlineStr">
        <is>
          <t>READ</t>
        </is>
      </c>
      <c r="D523" s="8" t="inlineStr">
        <is>
          <t>worker/src/routes/comms/sms_gateway.ts</t>
        </is>
      </c>
      <c r="E523" s="8" t="n">
        <v>253</v>
      </c>
      <c r="F523" s="8" t="inlineStr">
        <is>
          <t>Yes</t>
        </is>
      </c>
      <c r="G523" s="8" t="n">
        <v>7</v>
      </c>
    </row>
    <row r="524">
      <c r="A524" s="8" t="inlineStr">
        <is>
          <t>POST</t>
        </is>
      </c>
      <c r="B524" s="8" t="inlineStr">
        <is>
          <t>/api/v1/sms-gateway/pair</t>
        </is>
      </c>
      <c r="C524" s="8" t="inlineStr">
        <is>
          <t>CREDS</t>
        </is>
      </c>
      <c r="D524" s="8" t="inlineStr">
        <is>
          <t>worker/src/routes/comms/sms_gateway.ts</t>
        </is>
      </c>
      <c r="E524" s="8" t="n">
        <v>254</v>
      </c>
      <c r="F524" s="8" t="inlineStr">
        <is>
          <t>No</t>
        </is>
      </c>
      <c r="G524" s="8" t="n">
        <v>7</v>
      </c>
    </row>
    <row r="525">
      <c r="A525" s="8" t="inlineStr">
        <is>
          <t>PUT</t>
        </is>
      </c>
      <c r="B525" s="8" t="inlineStr">
        <is>
          <t>/api/v1/sms-gateway/devices/{id}</t>
        </is>
      </c>
      <c r="C525" s="8" t="inlineStr">
        <is>
          <t>CREDS</t>
        </is>
      </c>
      <c r="D525" s="8" t="inlineStr">
        <is>
          <t>worker/src/routes/comms/sms_gateway.ts</t>
        </is>
      </c>
      <c r="E525" s="8" t="n">
        <v>255</v>
      </c>
      <c r="F525" s="8" t="inlineStr">
        <is>
          <t>No</t>
        </is>
      </c>
      <c r="G525" s="8" t="n">
        <v>7</v>
      </c>
    </row>
    <row r="526">
      <c r="A526" s="8" t="inlineStr">
        <is>
          <t>POST</t>
        </is>
      </c>
      <c r="B526" s="8" t="inlineStr">
        <is>
          <t>/api/v1/sms-gateway/devices/{id}/revoke</t>
        </is>
      </c>
      <c r="C526" s="8" t="inlineStr">
        <is>
          <t>CREDS</t>
        </is>
      </c>
      <c r="D526" s="8" t="inlineStr">
        <is>
          <t>worker/src/routes/comms/sms_gateway.ts</t>
        </is>
      </c>
      <c r="E526" s="8" t="n">
        <v>256</v>
      </c>
      <c r="F526" s="8" t="inlineStr">
        <is>
          <t>No</t>
        </is>
      </c>
      <c r="G526" s="8" t="n">
        <v>7</v>
      </c>
    </row>
    <row r="527">
      <c r="A527" s="8" t="inlineStr">
        <is>
          <t>POST</t>
        </is>
      </c>
      <c r="B527" s="8" t="inlineStr">
        <is>
          <t>/api/v1/sms-gateway/devices/{id}/approve</t>
        </is>
      </c>
      <c r="C527" s="8" t="inlineStr">
        <is>
          <t>CREDS</t>
        </is>
      </c>
      <c r="D527" s="8" t="inlineStr">
        <is>
          <t>worker/src/routes/comms/sms_gateway.ts</t>
        </is>
      </c>
      <c r="E527" s="8" t="n">
        <v>257</v>
      </c>
      <c r="F527" s="8" t="inlineStr">
        <is>
          <t>No</t>
        </is>
      </c>
      <c r="G527" s="8" t="n">
        <v>7</v>
      </c>
    </row>
    <row r="528">
      <c r="A528" s="8" t="inlineStr">
        <is>
          <t>GET</t>
        </is>
      </c>
      <c r="B528" s="8" t="inlineStr">
        <is>
          <t>/api/v1/timetable/entries</t>
        </is>
      </c>
      <c r="C528" s="8" t="inlineStr">
        <is>
          <t>academics.timetable.read</t>
        </is>
      </c>
      <c r="D528" s="8" t="inlineStr">
        <is>
          <t>worker/src/routes/daily.ts</t>
        </is>
      </c>
      <c r="E528" s="8" t="n">
        <v>217</v>
      </c>
      <c r="F528" s="8" t="inlineStr">
        <is>
          <t>Yes</t>
        </is>
      </c>
      <c r="G528" s="8" t="n">
        <v>51</v>
      </c>
    </row>
    <row r="529">
      <c r="A529" s="8" t="inlineStr">
        <is>
          <t>GET</t>
        </is>
      </c>
      <c r="B529" s="8" t="inlineStr">
        <is>
          <t>/api/v1/timetable/periods</t>
        </is>
      </c>
      <c r="C529" s="8" t="inlineStr">
        <is>
          <t>academics.timetable.read</t>
        </is>
      </c>
      <c r="D529" s="8" t="inlineStr">
        <is>
          <t>worker/src/routes/daily.ts</t>
        </is>
      </c>
      <c r="E529" s="8" t="n">
        <v>250</v>
      </c>
      <c r="F529" s="8" t="inlineStr">
        <is>
          <t>Yes</t>
        </is>
      </c>
      <c r="G529" s="8" t="n">
        <v>51</v>
      </c>
    </row>
    <row r="530">
      <c r="A530" s="8" t="inlineStr">
        <is>
          <t>GET</t>
        </is>
      </c>
      <c r="B530" s="8" t="inlineStr">
        <is>
          <t>/api/v1/timetable/bell-schedules</t>
        </is>
      </c>
      <c r="C530" s="8" t="inlineStr">
        <is>
          <t>academics.timetable.read</t>
        </is>
      </c>
      <c r="D530" s="8" t="inlineStr">
        <is>
          <t>worker/src/routes/daily.ts</t>
        </is>
      </c>
      <c r="E530" s="8" t="n">
        <v>275</v>
      </c>
      <c r="F530" s="8" t="inlineStr">
        <is>
          <t>Yes</t>
        </is>
      </c>
      <c r="G530" s="8" t="n">
        <v>51</v>
      </c>
    </row>
    <row r="531">
      <c r="A531" s="8" t="inlineStr">
        <is>
          <t>GET</t>
        </is>
      </c>
      <c r="B531" s="8" t="inlineStr">
        <is>
          <t>/api/v1/timetable/teachers</t>
        </is>
      </c>
      <c r="C531" s="8" t="inlineStr">
        <is>
          <t>academics.timetable.read</t>
        </is>
      </c>
      <c r="D531" s="8" t="inlineStr">
        <is>
          <t>worker/src/routes/daily.ts</t>
        </is>
      </c>
      <c r="E531" s="8" t="n">
        <v>290</v>
      </c>
      <c r="F531" s="8" t="inlineStr">
        <is>
          <t>Yes</t>
        </is>
      </c>
      <c r="G531" s="8" t="n">
        <v>51</v>
      </c>
    </row>
    <row r="532">
      <c r="A532" s="8" t="inlineStr">
        <is>
          <t>PUT</t>
        </is>
      </c>
      <c r="B532" s="8" t="inlineStr">
        <is>
          <t>/api/v1/timetable/entries/cell</t>
        </is>
      </c>
      <c r="C532" s="8" t="inlineStr">
        <is>
          <t>academics.timetable.write</t>
        </is>
      </c>
      <c r="D532" s="8" t="inlineStr">
        <is>
          <t>worker/src/routes/daily.ts</t>
        </is>
      </c>
      <c r="E532" s="8" t="n">
        <v>332</v>
      </c>
      <c r="F532" s="8" t="inlineStr">
        <is>
          <t>Yes</t>
        </is>
      </c>
      <c r="G532" s="8" t="n">
        <v>51</v>
      </c>
    </row>
    <row r="533">
      <c r="A533" s="8" t="inlineStr">
        <is>
          <t>DELETE</t>
        </is>
      </c>
      <c r="B533" s="8" t="inlineStr">
        <is>
          <t>/api/v1/timetable/entries/{id}</t>
        </is>
      </c>
      <c r="C533" s="8" t="inlineStr">
        <is>
          <t>academics.timetable.write</t>
        </is>
      </c>
      <c r="D533" s="8" t="inlineStr">
        <is>
          <t>worker/src/routes/daily.ts</t>
        </is>
      </c>
      <c r="E533" s="8" t="n">
        <v>384</v>
      </c>
      <c r="F533" s="8" t="inlineStr">
        <is>
          <t>Yes</t>
        </is>
      </c>
      <c r="G533" s="8" t="n">
        <v>51</v>
      </c>
    </row>
    <row r="534">
      <c r="A534" s="8" t="inlineStr">
        <is>
          <t>POST</t>
        </is>
      </c>
      <c r="B534" s="8" t="inlineStr">
        <is>
          <t>/api/v1/attendance/nudge</t>
        </is>
      </c>
      <c r="C534" s="8" t="inlineStr">
        <is>
          <t>academics.attendance.read.all</t>
        </is>
      </c>
      <c r="D534" s="8" t="inlineStr">
        <is>
          <t>worker/src/routes/daily.ts</t>
        </is>
      </c>
      <c r="E534" s="8" t="n">
        <v>397</v>
      </c>
      <c r="F534" s="8" t="inlineStr">
        <is>
          <t>Yes</t>
        </is>
      </c>
      <c r="G534" s="8" t="n">
        <v>51</v>
      </c>
    </row>
    <row r="535">
      <c r="A535" s="8" t="inlineStr">
        <is>
          <t>GET</t>
        </is>
      </c>
      <c r="B535" s="8" t="inlineStr">
        <is>
          <t>/api/v1/attendance</t>
        </is>
      </c>
      <c r="C535" s="8" t="inlineStr">
        <is>
          <t>academics.attendance.read</t>
        </is>
      </c>
      <c r="D535" s="8" t="inlineStr">
        <is>
          <t>worker/src/routes/daily.ts</t>
        </is>
      </c>
      <c r="E535" s="8" t="n">
        <v>423</v>
      </c>
      <c r="F535" s="8" t="inlineStr">
        <is>
          <t>Yes</t>
        </is>
      </c>
      <c r="G535" s="8" t="n">
        <v>51</v>
      </c>
    </row>
    <row r="536">
      <c r="A536" s="8" t="inlineStr">
        <is>
          <t>GET</t>
        </is>
      </c>
      <c r="B536" s="8" t="inlineStr">
        <is>
          <t>/api/v1/attendance/informed</t>
        </is>
      </c>
      <c r="C536" s="8" t="inlineStr">
        <is>
          <t>academics.attendance.read</t>
        </is>
      </c>
      <c r="D536" s="8" t="inlineStr">
        <is>
          <t>worker/src/routes/daily.ts</t>
        </is>
      </c>
      <c r="E536" s="8" t="n">
        <v>448</v>
      </c>
      <c r="F536" s="8" t="inlineStr">
        <is>
          <t>Yes</t>
        </is>
      </c>
      <c r="G536" s="8" t="n">
        <v>51</v>
      </c>
    </row>
    <row r="537">
      <c r="A537" s="8" t="inlineStr">
        <is>
          <t>GET</t>
        </is>
      </c>
      <c r="B537" s="8" t="inlineStr">
        <is>
          <t>/api/v1/attendance/day.csv</t>
        </is>
      </c>
      <c r="C537" s="8" t="inlineStr">
        <is>
          <t>academics.attendance.read</t>
        </is>
      </c>
      <c r="D537" s="8" t="inlineStr">
        <is>
          <t>worker/src/routes/daily.ts</t>
        </is>
      </c>
      <c r="E537" s="8" t="n">
        <v>464</v>
      </c>
      <c r="F537" s="8" t="inlineStr">
        <is>
          <t>Yes</t>
        </is>
      </c>
      <c r="G537" s="8" t="n">
        <v>51</v>
      </c>
    </row>
    <row r="538">
      <c r="A538" s="8" t="inlineStr">
        <is>
          <t>POST</t>
        </is>
      </c>
      <c r="B538" s="8" t="inlineStr">
        <is>
          <t>/api/v1/attendance</t>
        </is>
      </c>
      <c r="C538" s="8" t="inlineStr">
        <is>
          <t>academics.attendance.write</t>
        </is>
      </c>
      <c r="D538" s="8" t="inlineStr">
        <is>
          <t>worker/src/routes/daily.ts</t>
        </is>
      </c>
      <c r="E538" s="8" t="n">
        <v>489</v>
      </c>
      <c r="F538" s="8" t="inlineStr">
        <is>
          <t>Yes</t>
        </is>
      </c>
      <c r="G538" s="8" t="n">
        <v>51</v>
      </c>
    </row>
    <row r="539">
      <c r="A539" s="8" t="inlineStr">
        <is>
          <t>GET</t>
        </is>
      </c>
      <c r="B539" s="8" t="inlineStr">
        <is>
          <t>/api/v1/attendance/absentees</t>
        </is>
      </c>
      <c r="C539" s="8" t="inlineStr">
        <is>
          <t>auth</t>
        </is>
      </c>
      <c r="D539" s="8" t="inlineStr">
        <is>
          <t>worker/src/routes/daily.ts</t>
        </is>
      </c>
      <c r="E539" s="8" t="n">
        <v>583</v>
      </c>
      <c r="F539" s="8" t="inlineStr">
        <is>
          <t>Yes</t>
        </is>
      </c>
      <c r="G539" s="8" t="n">
        <v>51</v>
      </c>
    </row>
    <row r="540">
      <c r="A540" s="8" t="inlineStr">
        <is>
          <t>POST</t>
        </is>
      </c>
      <c r="B540" s="8" t="inlineStr">
        <is>
          <t>/api/v1/attendance/absentees/followup</t>
        </is>
      </c>
      <c r="C540" s="8" t="inlineStr">
        <is>
          <t>auth</t>
        </is>
      </c>
      <c r="D540" s="8" t="inlineStr">
        <is>
          <t>worker/src/routes/daily.ts</t>
        </is>
      </c>
      <c r="E540" s="8" t="n">
        <v>584</v>
      </c>
      <c r="F540" s="8" t="inlineStr">
        <is>
          <t>No</t>
        </is>
      </c>
      <c r="G540" s="8" t="n">
        <v>51</v>
      </c>
    </row>
    <row r="541">
      <c r="A541" s="8" t="inlineStr">
        <is>
          <t>POST</t>
        </is>
      </c>
      <c r="B541" s="8" t="inlineStr">
        <is>
          <t>/api/v1/attendance/absentees/section-done</t>
        </is>
      </c>
      <c r="C541" s="8" t="inlineStr">
        <is>
          <t>auth</t>
        </is>
      </c>
      <c r="D541" s="8" t="inlineStr">
        <is>
          <t>worker/src/routes/daily.ts</t>
        </is>
      </c>
      <c r="E541" s="8" t="n">
        <v>585</v>
      </c>
      <c r="F541" s="8" t="inlineStr">
        <is>
          <t>Yes</t>
        </is>
      </c>
      <c r="G541" s="8" t="n">
        <v>51</v>
      </c>
    </row>
    <row r="542">
      <c r="A542" s="8" t="inlineStr">
        <is>
          <t>GET</t>
        </is>
      </c>
      <c r="B542" s="8" t="inlineStr">
        <is>
          <t>/api/v1/class/sections</t>
        </is>
      </c>
      <c r="C542" s="8" t="inlineStr">
        <is>
          <t>academics.class360.view</t>
        </is>
      </c>
      <c r="D542" s="8" t="inlineStr">
        <is>
          <t>worker/src/routes/daily.ts</t>
        </is>
      </c>
      <c r="E542" s="8" t="n">
        <v>735</v>
      </c>
      <c r="F542" s="8" t="inlineStr">
        <is>
          <t>Yes</t>
        </is>
      </c>
      <c r="G542" s="8" t="n">
        <v>51</v>
      </c>
    </row>
    <row r="543">
      <c r="A543" s="8" t="inlineStr">
        <is>
          <t>GET</t>
        </is>
      </c>
      <c r="B543" s="8" t="inlineStr">
        <is>
          <t>/api/v1/class/{sectionId}/overview</t>
        </is>
      </c>
      <c r="C543" s="8" t="inlineStr">
        <is>
          <t>academics.class360.view</t>
        </is>
      </c>
      <c r="D543" s="8" t="inlineStr">
        <is>
          <t>worker/src/routes/daily.ts</t>
        </is>
      </c>
      <c r="E543" s="8" t="n">
        <v>749</v>
      </c>
      <c r="F543" s="8" t="inlineStr">
        <is>
          <t>Yes</t>
        </is>
      </c>
      <c r="G543" s="8" t="n">
        <v>51</v>
      </c>
    </row>
    <row r="544">
      <c r="A544" s="8" t="inlineStr">
        <is>
          <t>GET</t>
        </is>
      </c>
      <c r="B544" s="8" t="inlineStr">
        <is>
          <t>/api/v1/me/student</t>
        </is>
      </c>
      <c r="C544" s="8" t="inlineStr">
        <is>
          <t>self.attendance.read</t>
        </is>
      </c>
      <c r="D544" s="8" t="inlineStr">
        <is>
          <t>worker/src/routes/daily.ts</t>
        </is>
      </c>
      <c r="E544" s="8" t="n">
        <v>841</v>
      </c>
      <c r="F544" s="8" t="inlineStr">
        <is>
          <t>No</t>
        </is>
      </c>
      <c r="G544" s="8" t="n">
        <v>51</v>
      </c>
    </row>
    <row r="545">
      <c r="A545" s="8" t="inlineStr">
        <is>
          <t>GET</t>
        </is>
      </c>
      <c r="B545" s="8" t="inlineStr">
        <is>
          <t>/api/v1/me/pay</t>
        </is>
      </c>
      <c r="C545" s="8" t="inlineStr">
        <is>
          <t>auth</t>
        </is>
      </c>
      <c r="D545" s="8" t="inlineStr">
        <is>
          <t>worker/src/routes/daily.ts</t>
        </is>
      </c>
      <c r="E545" s="8" t="n">
        <v>856</v>
      </c>
      <c r="F545" s="8" t="inlineStr">
        <is>
          <t>Yes</t>
        </is>
      </c>
      <c r="G545" s="8" t="n">
        <v>51</v>
      </c>
    </row>
    <row r="546">
      <c r="A546" s="8" t="inlineStr">
        <is>
          <t>PUT</t>
        </is>
      </c>
      <c r="B546" s="8" t="inlineStr">
        <is>
          <t>/api/v1/me/push-token</t>
        </is>
      </c>
      <c r="C546" s="8" t="inlineStr">
        <is>
          <t>auth</t>
        </is>
      </c>
      <c r="D546" s="8" t="inlineStr">
        <is>
          <t>worker/src/routes/daily.ts</t>
        </is>
      </c>
      <c r="E546" s="8" t="n">
        <v>907</v>
      </c>
      <c r="F546" s="8" t="inlineStr">
        <is>
          <t>Yes</t>
        </is>
      </c>
      <c r="G546" s="8" t="n">
        <v>51</v>
      </c>
    </row>
    <row r="547">
      <c r="A547" s="8" t="inlineStr">
        <is>
          <t>DELETE</t>
        </is>
      </c>
      <c r="B547" s="8" t="inlineStr">
        <is>
          <t>/api/v1/me/push-token</t>
        </is>
      </c>
      <c r="C547" s="8" t="inlineStr">
        <is>
          <t>auth</t>
        </is>
      </c>
      <c r="D547" s="8" t="inlineStr">
        <is>
          <t>worker/src/routes/daily.ts</t>
        </is>
      </c>
      <c r="E547" s="8" t="n">
        <v>921</v>
      </c>
      <c r="F547" s="8" t="inlineStr">
        <is>
          <t>Yes</t>
        </is>
      </c>
      <c r="G547" s="8" t="n">
        <v>51</v>
      </c>
    </row>
    <row r="548">
      <c r="A548" s="8" t="inlineStr">
        <is>
          <t>GET</t>
        </is>
      </c>
      <c r="B548" s="8" t="inlineStr">
        <is>
          <t>/api/v1/me/day-code</t>
        </is>
      </c>
      <c r="C548" s="8" t="inlineStr">
        <is>
          <t>auth</t>
        </is>
      </c>
      <c r="D548" s="8" t="inlineStr">
        <is>
          <t>worker/src/routes/daily.ts</t>
        </is>
      </c>
      <c r="E548" s="8" t="n">
        <v>929</v>
      </c>
      <c r="F548" s="8" t="inlineStr">
        <is>
          <t>Yes</t>
        </is>
      </c>
      <c r="G548" s="8" t="n">
        <v>51</v>
      </c>
    </row>
    <row r="549">
      <c r="A549" s="8" t="inlineStr">
        <is>
          <t>GET</t>
        </is>
      </c>
      <c r="B549" s="8" t="inlineStr">
        <is>
          <t>/api/v1/me/institutions</t>
        </is>
      </c>
      <c r="C549" s="8" t="inlineStr">
        <is>
          <t>auth</t>
        </is>
      </c>
      <c r="D549" s="8" t="inlineStr">
        <is>
          <t>worker/src/routes/daily.ts</t>
        </is>
      </c>
      <c r="E549" s="8" t="n">
        <v>940</v>
      </c>
      <c r="F549" s="8" t="inlineStr">
        <is>
          <t>Yes</t>
        </is>
      </c>
      <c r="G549" s="8" t="n">
        <v>51</v>
      </c>
    </row>
    <row r="550">
      <c r="A550" s="8" t="inlineStr">
        <is>
          <t>POST</t>
        </is>
      </c>
      <c r="B550" s="8" t="inlineStr">
        <is>
          <t>/api/v1/jobs</t>
        </is>
      </c>
      <c r="C550" s="8" t="inlineStr">
        <is>
          <t>admin.jobs.enqueue</t>
        </is>
      </c>
      <c r="D550" s="8" t="inlineStr">
        <is>
          <t>worker/src/routes/daily.ts</t>
        </is>
      </c>
      <c r="E550" s="8" t="n">
        <v>976</v>
      </c>
      <c r="F550" s="8" t="inlineStr">
        <is>
          <t>Yes</t>
        </is>
      </c>
      <c r="G550" s="8" t="n">
        <v>51</v>
      </c>
    </row>
    <row r="551">
      <c r="A551" s="8" t="inlineStr">
        <is>
          <t>GET</t>
        </is>
      </c>
      <c r="B551" s="8" t="inlineStr">
        <is>
          <t>/api/v1/jobs/queues</t>
        </is>
      </c>
      <c r="C551" s="8" t="inlineStr">
        <is>
          <t>admin.jobs.read</t>
        </is>
      </c>
      <c r="D551" s="8" t="inlineStr">
        <is>
          <t>worker/src/routes/daily.ts</t>
        </is>
      </c>
      <c r="E551" s="8" t="n">
        <v>1011</v>
      </c>
      <c r="F551" s="8" t="inlineStr">
        <is>
          <t>Yes</t>
        </is>
      </c>
      <c r="G551" s="8" t="n">
        <v>51</v>
      </c>
    </row>
    <row r="552">
      <c r="A552" s="8" t="inlineStr">
        <is>
          <t>GET</t>
        </is>
      </c>
      <c r="B552" s="8" t="inlineStr">
        <is>
          <t>/api/v1/jobs/{id}</t>
        </is>
      </c>
      <c r="C552" s="8" t="inlineStr">
        <is>
          <t>admin.jobs.read</t>
        </is>
      </c>
      <c r="D552" s="8" t="inlineStr">
        <is>
          <t>worker/src/routes/daily.ts</t>
        </is>
      </c>
      <c r="E552" s="8" t="n">
        <v>1031</v>
      </c>
      <c r="F552" s="8" t="inlineStr">
        <is>
          <t>Yes</t>
        </is>
      </c>
      <c r="G552" s="8" t="n">
        <v>51</v>
      </c>
    </row>
    <row r="553">
      <c r="A553" s="8" t="inlineStr">
        <is>
          <t>GET</t>
        </is>
      </c>
      <c r="B553" s="8" t="inlineStr">
        <is>
          <t>/api/v1/workflow/approvals</t>
        </is>
      </c>
      <c r="C553" s="8" t="inlineStr">
        <is>
          <t>auth</t>
        </is>
      </c>
      <c r="D553" s="8" t="inlineStr">
        <is>
          <t>worker/src/routes/daily.ts</t>
        </is>
      </c>
      <c r="E553" s="8" t="n">
        <v>1042</v>
      </c>
      <c r="F553" s="8" t="inlineStr">
        <is>
          <t>Yes</t>
        </is>
      </c>
      <c r="G553" s="8" t="n">
        <v>51</v>
      </c>
    </row>
    <row r="554">
      <c r="A554" s="8" t="inlineStr">
        <is>
          <t>POST</t>
        </is>
      </c>
      <c r="B554" s="8" t="inlineStr">
        <is>
          <t>/api/v1/workflow/leave</t>
        </is>
      </c>
      <c r="C554" s="8" t="inlineStr">
        <is>
          <t>auth</t>
        </is>
      </c>
      <c r="D554" s="8" t="inlineStr">
        <is>
          <t>worker/src/routes/daily.ts</t>
        </is>
      </c>
      <c r="E554" s="8" t="n">
        <v>1043</v>
      </c>
      <c r="F554" s="8" t="inlineStr">
        <is>
          <t>Yes</t>
        </is>
      </c>
      <c r="G554" s="8" t="n">
        <v>51</v>
      </c>
    </row>
    <row r="555">
      <c r="A555" s="8" t="inlineStr">
        <is>
          <t>POST</t>
        </is>
      </c>
      <c r="B555" s="8" t="inlineStr">
        <is>
          <t>/api/v1/workflow/leave/{id}/decide</t>
        </is>
      </c>
      <c r="C555" s="8" t="inlineStr">
        <is>
          <t>auth</t>
        </is>
      </c>
      <c r="D555" s="8" t="inlineStr">
        <is>
          <t>worker/src/routes/daily.ts</t>
        </is>
      </c>
      <c r="E555" s="8" t="n">
        <v>1044</v>
      </c>
      <c r="F555" s="8" t="inlineStr">
        <is>
          <t>Yes</t>
        </is>
      </c>
      <c r="G555" s="8" t="n">
        <v>51</v>
      </c>
    </row>
    <row r="556">
      <c r="A556" s="8" t="inlineStr">
        <is>
          <t>POST</t>
        </is>
      </c>
      <c r="B556" s="8" t="inlineStr">
        <is>
          <t>/api/v1/workflow/concessions/{id}/decide</t>
        </is>
      </c>
      <c r="C556" s="8" t="inlineStr">
        <is>
          <t>finance.fees.write</t>
        </is>
      </c>
      <c r="D556" s="8" t="inlineStr">
        <is>
          <t>worker/src/routes/daily.ts</t>
        </is>
      </c>
      <c r="E556" s="8" t="n">
        <v>1045</v>
      </c>
      <c r="F556" s="8" t="inlineStr">
        <is>
          <t>Yes</t>
        </is>
      </c>
      <c r="G556" s="8" t="n">
        <v>51</v>
      </c>
    </row>
    <row r="557">
      <c r="A557" s="8" t="inlineStr">
        <is>
          <t>GET</t>
        </is>
      </c>
      <c r="B557" s="8" t="inlineStr">
        <is>
          <t>/api/v1/workflow/staff-register</t>
        </is>
      </c>
      <c r="C557" s="8" t="inlineStr">
        <is>
          <t>hr.attendance.write</t>
        </is>
      </c>
      <c r="D557" s="8" t="inlineStr">
        <is>
          <t>worker/src/routes/daily.ts</t>
        </is>
      </c>
      <c r="E557" s="8" t="n">
        <v>1046</v>
      </c>
      <c r="F557" s="8" t="inlineStr">
        <is>
          <t>Yes</t>
        </is>
      </c>
      <c r="G557" s="8" t="n">
        <v>51</v>
      </c>
    </row>
    <row r="558">
      <c r="A558" s="8" t="inlineStr">
        <is>
          <t>POST</t>
        </is>
      </c>
      <c r="B558" s="8" t="inlineStr">
        <is>
          <t>/api/v1/workflow/staff-attendance</t>
        </is>
      </c>
      <c r="C558" s="8" t="inlineStr">
        <is>
          <t>hr.attendance.write</t>
        </is>
      </c>
      <c r="D558" s="8" t="inlineStr">
        <is>
          <t>worker/src/routes/daily.ts</t>
        </is>
      </c>
      <c r="E558" s="8" t="n">
        <v>1059</v>
      </c>
      <c r="F558" s="8" t="inlineStr">
        <is>
          <t>Yes</t>
        </is>
      </c>
      <c r="G558" s="8" t="n">
        <v>51</v>
      </c>
    </row>
    <row r="559">
      <c r="A559" s="8" t="inlineStr">
        <is>
          <t>GET</t>
        </is>
      </c>
      <c r="B559" s="8" t="inlineStr">
        <is>
          <t>/api/v1/homework</t>
        </is>
      </c>
      <c r="C559" s="8" t="inlineStr">
        <is>
          <t>auth</t>
        </is>
      </c>
      <c r="D559" s="8" t="inlineStr">
        <is>
          <t>worker/src/routes/daily.ts</t>
        </is>
      </c>
      <c r="E559" s="8" t="n">
        <v>1423</v>
      </c>
      <c r="F559" s="8" t="inlineStr">
        <is>
          <t>Yes</t>
        </is>
      </c>
      <c r="G559" s="8" t="n">
        <v>51</v>
      </c>
    </row>
    <row r="560">
      <c r="A560" s="8" t="inlineStr">
        <is>
          <t>POST</t>
        </is>
      </c>
      <c r="B560" s="8" t="inlineStr">
        <is>
          <t>/api/v1/homework</t>
        </is>
      </c>
      <c r="C560" s="8" t="inlineStr">
        <is>
          <t>academics.homework.write</t>
        </is>
      </c>
      <c r="D560" s="8" t="inlineStr">
        <is>
          <t>worker/src/routes/daily.ts</t>
        </is>
      </c>
      <c r="E560" s="8" t="n">
        <v>1424</v>
      </c>
      <c r="F560" s="8" t="inlineStr">
        <is>
          <t>Yes</t>
        </is>
      </c>
      <c r="G560" s="8" t="n">
        <v>51</v>
      </c>
    </row>
    <row r="561">
      <c r="A561" s="8" t="inlineStr">
        <is>
          <t>POST</t>
        </is>
      </c>
      <c r="B561" s="8" t="inlineStr">
        <is>
          <t>/api/v1/homework/{id}/submit</t>
        </is>
      </c>
      <c r="C561" s="8" t="inlineStr">
        <is>
          <t>auth</t>
        </is>
      </c>
      <c r="D561" s="8" t="inlineStr">
        <is>
          <t>worker/src/routes/daily.ts</t>
        </is>
      </c>
      <c r="E561" s="8" t="n">
        <v>1425</v>
      </c>
      <c r="F561" s="8" t="inlineStr">
        <is>
          <t>Yes</t>
        </is>
      </c>
      <c r="G561" s="8" t="n">
        <v>51</v>
      </c>
    </row>
    <row r="562">
      <c r="A562" s="8" t="inlineStr">
        <is>
          <t>GET</t>
        </is>
      </c>
      <c r="B562" s="8" t="inlineStr">
        <is>
          <t>/api/v1/homework/{id}/submissions</t>
        </is>
      </c>
      <c r="C562" s="8" t="inlineStr">
        <is>
          <t>auth</t>
        </is>
      </c>
      <c r="D562" s="8" t="inlineStr">
        <is>
          <t>worker/src/routes/daily.ts</t>
        </is>
      </c>
      <c r="E562" s="8" t="n">
        <v>1426</v>
      </c>
      <c r="F562" s="8" t="inlineStr">
        <is>
          <t>Yes</t>
        </is>
      </c>
      <c r="G562" s="8" t="n">
        <v>51</v>
      </c>
    </row>
    <row r="563">
      <c r="A563" s="8" t="inlineStr">
        <is>
          <t>GET</t>
        </is>
      </c>
      <c r="B563" s="8" t="inlineStr">
        <is>
          <t>/api/v1/exams/list</t>
        </is>
      </c>
      <c r="C563" s="8" t="inlineStr">
        <is>
          <t>EXAMS_READ</t>
        </is>
      </c>
      <c r="D563" s="8" t="inlineStr">
        <is>
          <t>worker/src/routes/exams.ts</t>
        </is>
      </c>
      <c r="E563" s="8" t="n">
        <v>39</v>
      </c>
      <c r="F563" s="8" t="inlineStr">
        <is>
          <t>Yes</t>
        </is>
      </c>
      <c r="G563" s="8" t="n">
        <v>36</v>
      </c>
    </row>
    <row r="564">
      <c r="A564" s="8" t="inlineStr">
        <is>
          <t>POST</t>
        </is>
      </c>
      <c r="B564" s="8" t="inlineStr">
        <is>
          <t>/api/v1/exams/{id}/papers</t>
        </is>
      </c>
      <c r="C564" s="8" t="inlineStr">
        <is>
          <t>EXAMS_WRITE</t>
        </is>
      </c>
      <c r="D564" s="8" t="inlineStr">
        <is>
          <t>worker/src/routes/exams.ts</t>
        </is>
      </c>
      <c r="E564" s="8" t="n">
        <v>50</v>
      </c>
      <c r="F564" s="8" t="inlineStr">
        <is>
          <t>Yes</t>
        </is>
      </c>
      <c r="G564" s="8" t="n">
        <v>36</v>
      </c>
    </row>
    <row r="565">
      <c r="A565" s="8" t="inlineStr">
        <is>
          <t>GET</t>
        </is>
      </c>
      <c r="B565" s="8" t="inlineStr">
        <is>
          <t>/api/v1/exams/subjects</t>
        </is>
      </c>
      <c r="C565" s="8" t="inlineStr">
        <is>
          <t>EXAMS_READ</t>
        </is>
      </c>
      <c r="D565" s="8" t="inlineStr">
        <is>
          <t>worker/src/routes/exams.ts</t>
        </is>
      </c>
      <c r="E565" s="8" t="n">
        <v>74</v>
      </c>
      <c r="F565" s="8" t="inlineStr">
        <is>
          <t>Yes</t>
        </is>
      </c>
      <c r="G565" s="8" t="n">
        <v>36</v>
      </c>
    </row>
    <row r="566">
      <c r="A566" s="8" t="inlineStr">
        <is>
          <t>PUT</t>
        </is>
      </c>
      <c r="B566" s="8" t="inlineStr">
        <is>
          <t>/api/v1/exams/subjects/{id}/setup</t>
        </is>
      </c>
      <c r="C566" s="8" t="inlineStr">
        <is>
          <t>MARKS_WRITE</t>
        </is>
      </c>
      <c r="D566" s="8" t="inlineStr">
        <is>
          <t>worker/src/routes/exams.ts</t>
        </is>
      </c>
      <c r="E566" s="8" t="n">
        <v>107</v>
      </c>
      <c r="F566" s="8" t="inlineStr">
        <is>
          <t>Yes</t>
        </is>
      </c>
      <c r="G566" s="8" t="n">
        <v>36</v>
      </c>
    </row>
    <row r="567">
      <c r="A567" s="8" t="inlineStr">
        <is>
          <t>GET</t>
        </is>
      </c>
      <c r="B567" s="8" t="inlineStr">
        <is>
          <t>/api/v1/exams/gradebook</t>
        </is>
      </c>
      <c r="C567" s="8" t="inlineStr">
        <is>
          <t>EXAMS_READ</t>
        </is>
      </c>
      <c r="D567" s="8" t="inlineStr">
        <is>
          <t>worker/src/routes/exams.ts</t>
        </is>
      </c>
      <c r="E567" s="8" t="n">
        <v>135</v>
      </c>
      <c r="F567" s="8" t="inlineStr">
        <is>
          <t>Yes</t>
        </is>
      </c>
      <c r="G567" s="8" t="n">
        <v>36</v>
      </c>
    </row>
    <row r="568">
      <c r="A568" s="8" t="inlineStr">
        <is>
          <t>GET</t>
        </is>
      </c>
      <c r="B568" s="8" t="inlineStr">
        <is>
          <t>/api/v1/exams/report-cards</t>
        </is>
      </c>
      <c r="C568" s="8" t="inlineStr">
        <is>
          <t>EXAMS_READ</t>
        </is>
      </c>
      <c r="D568" s="8" t="inlineStr">
        <is>
          <t>worker/src/routes/exams.ts</t>
        </is>
      </c>
      <c r="E568" s="8" t="n">
        <v>159</v>
      </c>
      <c r="F568" s="8" t="inlineStr">
        <is>
          <t>Yes</t>
        </is>
      </c>
      <c r="G568" s="8" t="n">
        <v>36</v>
      </c>
    </row>
    <row r="569">
      <c r="A569" s="8" t="inlineStr">
        <is>
          <t>GET</t>
        </is>
      </c>
      <c r="B569" s="8" t="inlineStr">
        <is>
          <t>/api/v1/exams/report-cards/readiness</t>
        </is>
      </c>
      <c r="C569" s="8" t="inlineStr">
        <is>
          <t>EXAMS_READ</t>
        </is>
      </c>
      <c r="D569" s="8" t="inlineStr">
        <is>
          <t>worker/src/routes/exams.ts</t>
        </is>
      </c>
      <c r="E569" s="8" t="n">
        <v>160</v>
      </c>
      <c r="F569" s="8" t="inlineStr">
        <is>
          <t>Yes</t>
        </is>
      </c>
      <c r="G569" s="8" t="n">
        <v>36</v>
      </c>
    </row>
    <row r="570">
      <c r="A570" s="8" t="inlineStr">
        <is>
          <t>POST</t>
        </is>
      </c>
      <c r="B570" s="8" t="inlineStr">
        <is>
          <t>/api/v1/exams/marks</t>
        </is>
      </c>
      <c r="C570" s="8" t="inlineStr">
        <is>
          <t>MARKS_WRITE</t>
        </is>
      </c>
      <c r="D570" s="8" t="inlineStr">
        <is>
          <t>worker/src/routes/exams.ts</t>
        </is>
      </c>
      <c r="E570" s="8" t="n">
        <v>181</v>
      </c>
      <c r="F570" s="8" t="inlineStr">
        <is>
          <t>Yes</t>
        </is>
      </c>
      <c r="G570" s="8" t="n">
        <v>36</v>
      </c>
    </row>
    <row r="571">
      <c r="A571" s="8" t="inlineStr">
        <is>
          <t>GET</t>
        </is>
      </c>
      <c r="B571" s="8" t="inlineStr">
        <is>
          <t>/api/v1/exams/question-papers</t>
        </is>
      </c>
      <c r="C571" s="8" t="inlineStr">
        <is>
          <t>EXAMS_READ</t>
        </is>
      </c>
      <c r="D571" s="8" t="inlineStr">
        <is>
          <t>worker/src/routes/exams.ts</t>
        </is>
      </c>
      <c r="E571" s="8" t="n">
        <v>184</v>
      </c>
      <c r="F571" s="8" t="inlineStr">
        <is>
          <t>Yes</t>
        </is>
      </c>
      <c r="G571" s="8" t="n">
        <v>36</v>
      </c>
    </row>
    <row r="572">
      <c r="A572" s="8" t="inlineStr">
        <is>
          <t>GET</t>
        </is>
      </c>
      <c r="B572" s="8" t="inlineStr">
        <is>
          <t>/api/v1/exams/question-papers/slots</t>
        </is>
      </c>
      <c r="C572" s="8" t="inlineStr">
        <is>
          <t>EXAMS_READ</t>
        </is>
      </c>
      <c r="D572" s="8" t="inlineStr">
        <is>
          <t>worker/src/routes/exams.ts</t>
        </is>
      </c>
      <c r="E572" s="8" t="n">
        <v>185</v>
      </c>
      <c r="F572" s="8" t="inlineStr">
        <is>
          <t>Yes</t>
        </is>
      </c>
      <c r="G572" s="8" t="n">
        <v>36</v>
      </c>
    </row>
    <row r="573">
      <c r="A573" s="8" t="inlineStr">
        <is>
          <t>POST</t>
        </is>
      </c>
      <c r="B573" s="8" t="inlineStr">
        <is>
          <t>/api/v1/exams/question-papers</t>
        </is>
      </c>
      <c r="C573" s="8" t="inlineStr">
        <is>
          <t>EXAMS_READ</t>
        </is>
      </c>
      <c r="D573" s="8" t="inlineStr">
        <is>
          <t>worker/src/routes/exams.ts</t>
        </is>
      </c>
      <c r="E573" s="8" t="n">
        <v>203</v>
      </c>
      <c r="F573" s="8" t="inlineStr">
        <is>
          <t>Yes</t>
        </is>
      </c>
      <c r="G573" s="8" t="n">
        <v>36</v>
      </c>
    </row>
    <row r="574">
      <c r="A574" s="8" t="inlineStr">
        <is>
          <t>POST</t>
        </is>
      </c>
      <c r="B574" s="8" t="inlineStr">
        <is>
          <t>/api/v1/exams/question-papers/{id}/decide</t>
        </is>
      </c>
      <c r="C574" s="8" t="inlineStr">
        <is>
          <t>EXAMS_APPROVE</t>
        </is>
      </c>
      <c r="D574" s="8" t="inlineStr">
        <is>
          <t>worker/src/routes/exams.ts</t>
        </is>
      </c>
      <c r="E574" s="8" t="n">
        <v>204</v>
      </c>
      <c r="F574" s="8" t="inlineStr">
        <is>
          <t>Yes</t>
        </is>
      </c>
      <c r="G574" s="8" t="n">
        <v>36</v>
      </c>
    </row>
    <row r="575">
      <c r="A575" s="8" t="inlineStr">
        <is>
          <t>GET</t>
        </is>
      </c>
      <c r="B575" s="8" t="inlineStr">
        <is>
          <t>/api/v1/exams/moderation</t>
        </is>
      </c>
      <c r="C575" s="8" t="inlineStr">
        <is>
          <t>EXAMS_APPROVE</t>
        </is>
      </c>
      <c r="D575" s="8" t="inlineStr">
        <is>
          <t>worker/src/routes/exams.ts</t>
        </is>
      </c>
      <c r="E575" s="8" t="n">
        <v>207</v>
      </c>
      <c r="F575" s="8" t="inlineStr">
        <is>
          <t>Yes</t>
        </is>
      </c>
      <c r="G575" s="8" t="n">
        <v>36</v>
      </c>
    </row>
    <row r="576">
      <c r="A576" s="8" t="inlineStr">
        <is>
          <t>POST</t>
        </is>
      </c>
      <c r="B576" s="8" t="inlineStr">
        <is>
          <t>/api/v1/exams/moderation</t>
        </is>
      </c>
      <c r="C576" s="8" t="inlineStr">
        <is>
          <t>EXAMS_APPROVE</t>
        </is>
      </c>
      <c r="D576" s="8" t="inlineStr">
        <is>
          <t>worker/src/routes/exams.ts</t>
        </is>
      </c>
      <c r="E576" s="8" t="n">
        <v>208</v>
      </c>
      <c r="F576" s="8" t="inlineStr">
        <is>
          <t>Yes</t>
        </is>
      </c>
      <c r="G576" s="8" t="n">
        <v>36</v>
      </c>
    </row>
    <row r="577">
      <c r="A577" s="8" t="inlineStr">
        <is>
          <t>POST</t>
        </is>
      </c>
      <c r="B577" s="8" t="inlineStr">
        <is>
          <t>/api/v1/exams/report-cards/generate</t>
        </is>
      </c>
      <c r="C577" s="8" t="inlineStr">
        <is>
          <t>RC_GENERATE</t>
        </is>
      </c>
      <c r="D577" s="8" t="inlineStr">
        <is>
          <t>worker/src/routes/exams.ts</t>
        </is>
      </c>
      <c r="E577" s="8" t="n">
        <v>209</v>
      </c>
      <c r="F577" s="8" t="inlineStr">
        <is>
          <t>Yes</t>
        </is>
      </c>
      <c r="G577" s="8" t="n">
        <v>36</v>
      </c>
    </row>
    <row r="578">
      <c r="A578" s="8" t="inlineStr">
        <is>
          <t>GET</t>
        </is>
      </c>
      <c r="B578" s="8" t="inlineStr">
        <is>
          <t>/api/v1/exams/report-cards/template</t>
        </is>
      </c>
      <c r="C578" s="8" t="inlineStr">
        <is>
          <t>EXAMS_READ</t>
        </is>
      </c>
      <c r="D578" s="8" t="inlineStr">
        <is>
          <t>worker/src/routes/exams.ts</t>
        </is>
      </c>
      <c r="E578" s="8" t="n">
        <v>212</v>
      </c>
      <c r="F578" s="8" t="inlineStr">
        <is>
          <t>Yes</t>
        </is>
      </c>
      <c r="G578" s="8" t="n">
        <v>36</v>
      </c>
    </row>
    <row r="579">
      <c r="A579" s="8" t="inlineStr">
        <is>
          <t>GET</t>
        </is>
      </c>
      <c r="B579" s="8" t="inlineStr">
        <is>
          <t>/api/v1/exams/report-cards/render</t>
        </is>
      </c>
      <c r="C579" s="8" t="inlineStr">
        <is>
          <t>EXAMS_READ</t>
        </is>
      </c>
      <c r="D579" s="8" t="inlineStr">
        <is>
          <t>worker/src/routes/exams.ts</t>
        </is>
      </c>
      <c r="E579" s="8" t="n">
        <v>220</v>
      </c>
      <c r="F579" s="8" t="inlineStr">
        <is>
          <t>Yes</t>
        </is>
      </c>
      <c r="G579" s="8" t="n">
        <v>36</v>
      </c>
    </row>
    <row r="580">
      <c r="A580" s="8" t="inlineStr">
        <is>
          <t>POST</t>
        </is>
      </c>
      <c r="B580" s="8" t="inlineStr">
        <is>
          <t>/api/v1/exams/report-cards/template</t>
        </is>
      </c>
      <c r="C580" s="8" t="inlineStr">
        <is>
          <t>RC_GENERATE</t>
        </is>
      </c>
      <c r="D580" s="8" t="inlineStr">
        <is>
          <t>worker/src/routes/exams.ts</t>
        </is>
      </c>
      <c r="E580" s="8" t="n">
        <v>227</v>
      </c>
      <c r="F580" s="8" t="inlineStr">
        <is>
          <t>Yes</t>
        </is>
      </c>
      <c r="G580" s="8" t="n">
        <v>36</v>
      </c>
    </row>
    <row r="581">
      <c r="A581" s="8" t="inlineStr">
        <is>
          <t>POST</t>
        </is>
      </c>
      <c r="B581" s="8" t="inlineStr">
        <is>
          <t>/api/v1/exams/report-cards/template/reset</t>
        </is>
      </c>
      <c r="C581" s="8" t="inlineStr">
        <is>
          <t>RC_GENERATE</t>
        </is>
      </c>
      <c r="D581" s="8" t="inlineStr">
        <is>
          <t>worker/src/routes/exams.ts</t>
        </is>
      </c>
      <c r="E581" s="8" t="n">
        <v>246</v>
      </c>
      <c r="F581" s="8" t="inlineStr">
        <is>
          <t>Yes</t>
        </is>
      </c>
      <c r="G581" s="8" t="n">
        <v>36</v>
      </c>
    </row>
    <row r="582">
      <c r="A582" s="8" t="inlineStr">
        <is>
          <t>POST</t>
        </is>
      </c>
      <c r="B582" s="8" t="inlineStr">
        <is>
          <t>/api/v1/exams/report-cards/font</t>
        </is>
      </c>
      <c r="C582" s="8" t="inlineStr">
        <is>
          <t>RC_GENERATE</t>
        </is>
      </c>
      <c r="D582" s="8" t="inlineStr">
        <is>
          <t>worker/src/routes/exams.ts</t>
        </is>
      </c>
      <c r="E582" s="8" t="n">
        <v>250</v>
      </c>
      <c r="F582" s="8" t="inlineStr">
        <is>
          <t>Yes</t>
        </is>
      </c>
      <c r="G582" s="8" t="n">
        <v>36</v>
      </c>
    </row>
    <row r="583">
      <c r="A583" s="8" t="inlineStr">
        <is>
          <t>POST</t>
        </is>
      </c>
      <c r="B583" s="8" t="inlineStr">
        <is>
          <t>/api/v1/exams/report-cards/submit</t>
        </is>
      </c>
      <c r="C583" s="8" t="inlineStr">
        <is>
          <t>RC_GENERATE</t>
        </is>
      </c>
      <c r="D583" s="8" t="inlineStr">
        <is>
          <t>worker/src/routes/exams.ts</t>
        </is>
      </c>
      <c r="E583" s="8" t="n">
        <v>262</v>
      </c>
      <c r="F583" s="8" t="inlineStr">
        <is>
          <t>Yes</t>
        </is>
      </c>
      <c r="G583" s="8" t="n">
        <v>36</v>
      </c>
    </row>
    <row r="584">
      <c r="A584" s="8" t="inlineStr">
        <is>
          <t>GET</t>
        </is>
      </c>
      <c r="B584" s="8" t="inlineStr">
        <is>
          <t>/api/v1/exams/report-cards/pending</t>
        </is>
      </c>
      <c r="C584" s="8" t="inlineStr">
        <is>
          <t>RC_PUBLISH</t>
        </is>
      </c>
      <c r="D584" s="8" t="inlineStr">
        <is>
          <t>worker/src/routes/exams.ts</t>
        </is>
      </c>
      <c r="E584" s="8" t="n">
        <v>263</v>
      </c>
      <c r="F584" s="8" t="inlineStr">
        <is>
          <t>Yes</t>
        </is>
      </c>
      <c r="G584" s="8" t="n">
        <v>36</v>
      </c>
    </row>
    <row r="585">
      <c r="A585" s="8" t="inlineStr">
        <is>
          <t>POST</t>
        </is>
      </c>
      <c r="B585" s="8" t="inlineStr">
        <is>
          <t>/api/v1/exams/report-cards/publish</t>
        </is>
      </c>
      <c r="C585" s="8" t="inlineStr">
        <is>
          <t>RC_PUBLISH</t>
        </is>
      </c>
      <c r="D585" s="8" t="inlineStr">
        <is>
          <t>worker/src/routes/exams.ts</t>
        </is>
      </c>
      <c r="E585" s="8" t="n">
        <v>282</v>
      </c>
      <c r="F585" s="8" t="inlineStr">
        <is>
          <t>Yes</t>
        </is>
      </c>
      <c r="G585" s="8" t="n">
        <v>36</v>
      </c>
    </row>
    <row r="586">
      <c r="A586" s="8" t="inlineStr">
        <is>
          <t>POST</t>
        </is>
      </c>
      <c r="B586" s="8" t="inlineStr">
        <is>
          <t>/api/v1/exams/report-cards/return</t>
        </is>
      </c>
      <c r="C586" s="8" t="inlineStr">
        <is>
          <t>RC_PUBLISH</t>
        </is>
      </c>
      <c r="D586" s="8" t="inlineStr">
        <is>
          <t>worker/src/routes/exams.ts</t>
        </is>
      </c>
      <c r="E586" s="8" t="n">
        <v>283</v>
      </c>
      <c r="F586" s="8" t="inlineStr">
        <is>
          <t>Yes</t>
        </is>
      </c>
      <c r="G586" s="8" t="n">
        <v>36</v>
      </c>
    </row>
    <row r="587">
      <c r="A587" s="8" t="inlineStr">
        <is>
          <t>GET</t>
        </is>
      </c>
      <c r="B587" s="8" t="inlineStr">
        <is>
          <t>/api/v1/exams/my-signature</t>
        </is>
      </c>
      <c r="C587" s="8" t="inlineStr">
        <is>
          <t>EXAMS_READ</t>
        </is>
      </c>
      <c r="D587" s="8" t="inlineStr">
        <is>
          <t>worker/src/routes/exams.ts</t>
        </is>
      </c>
      <c r="E587" s="8" t="n">
        <v>286</v>
      </c>
      <c r="F587" s="8" t="inlineStr">
        <is>
          <t>Yes</t>
        </is>
      </c>
      <c r="G587" s="8" t="n">
        <v>36</v>
      </c>
    </row>
    <row r="588">
      <c r="A588" s="8" t="inlineStr">
        <is>
          <t>PUT</t>
        </is>
      </c>
      <c r="B588" s="8" t="inlineStr">
        <is>
          <t>/api/v1/exams/my-signature</t>
        </is>
      </c>
      <c r="C588" s="8" t="inlineStr">
        <is>
          <t>EXAMS_READ</t>
        </is>
      </c>
      <c r="D588" s="8" t="inlineStr">
        <is>
          <t>worker/src/routes/exams.ts</t>
        </is>
      </c>
      <c r="E588" s="8" t="n">
        <v>290</v>
      </c>
      <c r="F588" s="8" t="inlineStr">
        <is>
          <t>Yes</t>
        </is>
      </c>
      <c r="G588" s="8" t="n">
        <v>36</v>
      </c>
    </row>
    <row r="589">
      <c r="A589" s="8" t="inlineStr">
        <is>
          <t>GET</t>
        </is>
      </c>
      <c r="B589" s="8" t="inlineStr">
        <is>
          <t>/api/v1/exams/halls</t>
        </is>
      </c>
      <c r="C589" s="8" t="inlineStr">
        <is>
          <t>EXAMS_READ</t>
        </is>
      </c>
      <c r="D589" s="8" t="inlineStr">
        <is>
          <t>worker/src/routes/exams.ts</t>
        </is>
      </c>
      <c r="E589" s="8" t="n">
        <v>299</v>
      </c>
      <c r="F589" s="8" t="inlineStr">
        <is>
          <t>Yes</t>
        </is>
      </c>
      <c r="G589" s="8" t="n">
        <v>36</v>
      </c>
    </row>
    <row r="590">
      <c r="A590" s="8" t="inlineStr">
        <is>
          <t>POST</t>
        </is>
      </c>
      <c r="B590" s="8" t="inlineStr">
        <is>
          <t>/api/v1/exams/halls</t>
        </is>
      </c>
      <c r="C590" s="8" t="inlineStr">
        <is>
          <t>EXAMS_WRITE</t>
        </is>
      </c>
      <c r="D590" s="8" t="inlineStr">
        <is>
          <t>worker/src/routes/exams.ts</t>
        </is>
      </c>
      <c r="E590" s="8" t="n">
        <v>306</v>
      </c>
      <c r="F590" s="8" t="inlineStr">
        <is>
          <t>Yes</t>
        </is>
      </c>
      <c r="G590" s="8" t="n">
        <v>36</v>
      </c>
    </row>
    <row r="591">
      <c r="A591" s="8" t="inlineStr">
        <is>
          <t>POST</t>
        </is>
      </c>
      <c r="B591" s="8" t="inlineStr">
        <is>
          <t>/api/v1/exams/seats/allocate</t>
        </is>
      </c>
      <c r="C591" s="8" t="inlineStr">
        <is>
          <t>EXAMS_WRITE</t>
        </is>
      </c>
      <c r="D591" s="8" t="inlineStr">
        <is>
          <t>worker/src/routes/exams.ts</t>
        </is>
      </c>
      <c r="E591" s="8" t="n">
        <v>321</v>
      </c>
      <c r="F591" s="8" t="inlineStr">
        <is>
          <t>Yes</t>
        </is>
      </c>
      <c r="G591" s="8" t="n">
        <v>36</v>
      </c>
    </row>
    <row r="592">
      <c r="A592" s="8" t="inlineStr">
        <is>
          <t>GET</t>
        </is>
      </c>
      <c r="B592" s="8" t="inlineStr">
        <is>
          <t>/api/v1/exams/hall-plan</t>
        </is>
      </c>
      <c r="C592" s="8" t="inlineStr">
        <is>
          <t>EXAMS_READ</t>
        </is>
      </c>
      <c r="D592" s="8" t="inlineStr">
        <is>
          <t>worker/src/routes/exams.ts</t>
        </is>
      </c>
      <c r="E592" s="8" t="n">
        <v>322</v>
      </c>
      <c r="F592" s="8" t="inlineStr">
        <is>
          <t>Yes</t>
        </is>
      </c>
      <c r="G592" s="8" t="n">
        <v>36</v>
      </c>
    </row>
    <row r="593">
      <c r="A593" s="8" t="inlineStr">
        <is>
          <t>GET</t>
        </is>
      </c>
      <c r="B593" s="8" t="inlineStr">
        <is>
          <t>/api/v1/hpc/card</t>
        </is>
      </c>
      <c r="C593" s="8" t="inlineStr">
        <is>
          <t>SELF_READ</t>
        </is>
      </c>
      <c r="D593" s="8" t="inlineStr">
        <is>
          <t>worker/src/routes/exams.ts</t>
        </is>
      </c>
      <c r="E593" s="8" t="n">
        <v>1338</v>
      </c>
      <c r="F593" s="8" t="inlineStr">
        <is>
          <t>Yes</t>
        </is>
      </c>
      <c r="G593" s="8" t="n">
        <v>36</v>
      </c>
    </row>
    <row r="594">
      <c r="A594" s="8" t="inlineStr">
        <is>
          <t>GET</t>
        </is>
      </c>
      <c r="B594" s="8" t="inlineStr">
        <is>
          <t>/api/v1/hpc/hall-ticket</t>
        </is>
      </c>
      <c r="C594" s="8" t="inlineStr">
        <is>
          <t>SELF_READ</t>
        </is>
      </c>
      <c r="D594" s="8" t="inlineStr">
        <is>
          <t>worker/src/routes/exams.ts</t>
        </is>
      </c>
      <c r="E594" s="8" t="n">
        <v>1439</v>
      </c>
      <c r="F594" s="8" t="inlineStr">
        <is>
          <t>Yes</t>
        </is>
      </c>
      <c r="G594" s="8" t="n">
        <v>36</v>
      </c>
    </row>
    <row r="595">
      <c r="A595" s="8" t="inlineStr">
        <is>
          <t>GET</t>
        </is>
      </c>
      <c r="B595" s="8" t="inlineStr">
        <is>
          <t>/api/v1/hpc/competencies</t>
        </is>
      </c>
      <c r="C595" s="8" t="inlineStr">
        <is>
          <t>SELF_READ</t>
        </is>
      </c>
      <c r="D595" s="8" t="inlineStr">
        <is>
          <t>worker/src/routes/exams.ts</t>
        </is>
      </c>
      <c r="E595" s="8" t="n">
        <v>1441</v>
      </c>
      <c r="F595" s="8" t="inlineStr">
        <is>
          <t>No</t>
        </is>
      </c>
      <c r="G595" s="8" t="n">
        <v>36</v>
      </c>
    </row>
    <row r="596">
      <c r="A596" s="8" t="inlineStr">
        <is>
          <t>POST</t>
        </is>
      </c>
      <c r="B596" s="8" t="inlineStr">
        <is>
          <t>/api/v1/hpc/observations</t>
        </is>
      </c>
      <c r="C596" s="8" t="inlineStr">
        <is>
          <t>SELF_READ</t>
        </is>
      </c>
      <c r="D596" s="8" t="inlineStr">
        <is>
          <t>worker/src/routes/exams.ts</t>
        </is>
      </c>
      <c r="E596" s="8" t="n">
        <v>1451</v>
      </c>
      <c r="F596" s="8" t="inlineStr">
        <is>
          <t>Yes</t>
        </is>
      </c>
      <c r="G596" s="8" t="n">
        <v>36</v>
      </c>
    </row>
    <row r="597">
      <c r="A597" s="8" t="inlineStr">
        <is>
          <t>GET</t>
        </is>
      </c>
      <c r="B597" s="8" t="inlineStr">
        <is>
          <t>/api/v1/lifecycle/certificates</t>
        </is>
      </c>
      <c r="C597" s="8" t="inlineStr">
        <is>
          <t>STUDENTS_READ</t>
        </is>
      </c>
      <c r="D597" s="8" t="inlineStr">
        <is>
          <t>worker/src/routes/exams.ts</t>
        </is>
      </c>
      <c r="E597" s="8" t="n">
        <v>1494</v>
      </c>
      <c r="F597" s="8" t="inlineStr">
        <is>
          <t>Yes</t>
        </is>
      </c>
      <c r="G597" s="8" t="n">
        <v>36</v>
      </c>
    </row>
    <row r="598">
      <c r="A598" s="8" t="inlineStr">
        <is>
          <t>POST</t>
        </is>
      </c>
      <c r="B598" s="8" t="inlineStr">
        <is>
          <t>/api/v1/lifecycle/promote</t>
        </is>
      </c>
      <c r="C598" s="8" t="inlineStr">
        <is>
          <t>STUDENTS_WRITE</t>
        </is>
      </c>
      <c r="D598" s="8" t="inlineStr">
        <is>
          <t>worker/src/routes/exams.ts</t>
        </is>
      </c>
      <c r="E598" s="8" t="n">
        <v>1515</v>
      </c>
      <c r="F598" s="8" t="inlineStr">
        <is>
          <t>Yes</t>
        </is>
      </c>
      <c r="G598" s="8" t="n">
        <v>36</v>
      </c>
    </row>
    <row r="599">
      <c r="A599" s="8" t="inlineStr">
        <is>
          <t>POST</t>
        </is>
      </c>
      <c r="B599" s="8" t="inlineStr">
        <is>
          <t>/api/v1/lifecycle/certificates</t>
        </is>
      </c>
      <c r="C599" s="8" t="inlineStr">
        <is>
          <t>STUDENTS_WRITE</t>
        </is>
      </c>
      <c r="D599" s="8" t="inlineStr">
        <is>
          <t>worker/src/routes/exams.ts</t>
        </is>
      </c>
      <c r="E599" s="8" t="n">
        <v>1540</v>
      </c>
      <c r="F599" s="8" t="inlineStr">
        <is>
          <t>Yes</t>
        </is>
      </c>
      <c r="G599" s="8" t="n">
        <v>36</v>
      </c>
    </row>
    <row r="600">
      <c r="A600" s="8" t="inlineStr">
        <is>
          <t>GET</t>
        </is>
      </c>
      <c r="B600" s="8" t="inlineStr">
        <is>
          <t>/api/v1/lifecycle/certificates/{id}/render</t>
        </is>
      </c>
      <c r="C600" s="8" t="inlineStr">
        <is>
          <t>STUDENTS_READ</t>
        </is>
      </c>
      <c r="D600" s="8" t="inlineStr">
        <is>
          <t>worker/src/routes/exams.ts</t>
        </is>
      </c>
      <c r="E600" s="8" t="n">
        <v>1542</v>
      </c>
      <c r="F600" s="8" t="inlineStr">
        <is>
          <t>Yes</t>
        </is>
      </c>
      <c r="G600" s="8" t="n">
        <v>36</v>
      </c>
    </row>
    <row r="601">
      <c r="A601" s="8" t="inlineStr">
        <is>
          <t>POST</t>
        </is>
      </c>
      <c r="B601" s="8" t="inlineStr">
        <is>
          <t>/api/v1/lifecycle/certificates/{id}/decide</t>
        </is>
      </c>
      <c r="C601" s="8" t="inlineStr">
        <is>
          <t>STUDENTS_WRITE</t>
        </is>
      </c>
      <c r="D601" s="8" t="inlineStr">
        <is>
          <t>worker/src/routes/exams.ts</t>
        </is>
      </c>
      <c r="E601" s="8" t="n">
        <v>1571</v>
      </c>
      <c r="F601" s="8" t="inlineStr">
        <is>
          <t>Yes</t>
        </is>
      </c>
      <c r="G601" s="8" t="n">
        <v>36</v>
      </c>
    </row>
    <row r="602">
      <c r="A602" s="8" t="inlineStr">
        <is>
          <t>GET</t>
        </is>
      </c>
      <c r="B602" s="8" t="inlineStr">
        <is>
          <t>/api/v1/finance/dashboard</t>
        </is>
      </c>
      <c r="C602" s="8" t="inlineStr">
        <is>
          <t>finance.invoices.read</t>
        </is>
      </c>
      <c r="D602" s="8" t="inlineStr">
        <is>
          <t>worker/src/routes/fees/backoffice.ts</t>
        </is>
      </c>
      <c r="E602" s="8" t="n">
        <v>10</v>
      </c>
      <c r="F602" s="8" t="inlineStr">
        <is>
          <t>Yes</t>
        </is>
      </c>
      <c r="G602" s="8" t="n">
        <v>4</v>
      </c>
    </row>
    <row r="603">
      <c r="A603" s="8" t="inlineStr">
        <is>
          <t>GET</t>
        </is>
      </c>
      <c r="B603" s="8" t="inlineStr">
        <is>
          <t>/api/v1/finance/invoices</t>
        </is>
      </c>
      <c r="C603" s="8" t="inlineStr">
        <is>
          <t>finance.invoices.read</t>
        </is>
      </c>
      <c r="D603" s="8" t="inlineStr">
        <is>
          <t>worker/src/routes/fees/backoffice.ts</t>
        </is>
      </c>
      <c r="E603" s="8" t="n">
        <v>30</v>
      </c>
      <c r="F603" s="8" t="inlineStr">
        <is>
          <t>Yes</t>
        </is>
      </c>
      <c r="G603" s="8" t="n">
        <v>4</v>
      </c>
    </row>
    <row r="604">
      <c r="A604" s="8" t="inlineStr">
        <is>
          <t>GET</t>
        </is>
      </c>
      <c r="B604" s="8" t="inlineStr">
        <is>
          <t>/api/v1/finance/payments</t>
        </is>
      </c>
      <c r="C604" s="8" t="inlineStr">
        <is>
          <t>finance.invoices.read</t>
        </is>
      </c>
      <c r="D604" s="8" t="inlineStr">
        <is>
          <t>worker/src/routes/fees/backoffice.ts</t>
        </is>
      </c>
      <c r="E604" s="8" t="n">
        <v>45</v>
      </c>
      <c r="F604" s="8" t="inlineStr">
        <is>
          <t>Yes</t>
        </is>
      </c>
      <c r="G604" s="8" t="n">
        <v>4</v>
      </c>
    </row>
    <row r="605">
      <c r="A605" s="8" t="inlineStr">
        <is>
          <t>GET</t>
        </is>
      </c>
      <c r="B605" s="8" t="inlineStr">
        <is>
          <t>/api/v1/finance/banking/accounts</t>
        </is>
      </c>
      <c r="C605" s="8" t="inlineStr">
        <is>
          <t>PAY_READ</t>
        </is>
      </c>
      <c r="D605" s="8" t="inlineStr">
        <is>
          <t>worker/src/routes/fees/banking.ts</t>
        </is>
      </c>
      <c r="E605" s="8" t="n">
        <v>286</v>
      </c>
      <c r="F605" s="8" t="inlineStr">
        <is>
          <t>No</t>
        </is>
      </c>
      <c r="G605" s="8" t="n">
        <v>23</v>
      </c>
    </row>
    <row r="606">
      <c r="A606" s="8" t="inlineStr">
        <is>
          <t>POST</t>
        </is>
      </c>
      <c r="B606" s="8" t="inlineStr">
        <is>
          <t>/api/v1/finance/banking/accounts</t>
        </is>
      </c>
      <c r="C606" s="8" t="inlineStr">
        <is>
          <t>PAY_WRITE</t>
        </is>
      </c>
      <c r="D606" s="8" t="inlineStr">
        <is>
          <t>worker/src/routes/fees/banking.ts</t>
        </is>
      </c>
      <c r="E606" s="8" t="n">
        <v>303</v>
      </c>
      <c r="F606" s="8" t="inlineStr">
        <is>
          <t>No</t>
        </is>
      </c>
      <c r="G606" s="8" t="n">
        <v>23</v>
      </c>
    </row>
    <row r="607">
      <c r="A607" s="8" t="inlineStr">
        <is>
          <t>GET</t>
        </is>
      </c>
      <c r="B607" s="8" t="inlineStr">
        <is>
          <t>/api/v1/finance/banking/reconciliations</t>
        </is>
      </c>
      <c r="C607" s="8" t="inlineStr">
        <is>
          <t>PAY_READ</t>
        </is>
      </c>
      <c r="D607" s="8" t="inlineStr">
        <is>
          <t>worker/src/routes/fees/banking.ts</t>
        </is>
      </c>
      <c r="E607" s="8" t="n">
        <v>355</v>
      </c>
      <c r="F607" s="8" t="inlineStr">
        <is>
          <t>No</t>
        </is>
      </c>
      <c r="G607" s="8" t="n">
        <v>23</v>
      </c>
    </row>
    <row r="608">
      <c r="A608" s="8" t="inlineStr">
        <is>
          <t>POST</t>
        </is>
      </c>
      <c r="B608" s="8" t="inlineStr">
        <is>
          <t>/api/v1/finance/banking/reconciliations</t>
        </is>
      </c>
      <c r="C608" s="8" t="inlineStr">
        <is>
          <t>PAY_WRITE</t>
        </is>
      </c>
      <c r="D608" s="8" t="inlineStr">
        <is>
          <t>worker/src/routes/fees/banking.ts</t>
        </is>
      </c>
      <c r="E608" s="8" t="n">
        <v>378</v>
      </c>
      <c r="F608" s="8" t="inlineStr">
        <is>
          <t>No</t>
        </is>
      </c>
      <c r="G608" s="8" t="n">
        <v>23</v>
      </c>
    </row>
    <row r="609">
      <c r="A609" s="8" t="inlineStr">
        <is>
          <t>GET</t>
        </is>
      </c>
      <c r="B609" s="8" t="inlineStr">
        <is>
          <t>/api/v1/finance/banking/reconciliations/{id}</t>
        </is>
      </c>
      <c r="C609" s="8" t="inlineStr">
        <is>
          <t>PAY_READ</t>
        </is>
      </c>
      <c r="D609" s="8" t="inlineStr">
        <is>
          <t>worker/src/routes/fees/banking.ts</t>
        </is>
      </c>
      <c r="E609" s="8" t="n">
        <v>418</v>
      </c>
      <c r="F609" s="8" t="inlineStr">
        <is>
          <t>No</t>
        </is>
      </c>
      <c r="G609" s="8" t="n">
        <v>23</v>
      </c>
    </row>
    <row r="610">
      <c r="A610" s="8" t="inlineStr">
        <is>
          <t>POST</t>
        </is>
      </c>
      <c r="B610" s="8" t="inlineStr">
        <is>
          <t>/api/v1/finance/banking/reconciliations/{id}/import</t>
        </is>
      </c>
      <c r="C610" s="8" t="inlineStr">
        <is>
          <t>PAY_WRITE</t>
        </is>
      </c>
      <c r="D610" s="8" t="inlineStr">
        <is>
          <t>worker/src/routes/fees/banking.ts</t>
        </is>
      </c>
      <c r="E610" s="8" t="n">
        <v>482</v>
      </c>
      <c r="F610" s="8" t="inlineStr">
        <is>
          <t>No</t>
        </is>
      </c>
      <c r="G610" s="8" t="n">
        <v>23</v>
      </c>
    </row>
    <row r="611">
      <c r="A611" s="8" t="inlineStr">
        <is>
          <t>POST</t>
        </is>
      </c>
      <c r="B611" s="8" t="inlineStr">
        <is>
          <t>/api/v1/finance/banking/reconciliations/{id}/auto-match</t>
        </is>
      </c>
      <c r="C611" s="8" t="inlineStr">
        <is>
          <t>PAY_WRITE</t>
        </is>
      </c>
      <c r="D611" s="8" t="inlineStr">
        <is>
          <t>worker/src/routes/fees/banking.ts</t>
        </is>
      </c>
      <c r="E611" s="8" t="n">
        <v>559</v>
      </c>
      <c r="F611" s="8" t="inlineStr">
        <is>
          <t>No</t>
        </is>
      </c>
      <c r="G611" s="8" t="n">
        <v>23</v>
      </c>
    </row>
    <row r="612">
      <c r="A612" s="8" t="inlineStr">
        <is>
          <t>GET</t>
        </is>
      </c>
      <c r="B612" s="8" t="inlineStr">
        <is>
          <t>/api/v1/finance/banking/reconciliations/{id}/candidates/{lineID}</t>
        </is>
      </c>
      <c r="C612" s="8" t="inlineStr">
        <is>
          <t>PAY_READ</t>
        </is>
      </c>
      <c r="D612" s="8" t="inlineStr">
        <is>
          <t>worker/src/routes/fees/banking.ts</t>
        </is>
      </c>
      <c r="E612" s="8" t="n">
        <v>609</v>
      </c>
      <c r="F612" s="8" t="inlineStr">
        <is>
          <t>No</t>
        </is>
      </c>
      <c r="G612" s="8" t="n">
        <v>23</v>
      </c>
    </row>
    <row r="613">
      <c r="A613" s="8" t="inlineStr">
        <is>
          <t>POST</t>
        </is>
      </c>
      <c r="B613" s="8" t="inlineStr">
        <is>
          <t>/api/v1/finance/banking/lines/{id}/match</t>
        </is>
      </c>
      <c r="C613" s="8" t="inlineStr">
        <is>
          <t>PAY_WRITE</t>
        </is>
      </c>
      <c r="D613" s="8" t="inlineStr">
        <is>
          <t>worker/src/routes/fees/banking.ts</t>
        </is>
      </c>
      <c r="E613" s="8" t="n">
        <v>627</v>
      </c>
      <c r="F613" s="8" t="inlineStr">
        <is>
          <t>No</t>
        </is>
      </c>
      <c r="G613" s="8" t="n">
        <v>23</v>
      </c>
    </row>
    <row r="614">
      <c r="A614" s="8" t="inlineStr">
        <is>
          <t>POST</t>
        </is>
      </c>
      <c r="B614" s="8" t="inlineStr">
        <is>
          <t>/api/v1/finance/banking/lines/{id}/unmatch</t>
        </is>
      </c>
      <c r="C614" s="8" t="inlineStr">
        <is>
          <t>PAY_WRITE</t>
        </is>
      </c>
      <c r="D614" s="8" t="inlineStr">
        <is>
          <t>worker/src/routes/fees/banking.ts</t>
        </is>
      </c>
      <c r="E614" s="8" t="n">
        <v>668</v>
      </c>
      <c r="F614" s="8" t="inlineStr">
        <is>
          <t>No</t>
        </is>
      </c>
      <c r="G614" s="8" t="n">
        <v>23</v>
      </c>
    </row>
    <row r="615">
      <c r="A615" s="8" t="inlineStr">
        <is>
          <t>POST</t>
        </is>
      </c>
      <c r="B615" s="8" t="inlineStr">
        <is>
          <t>/api/v1/finance/banking/reconciliations/{id}/finalise</t>
        </is>
      </c>
      <c r="C615" s="8" t="inlineStr">
        <is>
          <t>APPROVE</t>
        </is>
      </c>
      <c r="D615" s="8" t="inlineStr">
        <is>
          <t>worker/src/routes/fees/banking.ts</t>
        </is>
      </c>
      <c r="E615" s="8" t="n">
        <v>680</v>
      </c>
      <c r="F615" s="8" t="inlineStr">
        <is>
          <t>No</t>
        </is>
      </c>
      <c r="G615" s="8" t="n">
        <v>23</v>
      </c>
    </row>
    <row r="616">
      <c r="A616" s="8" t="inlineStr">
        <is>
          <t>POST</t>
        </is>
      </c>
      <c r="B616" s="8" t="inlineStr">
        <is>
          <t>/api/v1/finance/banking/reconciliations/{id}/reopen</t>
        </is>
      </c>
      <c r="C616" s="8" t="inlineStr">
        <is>
          <t>APPROVE</t>
        </is>
      </c>
      <c r="D616" s="8" t="inlineStr">
        <is>
          <t>worker/src/routes/fees/banking.ts</t>
        </is>
      </c>
      <c r="E616" s="8" t="n">
        <v>728</v>
      </c>
      <c r="F616" s="8" t="inlineStr">
        <is>
          <t>No</t>
        </is>
      </c>
      <c r="G616" s="8" t="n">
        <v>23</v>
      </c>
    </row>
    <row r="617">
      <c r="A617" s="8" t="inlineStr">
        <is>
          <t>GET</t>
        </is>
      </c>
      <c r="B617" s="8" t="inlineStr">
        <is>
          <t>/api/v1/finance/banking/payouts</t>
        </is>
      </c>
      <c r="C617" s="8" t="inlineStr">
        <is>
          <t>PAY_READ</t>
        </is>
      </c>
      <c r="D617" s="8" t="inlineStr">
        <is>
          <t>worker/src/routes/fees/banking.ts</t>
        </is>
      </c>
      <c r="E617" s="8" t="n">
        <v>741</v>
      </c>
      <c r="F617" s="8" t="inlineStr">
        <is>
          <t>No</t>
        </is>
      </c>
      <c r="G617" s="8" t="n">
        <v>23</v>
      </c>
    </row>
    <row r="618">
      <c r="A618" s="8" t="inlineStr">
        <is>
          <t>GET</t>
        </is>
      </c>
      <c r="B618" s="8" t="inlineStr">
        <is>
          <t>/api/v1/finance/banking/payouts/providers</t>
        </is>
      </c>
      <c r="C618" s="8" t="inlineStr">
        <is>
          <t>PAY_READ</t>
        </is>
      </c>
      <c r="D618" s="8" t="inlineStr">
        <is>
          <t>worker/src/routes/fees/banking.ts</t>
        </is>
      </c>
      <c r="E618" s="8" t="n">
        <v>752</v>
      </c>
      <c r="F618" s="8" t="inlineStr">
        <is>
          <t>No</t>
        </is>
      </c>
      <c r="G618" s="8" t="n">
        <v>23</v>
      </c>
    </row>
    <row r="619">
      <c r="A619" s="8" t="inlineStr">
        <is>
          <t>GET</t>
        </is>
      </c>
      <c r="B619" s="8" t="inlineStr">
        <is>
          <t>/api/v1/finance/banking/payouts/candidates</t>
        </is>
      </c>
      <c r="C619" s="8" t="inlineStr">
        <is>
          <t>PAY_READ</t>
        </is>
      </c>
      <c r="D619" s="8" t="inlineStr">
        <is>
          <t>worker/src/routes/fees/banking.ts</t>
        </is>
      </c>
      <c r="E619" s="8" t="n">
        <v>754</v>
      </c>
      <c r="F619" s="8" t="inlineStr">
        <is>
          <t>No</t>
        </is>
      </c>
      <c r="G619" s="8" t="n">
        <v>23</v>
      </c>
    </row>
    <row r="620">
      <c r="A620" s="8" t="inlineStr">
        <is>
          <t>GET</t>
        </is>
      </c>
      <c r="B620" s="8" t="inlineStr">
        <is>
          <t>/api/v1/finance/banking/payouts/{id}</t>
        </is>
      </c>
      <c r="C620" s="8" t="inlineStr">
        <is>
          <t>PAY_READ</t>
        </is>
      </c>
      <c r="D620" s="8" t="inlineStr">
        <is>
          <t>worker/src/routes/fees/banking.ts</t>
        </is>
      </c>
      <c r="E620" s="8" t="n">
        <v>813</v>
      </c>
      <c r="F620" s="8" t="inlineStr">
        <is>
          <t>No</t>
        </is>
      </c>
      <c r="G620" s="8" t="n">
        <v>23</v>
      </c>
    </row>
    <row r="621">
      <c r="A621" s="8" t="inlineStr">
        <is>
          <t>POST</t>
        </is>
      </c>
      <c r="B621" s="8" t="inlineStr">
        <is>
          <t>/api/v1/finance/banking/payouts</t>
        </is>
      </c>
      <c r="C621" s="8" t="inlineStr">
        <is>
          <t>PAY_WRITE</t>
        </is>
      </c>
      <c r="D621" s="8" t="inlineStr">
        <is>
          <t>worker/src/routes/fees/banking.ts</t>
        </is>
      </c>
      <c r="E621" s="8" t="n">
        <v>836</v>
      </c>
      <c r="F621" s="8" t="inlineStr">
        <is>
          <t>No</t>
        </is>
      </c>
      <c r="G621" s="8" t="n">
        <v>23</v>
      </c>
    </row>
    <row r="622">
      <c r="A622" s="8" t="inlineStr">
        <is>
          <t>POST</t>
        </is>
      </c>
      <c r="B622" s="8" t="inlineStr">
        <is>
          <t>/api/v1/finance/banking/payouts/{id}/items</t>
        </is>
      </c>
      <c r="C622" s="8" t="inlineStr">
        <is>
          <t>PAY_WRITE</t>
        </is>
      </c>
      <c r="D622" s="8" t="inlineStr">
        <is>
          <t>worker/src/routes/fees/banking.ts</t>
        </is>
      </c>
      <c r="E622" s="8" t="n">
        <v>872</v>
      </c>
      <c r="F622" s="8" t="inlineStr">
        <is>
          <t>No</t>
        </is>
      </c>
      <c r="G622" s="8" t="n">
        <v>23</v>
      </c>
    </row>
    <row r="623">
      <c r="A623" s="8" t="inlineStr">
        <is>
          <t>DELETE</t>
        </is>
      </c>
      <c r="B623" s="8" t="inlineStr">
        <is>
          <t>/api/v1/finance/banking/payouts/{id}/items/{itemID}</t>
        </is>
      </c>
      <c r="C623" s="8" t="inlineStr">
        <is>
          <t>PAY_WRITE</t>
        </is>
      </c>
      <c r="D623" s="8" t="inlineStr">
        <is>
          <t>worker/src/routes/fees/banking.ts</t>
        </is>
      </c>
      <c r="E623" s="8" t="n">
        <v>940</v>
      </c>
      <c r="F623" s="8" t="inlineStr">
        <is>
          <t>No</t>
        </is>
      </c>
      <c r="G623" s="8" t="n">
        <v>23</v>
      </c>
    </row>
    <row r="624">
      <c r="A624" s="8" t="inlineStr">
        <is>
          <t>POST</t>
        </is>
      </c>
      <c r="B624" s="8" t="inlineStr">
        <is>
          <t>/api/v1/finance/banking/payouts/{id}/submit</t>
        </is>
      </c>
      <c r="C624" s="8" t="inlineStr">
        <is>
          <t>PAY_WRITE</t>
        </is>
      </c>
      <c r="D624" s="8" t="inlineStr">
        <is>
          <t>worker/src/routes/fees/banking.ts</t>
        </is>
      </c>
      <c r="E624" s="8" t="n">
        <v>951</v>
      </c>
      <c r="F624" s="8" t="inlineStr">
        <is>
          <t>No</t>
        </is>
      </c>
      <c r="G624" s="8" t="n">
        <v>23</v>
      </c>
    </row>
    <row r="625">
      <c r="A625" s="8" t="inlineStr">
        <is>
          <t>POST</t>
        </is>
      </c>
      <c r="B625" s="8" t="inlineStr">
        <is>
          <t>/api/v1/finance/banking/payouts/{id}/decide</t>
        </is>
      </c>
      <c r="C625" s="8" t="inlineStr">
        <is>
          <t>APPROVE</t>
        </is>
      </c>
      <c r="D625" s="8" t="inlineStr">
        <is>
          <t>worker/src/routes/fees/banking.ts</t>
        </is>
      </c>
      <c r="E625" s="8" t="n">
        <v>963</v>
      </c>
      <c r="F625" s="8" t="inlineStr">
        <is>
          <t>No</t>
        </is>
      </c>
      <c r="G625" s="8" t="n">
        <v>23</v>
      </c>
    </row>
    <row r="626">
      <c r="A626" s="8" t="inlineStr">
        <is>
          <t>GET</t>
        </is>
      </c>
      <c r="B626" s="8" t="inlineStr">
        <is>
          <t>/api/v1/finance/banking/payouts/{id}/file</t>
        </is>
      </c>
      <c r="C626" s="8" t="inlineStr">
        <is>
          <t>EXPORT</t>
        </is>
      </c>
      <c r="D626" s="8" t="inlineStr">
        <is>
          <t>worker/src/routes/fees/banking.ts</t>
        </is>
      </c>
      <c r="E626" s="8" t="n">
        <v>987</v>
      </c>
      <c r="F626" s="8" t="inlineStr">
        <is>
          <t>No</t>
        </is>
      </c>
      <c r="G626" s="8" t="n">
        <v>23</v>
      </c>
    </row>
    <row r="627">
      <c r="A627" s="8" t="inlineStr">
        <is>
          <t>GET</t>
        </is>
      </c>
      <c r="B627" s="8" t="inlineStr">
        <is>
          <t>/api/v1/finance/banking/student-accounts</t>
        </is>
      </c>
      <c r="C627" s="8" t="inlineStr">
        <is>
          <t>PAY_READ</t>
        </is>
      </c>
      <c r="D627" s="8" t="inlineStr">
        <is>
          <t>worker/src/routes/fees/banking.ts</t>
        </is>
      </c>
      <c r="E627" s="8" t="n">
        <v>1026</v>
      </c>
      <c r="F627" s="8" t="inlineStr">
        <is>
          <t>No</t>
        </is>
      </c>
      <c r="G627" s="8" t="n">
        <v>23</v>
      </c>
    </row>
    <row r="628">
      <c r="A628" s="8" t="inlineStr">
        <is>
          <t>POST</t>
        </is>
      </c>
      <c r="B628" s="8" t="inlineStr">
        <is>
          <t>/api/v1/finance/banking/student-accounts</t>
        </is>
      </c>
      <c r="C628" s="8" t="inlineStr">
        <is>
          <t>PAY_WRITE</t>
        </is>
      </c>
      <c r="D628" s="8" t="inlineStr">
        <is>
          <t>worker/src/routes/fees/banking.ts</t>
        </is>
      </c>
      <c r="E628" s="8" t="n">
        <v>1064</v>
      </c>
      <c r="F628" s="8" t="inlineStr">
        <is>
          <t>No</t>
        </is>
      </c>
      <c r="G628" s="8" t="n">
        <v>23</v>
      </c>
    </row>
    <row r="629">
      <c r="A629" s="8" t="inlineStr">
        <is>
          <t>POST</t>
        </is>
      </c>
      <c r="B629" s="8" t="inlineStr">
        <is>
          <t>/api/v1/finance/banking/student-accounts/{id}/primary</t>
        </is>
      </c>
      <c r="C629" s="8" t="inlineStr">
        <is>
          <t>PAY_WRITE</t>
        </is>
      </c>
      <c r="D629" s="8" t="inlineStr">
        <is>
          <t>worker/src/routes/fees/banking.ts</t>
        </is>
      </c>
      <c r="E629" s="8" t="n">
        <v>1133</v>
      </c>
      <c r="F629" s="8" t="inlineStr">
        <is>
          <t>No</t>
        </is>
      </c>
      <c r="G629" s="8" t="n">
        <v>23</v>
      </c>
    </row>
    <row r="630">
      <c r="A630" s="8" t="inlineStr">
        <is>
          <t>POST</t>
        </is>
      </c>
      <c r="B630" s="8" t="inlineStr">
        <is>
          <t>/api/v1/finance/banking/student-accounts/{id}/verify</t>
        </is>
      </c>
      <c r="C630" s="8" t="inlineStr">
        <is>
          <t>PAY_WRITE</t>
        </is>
      </c>
      <c r="D630" s="8" t="inlineStr">
        <is>
          <t>worker/src/routes/fees/banking.ts</t>
        </is>
      </c>
      <c r="E630" s="8" t="n">
        <v>1151</v>
      </c>
      <c r="F630" s="8" t="inlineStr">
        <is>
          <t>No</t>
        </is>
      </c>
      <c r="G630" s="8" t="n">
        <v>23</v>
      </c>
    </row>
    <row r="631">
      <c r="A631" s="8" t="inlineStr">
        <is>
          <t>GET</t>
        </is>
      </c>
      <c r="B631" s="8" t="inlineStr">
        <is>
          <t>/api/v1/finance/banking/student-accounts/{id}/reveal</t>
        </is>
      </c>
      <c r="C631" s="8" t="inlineStr">
        <is>
          <t>EXPORT</t>
        </is>
      </c>
      <c r="D631" s="8" t="inlineStr">
        <is>
          <t>worker/src/routes/fees/banking.ts</t>
        </is>
      </c>
      <c r="E631" s="8" t="n">
        <v>1164</v>
      </c>
      <c r="F631" s="8" t="inlineStr">
        <is>
          <t>No</t>
        </is>
      </c>
      <c r="G631" s="8" t="n">
        <v>23</v>
      </c>
    </row>
    <row r="632">
      <c r="A632" s="8" t="inlineStr">
        <is>
          <t>GET</t>
        </is>
      </c>
      <c r="B632" s="8" t="inlineStr">
        <is>
          <t>/api/v1/finance/collections/settings</t>
        </is>
      </c>
      <c r="C632" s="8" t="inlineStr">
        <is>
          <t>READ</t>
        </is>
      </c>
      <c r="D632" s="8" t="inlineStr">
        <is>
          <t>worker/src/routes/fees/collections.ts</t>
        </is>
      </c>
      <c r="E632" s="8" t="n">
        <v>629</v>
      </c>
      <c r="F632" s="8" t="inlineStr">
        <is>
          <t>No</t>
        </is>
      </c>
      <c r="G632" s="8" t="n">
        <v>33</v>
      </c>
    </row>
    <row r="633">
      <c r="A633" s="8" t="inlineStr">
        <is>
          <t>POST</t>
        </is>
      </c>
      <c r="B633" s="8" t="inlineStr">
        <is>
          <t>/api/v1/finance/collections/settings</t>
        </is>
      </c>
      <c r="C633" s="8" t="inlineStr">
        <is>
          <t>WRITE</t>
        </is>
      </c>
      <c r="D633" s="8" t="inlineStr">
        <is>
          <t>worker/src/routes/fees/collections.ts</t>
        </is>
      </c>
      <c r="E633" s="8" t="n">
        <v>650</v>
      </c>
      <c r="F633" s="8" t="inlineStr">
        <is>
          <t>No</t>
        </is>
      </c>
      <c r="G633" s="8" t="n">
        <v>33</v>
      </c>
    </row>
    <row r="634">
      <c r="A634" s="8" t="inlineStr">
        <is>
          <t>GET</t>
        </is>
      </c>
      <c r="B634" s="8" t="inlineStr">
        <is>
          <t>/api/v1/finance/collections/terminals</t>
        </is>
      </c>
      <c r="C634" s="8" t="inlineStr">
        <is>
          <t>READ</t>
        </is>
      </c>
      <c r="D634" s="8" t="inlineStr">
        <is>
          <t>worker/src/routes/fees/collections.ts</t>
        </is>
      </c>
      <c r="E634" s="8" t="n">
        <v>667</v>
      </c>
      <c r="F634" s="8" t="inlineStr">
        <is>
          <t>No</t>
        </is>
      </c>
      <c r="G634" s="8" t="n">
        <v>33</v>
      </c>
    </row>
    <row r="635">
      <c r="A635" s="8" t="inlineStr">
        <is>
          <t>POST</t>
        </is>
      </c>
      <c r="B635" s="8" t="inlineStr">
        <is>
          <t>/api/v1/finance/collections/terminals</t>
        </is>
      </c>
      <c r="C635" s="8" t="inlineStr">
        <is>
          <t>WRITE</t>
        </is>
      </c>
      <c r="D635" s="8" t="inlineStr">
        <is>
          <t>worker/src/routes/fees/collections.ts</t>
        </is>
      </c>
      <c r="E635" s="8" t="n">
        <v>685</v>
      </c>
      <c r="F635" s="8" t="inlineStr">
        <is>
          <t>No</t>
        </is>
      </c>
      <c r="G635" s="8" t="n">
        <v>33</v>
      </c>
    </row>
    <row r="636">
      <c r="A636" s="8" t="inlineStr">
        <is>
          <t>GET</t>
        </is>
      </c>
      <c r="B636" s="8" t="inlineStr">
        <is>
          <t>/api/v1/finance/collections/sessions</t>
        </is>
      </c>
      <c r="C636" s="8" t="inlineStr">
        <is>
          <t>READ</t>
        </is>
      </c>
      <c r="D636" s="8" t="inlineStr">
        <is>
          <t>worker/src/routes/fees/collections.ts</t>
        </is>
      </c>
      <c r="E636" s="8" t="n">
        <v>708</v>
      </c>
      <c r="F636" s="8" t="inlineStr">
        <is>
          <t>No</t>
        </is>
      </c>
      <c r="G636" s="8" t="n">
        <v>33</v>
      </c>
    </row>
    <row r="637">
      <c r="A637" s="8" t="inlineStr">
        <is>
          <t>GET</t>
        </is>
      </c>
      <c r="B637" s="8" t="inlineStr">
        <is>
          <t>/api/v1/finance/collections/sessions/variance</t>
        </is>
      </c>
      <c r="C637" s="8" t="inlineStr">
        <is>
          <t>READ</t>
        </is>
      </c>
      <c r="D637" s="8" t="inlineStr">
        <is>
          <t>worker/src/routes/fees/collections.ts</t>
        </is>
      </c>
      <c r="E637" s="8" t="n">
        <v>718</v>
      </c>
      <c r="F637" s="8" t="inlineStr">
        <is>
          <t>No</t>
        </is>
      </c>
      <c r="G637" s="8" t="n">
        <v>33</v>
      </c>
    </row>
    <row r="638">
      <c r="A638" s="8" t="inlineStr">
        <is>
          <t>POST</t>
        </is>
      </c>
      <c r="B638" s="8" t="inlineStr">
        <is>
          <t>/api/v1/finance/collections/sessions</t>
        </is>
      </c>
      <c r="C638" s="8" t="inlineStr">
        <is>
          <t>TILL</t>
        </is>
      </c>
      <c r="D638" s="8" t="inlineStr">
        <is>
          <t>worker/src/routes/fees/collections.ts</t>
        </is>
      </c>
      <c r="E638" s="8" t="n">
        <v>743</v>
      </c>
      <c r="F638" s="8" t="inlineStr">
        <is>
          <t>No</t>
        </is>
      </c>
      <c r="G638" s="8" t="n">
        <v>33</v>
      </c>
    </row>
    <row r="639">
      <c r="A639" s="8" t="inlineStr">
        <is>
          <t>GET</t>
        </is>
      </c>
      <c r="B639" s="8" t="inlineStr">
        <is>
          <t>/api/v1/finance/collections/sessions/{id}</t>
        </is>
      </c>
      <c r="C639" s="8" t="inlineStr">
        <is>
          <t>READ</t>
        </is>
      </c>
      <c r="D639" s="8" t="inlineStr">
        <is>
          <t>worker/src/routes/fees/collections.ts</t>
        </is>
      </c>
      <c r="E639" s="8" t="n">
        <v>760</v>
      </c>
      <c r="F639" s="8" t="inlineStr">
        <is>
          <t>No</t>
        </is>
      </c>
      <c r="G639" s="8" t="n">
        <v>33</v>
      </c>
    </row>
    <row r="640">
      <c r="A640" s="8" t="inlineStr">
        <is>
          <t>POST</t>
        </is>
      </c>
      <c r="B640" s="8" t="inlineStr">
        <is>
          <t>/api/v1/finance/collections/sessions/{id}/close</t>
        </is>
      </c>
      <c r="C640" s="8" t="inlineStr">
        <is>
          <t>TILL</t>
        </is>
      </c>
      <c r="D640" s="8" t="inlineStr">
        <is>
          <t>worker/src/routes/fees/collections.ts</t>
        </is>
      </c>
      <c r="E640" s="8" t="n">
        <v>769</v>
      </c>
      <c r="F640" s="8" t="inlineStr">
        <is>
          <t>No</t>
        </is>
      </c>
      <c r="G640" s="8" t="n">
        <v>33</v>
      </c>
    </row>
    <row r="641">
      <c r="A641" s="8" t="inlineStr">
        <is>
          <t>GET</t>
        </is>
      </c>
      <c r="B641" s="8" t="inlineStr">
        <is>
          <t>/api/v1/finance/collections/sales</t>
        </is>
      </c>
      <c r="C641" s="8" t="inlineStr">
        <is>
          <t>READ</t>
        </is>
      </c>
      <c r="D641" s="8" t="inlineStr">
        <is>
          <t>worker/src/routes/fees/collections.ts</t>
        </is>
      </c>
      <c r="E641" s="8" t="n">
        <v>801</v>
      </c>
      <c r="F641" s="8" t="inlineStr">
        <is>
          <t>No</t>
        </is>
      </c>
      <c r="G641" s="8" t="n">
        <v>33</v>
      </c>
    </row>
    <row r="642">
      <c r="A642" s="8" t="inlineStr">
        <is>
          <t>POST</t>
        </is>
      </c>
      <c r="B642" s="8" t="inlineStr">
        <is>
          <t>/api/v1/finance/collections/sales</t>
        </is>
      </c>
      <c r="C642" s="8" t="inlineStr">
        <is>
          <t>TILL</t>
        </is>
      </c>
      <c r="D642" s="8" t="inlineStr">
        <is>
          <t>worker/src/routes/fees/collections.ts</t>
        </is>
      </c>
      <c r="E642" s="8" t="n">
        <v>813</v>
      </c>
      <c r="F642" s="8" t="inlineStr">
        <is>
          <t>No</t>
        </is>
      </c>
      <c r="G642" s="8" t="n">
        <v>33</v>
      </c>
    </row>
    <row r="643">
      <c r="A643" s="8" t="inlineStr">
        <is>
          <t>GET</t>
        </is>
      </c>
      <c r="B643" s="8" t="inlineStr">
        <is>
          <t>/api/v1/finance/collections/sales/{id}</t>
        </is>
      </c>
      <c r="C643" s="8" t="inlineStr">
        <is>
          <t>READ</t>
        </is>
      </c>
      <c r="D643" s="8" t="inlineStr">
        <is>
          <t>worker/src/routes/fees/collections.ts</t>
        </is>
      </c>
      <c r="E643" s="8" t="n">
        <v>876</v>
      </c>
      <c r="F643" s="8" t="inlineStr">
        <is>
          <t>No</t>
        </is>
      </c>
      <c r="G643" s="8" t="n">
        <v>33</v>
      </c>
    </row>
    <row r="644">
      <c r="A644" s="8" t="inlineStr">
        <is>
          <t>POST</t>
        </is>
      </c>
      <c r="B644" s="8" t="inlineStr">
        <is>
          <t>/api/v1/finance/collections/sales/{id}/return</t>
        </is>
      </c>
      <c r="C644" s="8" t="inlineStr">
        <is>
          <t>REFUND</t>
        </is>
      </c>
      <c r="D644" s="8" t="inlineStr">
        <is>
          <t>worker/src/routes/fees/collections.ts</t>
        </is>
      </c>
      <c r="E644" s="8" t="n">
        <v>886</v>
      </c>
      <c r="F644" s="8" t="inlineStr">
        <is>
          <t>No</t>
        </is>
      </c>
      <c r="G644" s="8" t="n">
        <v>33</v>
      </c>
    </row>
    <row r="645">
      <c r="A645" s="8" t="inlineStr">
        <is>
          <t>GET</t>
        </is>
      </c>
      <c r="B645" s="8" t="inlineStr">
        <is>
          <t>/api/v1/finance/collections/products</t>
        </is>
      </c>
      <c r="C645" s="8" t="inlineStr">
        <is>
          <t>READ</t>
        </is>
      </c>
      <c r="D645" s="8" t="inlineStr">
        <is>
          <t>worker/src/routes/fees/collections.ts</t>
        </is>
      </c>
      <c r="E645" s="8" t="n">
        <v>979</v>
      </c>
      <c r="F645" s="8" t="inlineStr">
        <is>
          <t>No</t>
        </is>
      </c>
      <c r="G645" s="8" t="n">
        <v>33</v>
      </c>
    </row>
    <row r="646">
      <c r="A646" s="8" t="inlineStr">
        <is>
          <t>POST</t>
        </is>
      </c>
      <c r="B646" s="8" t="inlineStr">
        <is>
          <t>/api/v1/finance/collections/products</t>
        </is>
      </c>
      <c r="C646" s="8" t="inlineStr">
        <is>
          <t>WRITE</t>
        </is>
      </c>
      <c r="D646" s="8" t="inlineStr">
        <is>
          <t>worker/src/routes/fees/collections.ts</t>
        </is>
      </c>
      <c r="E646" s="8" t="n">
        <v>1000</v>
      </c>
      <c r="F646" s="8" t="inlineStr">
        <is>
          <t>No</t>
        </is>
      </c>
      <c r="G646" s="8" t="n">
        <v>33</v>
      </c>
    </row>
    <row r="647">
      <c r="A647" s="8" t="inlineStr">
        <is>
          <t>GET</t>
        </is>
      </c>
      <c r="B647" s="8" t="inlineStr">
        <is>
          <t>/api/v1/finance/collections/variants</t>
        </is>
      </c>
      <c r="C647" s="8" t="inlineStr">
        <is>
          <t>READ</t>
        </is>
      </c>
      <c r="D647" s="8" t="inlineStr">
        <is>
          <t>worker/src/routes/fees/collections.ts</t>
        </is>
      </c>
      <c r="E647" s="8" t="n">
        <v>1030</v>
      </c>
      <c r="F647" s="8" t="inlineStr">
        <is>
          <t>No</t>
        </is>
      </c>
      <c r="G647" s="8" t="n">
        <v>33</v>
      </c>
    </row>
    <row r="648">
      <c r="A648" s="8" t="inlineStr">
        <is>
          <t>GET</t>
        </is>
      </c>
      <c r="B648" s="8" t="inlineStr">
        <is>
          <t>/api/v1/finance/collections/stock-items</t>
        </is>
      </c>
      <c r="C648" s="8" t="inlineStr">
        <is>
          <t>READ</t>
        </is>
      </c>
      <c r="D648" s="8" t="inlineStr">
        <is>
          <t>worker/src/routes/fees/collections.ts</t>
        </is>
      </c>
      <c r="E648" s="8" t="n">
        <v>1038</v>
      </c>
      <c r="F648" s="8" t="inlineStr">
        <is>
          <t>No</t>
        </is>
      </c>
      <c r="G648" s="8" t="n">
        <v>33</v>
      </c>
    </row>
    <row r="649">
      <c r="A649" s="8" t="inlineStr">
        <is>
          <t>POST</t>
        </is>
      </c>
      <c r="B649" s="8" t="inlineStr">
        <is>
          <t>/api/v1/finance/collections/variants</t>
        </is>
      </c>
      <c r="C649" s="8" t="inlineStr">
        <is>
          <t>WRITE</t>
        </is>
      </c>
      <c r="D649" s="8" t="inlineStr">
        <is>
          <t>worker/src/routes/fees/collections.ts</t>
        </is>
      </c>
      <c r="E649" s="8" t="n">
        <v>1044</v>
      </c>
      <c r="F649" s="8" t="inlineStr">
        <is>
          <t>No</t>
        </is>
      </c>
      <c r="G649" s="8" t="n">
        <v>33</v>
      </c>
    </row>
    <row r="650">
      <c r="A650" s="8" t="inlineStr">
        <is>
          <t>GET</t>
        </is>
      </c>
      <c r="B650" s="8" t="inlineStr">
        <is>
          <t>/api/v1/finance/collections/grants/heads</t>
        </is>
      </c>
      <c r="C650" s="8" t="inlineStr">
        <is>
          <t>READ</t>
        </is>
      </c>
      <c r="D650" s="8" t="inlineStr">
        <is>
          <t>worker/src/routes/fees/collections.ts</t>
        </is>
      </c>
      <c r="E650" s="8" t="n">
        <v>1071</v>
      </c>
      <c r="F650" s="8" t="inlineStr">
        <is>
          <t>No</t>
        </is>
      </c>
      <c r="G650" s="8" t="n">
        <v>33</v>
      </c>
    </row>
    <row r="651">
      <c r="A651" s="8" t="inlineStr">
        <is>
          <t>POST</t>
        </is>
      </c>
      <c r="B651" s="8" t="inlineStr">
        <is>
          <t>/api/v1/finance/collections/grants/heads</t>
        </is>
      </c>
      <c r="C651" s="8" t="inlineStr">
        <is>
          <t>WRITE</t>
        </is>
      </c>
      <c r="D651" s="8" t="inlineStr">
        <is>
          <t>worker/src/routes/fees/collections.ts</t>
        </is>
      </c>
      <c r="E651" s="8" t="n">
        <v>1084</v>
      </c>
      <c r="F651" s="8" t="inlineStr">
        <is>
          <t>No</t>
        </is>
      </c>
      <c r="G651" s="8" t="n">
        <v>33</v>
      </c>
    </row>
    <row r="652">
      <c r="A652" s="8" t="inlineStr">
        <is>
          <t>GET</t>
        </is>
      </c>
      <c r="B652" s="8" t="inlineStr">
        <is>
          <t>/api/v1/finance/collections/grants/utilisation</t>
        </is>
      </c>
      <c r="C652" s="8" t="inlineStr">
        <is>
          <t>READ</t>
        </is>
      </c>
      <c r="D652" s="8" t="inlineStr">
        <is>
          <t>worker/src/routes/fees/collections.ts</t>
        </is>
      </c>
      <c r="E652" s="8" t="n">
        <v>1112</v>
      </c>
      <c r="F652" s="8" t="inlineStr">
        <is>
          <t>No</t>
        </is>
      </c>
      <c r="G652" s="8" t="n">
        <v>33</v>
      </c>
    </row>
    <row r="653">
      <c r="A653" s="8" t="inlineStr">
        <is>
          <t>GET</t>
        </is>
      </c>
      <c r="B653" s="8" t="inlineStr">
        <is>
          <t>/api/v1/finance/collections/grants/sanctions</t>
        </is>
      </c>
      <c r="C653" s="8" t="inlineStr">
        <is>
          <t>READ</t>
        </is>
      </c>
      <c r="D653" s="8" t="inlineStr">
        <is>
          <t>worker/src/routes/fees/collections.ts</t>
        </is>
      </c>
      <c r="E653" s="8" t="n">
        <v>1121</v>
      </c>
      <c r="F653" s="8" t="inlineStr">
        <is>
          <t>No</t>
        </is>
      </c>
      <c r="G653" s="8" t="n">
        <v>33</v>
      </c>
    </row>
    <row r="654">
      <c r="A654" s="8" t="inlineStr">
        <is>
          <t>POST</t>
        </is>
      </c>
      <c r="B654" s="8" t="inlineStr">
        <is>
          <t>/api/v1/finance/collections/grants/sanctions</t>
        </is>
      </c>
      <c r="C654" s="8" t="inlineStr">
        <is>
          <t>WRITE</t>
        </is>
      </c>
      <c r="D654" s="8" t="inlineStr">
        <is>
          <t>worker/src/routes/fees/collections.ts</t>
        </is>
      </c>
      <c r="E654" s="8" t="n">
        <v>1129</v>
      </c>
      <c r="F654" s="8" t="inlineStr">
        <is>
          <t>No</t>
        </is>
      </c>
      <c r="G654" s="8" t="n">
        <v>33</v>
      </c>
    </row>
    <row r="655">
      <c r="A655" s="8" t="inlineStr">
        <is>
          <t>GET</t>
        </is>
      </c>
      <c r="B655" s="8" t="inlineStr">
        <is>
          <t>/api/v1/finance/collections/grants/sanctions/{id}</t>
        </is>
      </c>
      <c r="C655" s="8" t="inlineStr">
        <is>
          <t>READ</t>
        </is>
      </c>
      <c r="D655" s="8" t="inlineStr">
        <is>
          <t>worker/src/routes/fees/collections.ts</t>
        </is>
      </c>
      <c r="E655" s="8" t="n">
        <v>1166</v>
      </c>
      <c r="F655" s="8" t="inlineStr">
        <is>
          <t>No</t>
        </is>
      </c>
      <c r="G655" s="8" t="n">
        <v>33</v>
      </c>
    </row>
    <row r="656">
      <c r="A656" s="8" t="inlineStr">
        <is>
          <t>POST</t>
        </is>
      </c>
      <c r="B656" s="8" t="inlineStr">
        <is>
          <t>/api/v1/finance/collections/grants/sanctions/{id}/receipts</t>
        </is>
      </c>
      <c r="C656" s="8" t="inlineStr">
        <is>
          <t>WRITE</t>
        </is>
      </c>
      <c r="D656" s="8" t="inlineStr">
        <is>
          <t>worker/src/routes/fees/collections.ts</t>
        </is>
      </c>
      <c r="E656" s="8" t="n">
        <v>1188</v>
      </c>
      <c r="F656" s="8" t="inlineStr">
        <is>
          <t>No</t>
        </is>
      </c>
      <c r="G656" s="8" t="n">
        <v>33</v>
      </c>
    </row>
    <row r="657">
      <c r="A657" s="8" t="inlineStr">
        <is>
          <t>POST</t>
        </is>
      </c>
      <c r="B657" s="8" t="inlineStr">
        <is>
          <t>/api/v1/finance/collections/grants/sanctions/{id}/expenditures</t>
        </is>
      </c>
      <c r="C657" s="8" t="inlineStr">
        <is>
          <t>WRITE</t>
        </is>
      </c>
      <c r="D657" s="8" t="inlineStr">
        <is>
          <t>worker/src/routes/fees/collections.ts</t>
        </is>
      </c>
      <c r="E657" s="8" t="n">
        <v>1229</v>
      </c>
      <c r="F657" s="8" t="inlineStr">
        <is>
          <t>No</t>
        </is>
      </c>
      <c r="G657" s="8" t="n">
        <v>33</v>
      </c>
    </row>
    <row r="658">
      <c r="A658" s="8" t="inlineStr">
        <is>
          <t>GET</t>
        </is>
      </c>
      <c r="B658" s="8" t="inlineStr">
        <is>
          <t>/api/v1/finance/collections/grants/certificates</t>
        </is>
      </c>
      <c r="C658" s="8" t="inlineStr">
        <is>
          <t>READ</t>
        </is>
      </c>
      <c r="D658" s="8" t="inlineStr">
        <is>
          <t>worker/src/routes/fees/collections.ts</t>
        </is>
      </c>
      <c r="E658" s="8" t="n">
        <v>1283</v>
      </c>
      <c r="F658" s="8" t="inlineStr">
        <is>
          <t>No</t>
        </is>
      </c>
      <c r="G658" s="8" t="n">
        <v>33</v>
      </c>
    </row>
    <row r="659">
      <c r="A659" s="8" t="inlineStr">
        <is>
          <t>POST</t>
        </is>
      </c>
      <c r="B659" s="8" t="inlineStr">
        <is>
          <t>/api/v1/finance/collections/grants/certificates</t>
        </is>
      </c>
      <c r="C659" s="8" t="inlineStr">
        <is>
          <t>WRITE</t>
        </is>
      </c>
      <c r="D659" s="8" t="inlineStr">
        <is>
          <t>worker/src/routes/fees/collections.ts</t>
        </is>
      </c>
      <c r="E659" s="8" t="n">
        <v>1289</v>
      </c>
      <c r="F659" s="8" t="inlineStr">
        <is>
          <t>No</t>
        </is>
      </c>
      <c r="G659" s="8" t="n">
        <v>33</v>
      </c>
    </row>
    <row r="660">
      <c r="A660" s="8" t="inlineStr">
        <is>
          <t>GET</t>
        </is>
      </c>
      <c r="B660" s="8" t="inlineStr">
        <is>
          <t>/api/v1/finance/collections/grants/certificates/{id}</t>
        </is>
      </c>
      <c r="C660" s="8" t="inlineStr">
        <is>
          <t>READ</t>
        </is>
      </c>
      <c r="D660" s="8" t="inlineStr">
        <is>
          <t>worker/src/routes/fees/collections.ts</t>
        </is>
      </c>
      <c r="E660" s="8" t="n">
        <v>1306</v>
      </c>
      <c r="F660" s="8" t="inlineStr">
        <is>
          <t>No</t>
        </is>
      </c>
      <c r="G660" s="8" t="n">
        <v>33</v>
      </c>
    </row>
    <row r="661">
      <c r="A661" s="8" t="inlineStr">
        <is>
          <t>POST</t>
        </is>
      </c>
      <c r="B661" s="8" t="inlineStr">
        <is>
          <t>/api/v1/finance/collections/grants/certificates/{id}/issue</t>
        </is>
      </c>
      <c r="C661" s="8" t="inlineStr">
        <is>
          <t>REFUND</t>
        </is>
      </c>
      <c r="D661" s="8" t="inlineStr">
        <is>
          <t>worker/src/routes/fees/collections.ts</t>
        </is>
      </c>
      <c r="E661" s="8" t="n">
        <v>1329</v>
      </c>
      <c r="F661" s="8" t="inlineStr">
        <is>
          <t>No</t>
        </is>
      </c>
      <c r="G661" s="8" t="n">
        <v>33</v>
      </c>
    </row>
    <row r="662">
      <c r="A662" s="8" t="inlineStr">
        <is>
          <t>POST</t>
        </is>
      </c>
      <c r="B662" s="8" t="inlineStr">
        <is>
          <t>/api/v1/finance/collections/grants/certificates/{id}/dispose</t>
        </is>
      </c>
      <c r="C662" s="8" t="inlineStr">
        <is>
          <t>REFUND</t>
        </is>
      </c>
      <c r="D662" s="8" t="inlineStr">
        <is>
          <t>worker/src/routes/fees/collections.ts</t>
        </is>
      </c>
      <c r="E662" s="8" t="n">
        <v>1362</v>
      </c>
      <c r="F662" s="8" t="inlineStr">
        <is>
          <t>No</t>
        </is>
      </c>
      <c r="G662" s="8" t="n">
        <v>33</v>
      </c>
    </row>
    <row r="663">
      <c r="A663" s="8" t="inlineStr">
        <is>
          <t>GET</t>
        </is>
      </c>
      <c r="B663" s="8" t="inlineStr">
        <is>
          <t>/api/v1/finance/concessions/schemes</t>
        </is>
      </c>
      <c r="C663" s="8" t="inlineStr">
        <is>
          <t>READ</t>
        </is>
      </c>
      <c r="D663" s="8" t="inlineStr">
        <is>
          <t>worker/src/routes/fees/concessions.ts</t>
        </is>
      </c>
      <c r="E663" s="8" t="n">
        <v>252</v>
      </c>
      <c r="F663" s="8" t="inlineStr">
        <is>
          <t>No</t>
        </is>
      </c>
      <c r="G663" s="8" t="n">
        <v>22</v>
      </c>
    </row>
    <row r="664">
      <c r="A664" s="8" t="inlineStr">
        <is>
          <t>POST</t>
        </is>
      </c>
      <c r="B664" s="8" t="inlineStr">
        <is>
          <t>/api/v1/finance/concessions/schemes</t>
        </is>
      </c>
      <c r="C664" s="8" t="inlineStr">
        <is>
          <t>WRITE</t>
        </is>
      </c>
      <c r="D664" s="8" t="inlineStr">
        <is>
          <t>worker/src/routes/fees/concessions.ts</t>
        </is>
      </c>
      <c r="E664" s="8" t="n">
        <v>271</v>
      </c>
      <c r="F664" s="8" t="inlineStr">
        <is>
          <t>No</t>
        </is>
      </c>
      <c r="G664" s="8" t="n">
        <v>22</v>
      </c>
    </row>
    <row r="665">
      <c r="A665" s="8" t="inlineStr">
        <is>
          <t>GET</t>
        </is>
      </c>
      <c r="B665" s="8" t="inlineStr">
        <is>
          <t>/api/v1/finance/concessions/rates</t>
        </is>
      </c>
      <c r="C665" s="8" t="inlineStr">
        <is>
          <t>READ</t>
        </is>
      </c>
      <c r="D665" s="8" t="inlineStr">
        <is>
          <t>worker/src/routes/fees/concessions.ts</t>
        </is>
      </c>
      <c r="E665" s="8" t="n">
        <v>311</v>
      </c>
      <c r="F665" s="8" t="inlineStr">
        <is>
          <t>No</t>
        </is>
      </c>
      <c r="G665" s="8" t="n">
        <v>22</v>
      </c>
    </row>
    <row r="666">
      <c r="A666" s="8" t="inlineStr">
        <is>
          <t>POST</t>
        </is>
      </c>
      <c r="B666" s="8" t="inlineStr">
        <is>
          <t>/api/v1/finance/concessions/rates</t>
        </is>
      </c>
      <c r="C666" s="8" t="inlineStr">
        <is>
          <t>WRITE</t>
        </is>
      </c>
      <c r="D666" s="8" t="inlineStr">
        <is>
          <t>worker/src/routes/fees/concessions.ts</t>
        </is>
      </c>
      <c r="E666" s="8" t="n">
        <v>330</v>
      </c>
      <c r="F666" s="8" t="inlineStr">
        <is>
          <t>No</t>
        </is>
      </c>
      <c r="G666" s="8" t="n">
        <v>22</v>
      </c>
    </row>
    <row r="667">
      <c r="A667" s="8" t="inlineStr">
        <is>
          <t>GET</t>
        </is>
      </c>
      <c r="B667" s="8" t="inlineStr">
        <is>
          <t>/api/v1/finance/concessions/claims</t>
        </is>
      </c>
      <c r="C667" s="8" t="inlineStr">
        <is>
          <t>READ</t>
        </is>
      </c>
      <c r="D667" s="8" t="inlineStr">
        <is>
          <t>worker/src/routes/fees/concessions.ts</t>
        </is>
      </c>
      <c r="E667" s="8" t="n">
        <v>370</v>
      </c>
      <c r="F667" s="8" t="inlineStr">
        <is>
          <t>No</t>
        </is>
      </c>
      <c r="G667" s="8" t="n">
        <v>22</v>
      </c>
    </row>
    <row r="668">
      <c r="A668" s="8" t="inlineStr">
        <is>
          <t>GET</t>
        </is>
      </c>
      <c r="B668" s="8" t="inlineStr">
        <is>
          <t>/api/v1/finance/concessions/claims/ageing</t>
        </is>
      </c>
      <c r="C668" s="8" t="inlineStr">
        <is>
          <t>READ</t>
        </is>
      </c>
      <c r="D668" s="8" t="inlineStr">
        <is>
          <t>worker/src/routes/fees/concessions.ts</t>
        </is>
      </c>
      <c r="E668" s="8" t="n">
        <v>384</v>
      </c>
      <c r="F668" s="8" t="inlineStr">
        <is>
          <t>No</t>
        </is>
      </c>
      <c r="G668" s="8" t="n">
        <v>22</v>
      </c>
    </row>
    <row r="669">
      <c r="A669" s="8" t="inlineStr">
        <is>
          <t>POST</t>
        </is>
      </c>
      <c r="B669" s="8" t="inlineStr">
        <is>
          <t>/api/v1/finance/concessions/claims</t>
        </is>
      </c>
      <c r="C669" s="8" t="inlineStr">
        <is>
          <t>WRITE</t>
        </is>
      </c>
      <c r="D669" s="8" t="inlineStr">
        <is>
          <t>worker/src/routes/fees/concessions.ts</t>
        </is>
      </c>
      <c r="E669" s="8" t="n">
        <v>405</v>
      </c>
      <c r="F669" s="8" t="inlineStr">
        <is>
          <t>No</t>
        </is>
      </c>
      <c r="G669" s="8" t="n">
        <v>22</v>
      </c>
    </row>
    <row r="670">
      <c r="A670" s="8" t="inlineStr">
        <is>
          <t>GET</t>
        </is>
      </c>
      <c r="B670" s="8" t="inlineStr">
        <is>
          <t>/api/v1/finance/concessions/claims/{id}</t>
        </is>
      </c>
      <c r="C670" s="8" t="inlineStr">
        <is>
          <t>READ</t>
        </is>
      </c>
      <c r="D670" s="8" t="inlineStr">
        <is>
          <t>worker/src/routes/fees/concessions.ts</t>
        </is>
      </c>
      <c r="E670" s="8" t="n">
        <v>451</v>
      </c>
      <c r="F670" s="8" t="inlineStr">
        <is>
          <t>No</t>
        </is>
      </c>
      <c r="G670" s="8" t="n">
        <v>22</v>
      </c>
    </row>
    <row r="671">
      <c r="A671" s="8" t="inlineStr">
        <is>
          <t>POST</t>
        </is>
      </c>
      <c r="B671" s="8" t="inlineStr">
        <is>
          <t>/api/v1/finance/concessions/claims/{id}/build</t>
        </is>
      </c>
      <c r="C671" s="8" t="inlineStr">
        <is>
          <t>WRITE</t>
        </is>
      </c>
      <c r="D671" s="8" t="inlineStr">
        <is>
          <t>worker/src/routes/fees/concessions.ts</t>
        </is>
      </c>
      <c r="E671" s="8" t="n">
        <v>492</v>
      </c>
      <c r="F671" s="8" t="inlineStr">
        <is>
          <t>No</t>
        </is>
      </c>
      <c r="G671" s="8" t="n">
        <v>22</v>
      </c>
    </row>
    <row r="672">
      <c r="A672" s="8" t="inlineStr">
        <is>
          <t>DELETE</t>
        </is>
      </c>
      <c r="B672" s="8" t="inlineStr">
        <is>
          <t>/api/v1/finance/concessions/claims/{id}/lines/{lineID}</t>
        </is>
      </c>
      <c r="C672" s="8" t="inlineStr">
        <is>
          <t>WRITE</t>
        </is>
      </c>
      <c r="D672" s="8" t="inlineStr">
        <is>
          <t>worker/src/routes/fees/concessions.ts</t>
        </is>
      </c>
      <c r="E672" s="8" t="n">
        <v>544</v>
      </c>
      <c r="F672" s="8" t="inlineStr">
        <is>
          <t>No</t>
        </is>
      </c>
      <c r="G672" s="8" t="n">
        <v>22</v>
      </c>
    </row>
    <row r="673">
      <c r="A673" s="8" t="inlineStr">
        <is>
          <t>POST</t>
        </is>
      </c>
      <c r="B673" s="8" t="inlineStr">
        <is>
          <t>/api/v1/finance/concessions/claims/{id}/receipts</t>
        </is>
      </c>
      <c r="C673" s="8" t="inlineStr">
        <is>
          <t>WRITE</t>
        </is>
      </c>
      <c r="D673" s="8" t="inlineStr">
        <is>
          <t>worker/src/routes/fees/concessions.ts</t>
        </is>
      </c>
      <c r="E673" s="8" t="n">
        <v>558</v>
      </c>
      <c r="F673" s="8" t="inlineStr">
        <is>
          <t>No</t>
        </is>
      </c>
      <c r="G673" s="8" t="n">
        <v>22</v>
      </c>
    </row>
    <row r="674">
      <c r="A674" s="8" t="inlineStr">
        <is>
          <t>POST</t>
        </is>
      </c>
      <c r="B674" s="8" t="inlineStr">
        <is>
          <t>/api/v1/finance/concessions/claims/{id}/submit</t>
        </is>
      </c>
      <c r="C674" s="8" t="inlineStr">
        <is>
          <t>APPROVE</t>
        </is>
      </c>
      <c r="D674" s="8" t="inlineStr">
        <is>
          <t>worker/src/routes/fees/concessions.ts</t>
        </is>
      </c>
      <c r="E674" s="8" t="n">
        <v>585</v>
      </c>
      <c r="F674" s="8" t="inlineStr">
        <is>
          <t>No</t>
        </is>
      </c>
      <c r="G674" s="8" t="n">
        <v>22</v>
      </c>
    </row>
    <row r="675">
      <c r="A675" s="8" t="inlineStr">
        <is>
          <t>POST</t>
        </is>
      </c>
      <c r="B675" s="8" t="inlineStr">
        <is>
          <t>/api/v1/finance/concessions/claims/{id}/sanction</t>
        </is>
      </c>
      <c r="C675" s="8" t="inlineStr">
        <is>
          <t>APPROVE</t>
        </is>
      </c>
      <c r="D675" s="8" t="inlineStr">
        <is>
          <t>worker/src/routes/fees/concessions.ts</t>
        </is>
      </c>
      <c r="E675" s="8" t="n">
        <v>602</v>
      </c>
      <c r="F675" s="8" t="inlineStr">
        <is>
          <t>No</t>
        </is>
      </c>
      <c r="G675" s="8" t="n">
        <v>22</v>
      </c>
    </row>
    <row r="676">
      <c r="A676" s="8" t="inlineStr">
        <is>
          <t>GET</t>
        </is>
      </c>
      <c r="B676" s="8" t="inlineStr">
        <is>
          <t>/api/v1/finance/concessions/claims/{id}/file</t>
        </is>
      </c>
      <c r="C676" s="8" t="inlineStr">
        <is>
          <t>EXPORT</t>
        </is>
      </c>
      <c r="D676" s="8" t="inlineStr">
        <is>
          <t>worker/src/routes/fees/concessions.ts</t>
        </is>
      </c>
      <c r="E676" s="8" t="n">
        <v>655</v>
      </c>
      <c r="F676" s="8" t="inlineStr">
        <is>
          <t>No</t>
        </is>
      </c>
      <c r="G676" s="8" t="n">
        <v>22</v>
      </c>
    </row>
    <row r="677">
      <c r="A677" s="8" t="inlineStr">
        <is>
          <t>GET</t>
        </is>
      </c>
      <c r="B677" s="8" t="inlineStr">
        <is>
          <t>/api/v1/finance/concessions/scholarships</t>
        </is>
      </c>
      <c r="C677" s="8" t="inlineStr">
        <is>
          <t>READ</t>
        </is>
      </c>
      <c r="D677" s="8" t="inlineStr">
        <is>
          <t>worker/src/routes/fees/concessions.ts</t>
        </is>
      </c>
      <c r="E677" s="8" t="n">
        <v>686</v>
      </c>
      <c r="F677" s="8" t="inlineStr">
        <is>
          <t>No</t>
        </is>
      </c>
      <c r="G677" s="8" t="n">
        <v>22</v>
      </c>
    </row>
    <row r="678">
      <c r="A678" s="8" t="inlineStr">
        <is>
          <t>POST</t>
        </is>
      </c>
      <c r="B678" s="8" t="inlineStr">
        <is>
          <t>/api/v1/finance/concessions/scholarships</t>
        </is>
      </c>
      <c r="C678" s="8" t="inlineStr">
        <is>
          <t>WRITE</t>
        </is>
      </c>
      <c r="D678" s="8" t="inlineStr">
        <is>
          <t>worker/src/routes/fees/concessions.ts</t>
        </is>
      </c>
      <c r="E678" s="8" t="n">
        <v>733</v>
      </c>
      <c r="F678" s="8" t="inlineStr">
        <is>
          <t>No</t>
        </is>
      </c>
      <c r="G678" s="8" t="n">
        <v>22</v>
      </c>
    </row>
    <row r="679">
      <c r="A679" s="8" t="inlineStr">
        <is>
          <t>POST</t>
        </is>
      </c>
      <c r="B679" s="8" t="inlineStr">
        <is>
          <t>/api/v1/finance/concessions/scholarships/{id}/verify</t>
        </is>
      </c>
      <c r="C679" s="8" t="inlineStr">
        <is>
          <t>WRITE</t>
        </is>
      </c>
      <c r="D679" s="8" t="inlineStr">
        <is>
          <t>worker/src/routes/fees/concessions.ts</t>
        </is>
      </c>
      <c r="E679" s="8" t="n">
        <v>788</v>
      </c>
      <c r="F679" s="8" t="inlineStr">
        <is>
          <t>No</t>
        </is>
      </c>
      <c r="G679" s="8" t="n">
        <v>22</v>
      </c>
    </row>
    <row r="680">
      <c r="A680" s="8" t="inlineStr">
        <is>
          <t>POST</t>
        </is>
      </c>
      <c r="B680" s="8" t="inlineStr">
        <is>
          <t>/api/v1/finance/concessions/scholarships/{id}/fee-credit</t>
        </is>
      </c>
      <c r="C680" s="8" t="inlineStr">
        <is>
          <t>WRITE</t>
        </is>
      </c>
      <c r="D680" s="8" t="inlineStr">
        <is>
          <t>worker/src/routes/fees/concessions.ts</t>
        </is>
      </c>
      <c r="E680" s="8" t="n">
        <v>800</v>
      </c>
      <c r="F680" s="8" t="inlineStr">
        <is>
          <t>No</t>
        </is>
      </c>
      <c r="G680" s="8" t="n">
        <v>22</v>
      </c>
    </row>
    <row r="681">
      <c r="A681" s="8" t="inlineStr">
        <is>
          <t>GET</t>
        </is>
      </c>
      <c r="B681" s="8" t="inlineStr">
        <is>
          <t>/api/v1/finance/concessions/scholarships/imports</t>
        </is>
      </c>
      <c r="C681" s="8" t="inlineStr">
        <is>
          <t>READ</t>
        </is>
      </c>
      <c r="D681" s="8" t="inlineStr">
        <is>
          <t>worker/src/routes/fees/concessions.ts</t>
        </is>
      </c>
      <c r="E681" s="8" t="n">
        <v>842</v>
      </c>
      <c r="F681" s="8" t="inlineStr">
        <is>
          <t>No</t>
        </is>
      </c>
      <c r="G681" s="8" t="n">
        <v>22</v>
      </c>
    </row>
    <row r="682">
      <c r="A682" s="8" t="inlineStr">
        <is>
          <t>POST</t>
        </is>
      </c>
      <c r="B682" s="8" t="inlineStr">
        <is>
          <t>/api/v1/finance/concessions/scholarships/imports</t>
        </is>
      </c>
      <c r="C682" s="8" t="inlineStr">
        <is>
          <t>WRITE</t>
        </is>
      </c>
      <c r="D682" s="8" t="inlineStr">
        <is>
          <t>worker/src/routes/fees/concessions.ts</t>
        </is>
      </c>
      <c r="E682" s="8" t="n">
        <v>858</v>
      </c>
      <c r="F682" s="8" t="inlineStr">
        <is>
          <t>No</t>
        </is>
      </c>
      <c r="G682" s="8" t="n">
        <v>22</v>
      </c>
    </row>
    <row r="683">
      <c r="A683" s="8" t="inlineStr">
        <is>
          <t>GET</t>
        </is>
      </c>
      <c r="B683" s="8" t="inlineStr">
        <is>
          <t>/api/v1/finance/concessions/scholarships/imports/{id}</t>
        </is>
      </c>
      <c r="C683" s="8" t="inlineStr">
        <is>
          <t>READ</t>
        </is>
      </c>
      <c r="D683" s="8" t="inlineStr">
        <is>
          <t>worker/src/routes/fees/concessions.ts</t>
        </is>
      </c>
      <c r="E683" s="8" t="n">
        <v>976</v>
      </c>
      <c r="F683" s="8" t="inlineStr">
        <is>
          <t>No</t>
        </is>
      </c>
      <c r="G683" s="8" t="n">
        <v>22</v>
      </c>
    </row>
    <row r="684">
      <c r="A684" s="8" t="inlineStr">
        <is>
          <t>POST</t>
        </is>
      </c>
      <c r="B684" s="8" t="inlineStr">
        <is>
          <t>/api/v1/finance/concessions/scholarships/lines/{id}/match</t>
        </is>
      </c>
      <c r="C684" s="8" t="inlineStr">
        <is>
          <t>WRITE</t>
        </is>
      </c>
      <c r="D684" s="8" t="inlineStr">
        <is>
          <t>worker/src/routes/fees/concessions.ts</t>
        </is>
      </c>
      <c r="E684" s="8" t="n">
        <v>1010</v>
      </c>
      <c r="F684" s="8" t="inlineStr">
        <is>
          <t>No</t>
        </is>
      </c>
      <c r="G684" s="8" t="n">
        <v>22</v>
      </c>
    </row>
    <row r="685">
      <c r="A685" s="8" t="inlineStr">
        <is>
          <t>GET</t>
        </is>
      </c>
      <c r="B685" s="8" t="inlineStr">
        <is>
          <t>/api/v1/finance/concessions/loans/lenders</t>
        </is>
      </c>
      <c r="C685" s="8" t="inlineStr">
        <is>
          <t>READ</t>
        </is>
      </c>
      <c r="D685" s="8" t="inlineStr">
        <is>
          <t>worker/src/routes/fees/concessions.ts</t>
        </is>
      </c>
      <c r="E685" s="8" t="n">
        <v>1040</v>
      </c>
      <c r="F685" s="8" t="inlineStr">
        <is>
          <t>No</t>
        </is>
      </c>
      <c r="G685" s="8" t="n">
        <v>22</v>
      </c>
    </row>
    <row r="686">
      <c r="A686" s="8" t="inlineStr">
        <is>
          <t>POST</t>
        </is>
      </c>
      <c r="B686" s="8" t="inlineStr">
        <is>
          <t>/api/v1/finance/concessions/loans/lenders</t>
        </is>
      </c>
      <c r="C686" s="8" t="inlineStr">
        <is>
          <t>WRITE</t>
        </is>
      </c>
      <c r="D686" s="8" t="inlineStr">
        <is>
          <t>worker/src/routes/fees/concessions.ts</t>
        </is>
      </c>
      <c r="E686" s="8" t="n">
        <v>1054</v>
      </c>
      <c r="F686" s="8" t="inlineStr">
        <is>
          <t>No</t>
        </is>
      </c>
      <c r="G686" s="8" t="n">
        <v>22</v>
      </c>
    </row>
    <row r="687">
      <c r="A687" s="8" t="inlineStr">
        <is>
          <t>GET</t>
        </is>
      </c>
      <c r="B687" s="8" t="inlineStr">
        <is>
          <t>/api/v1/finance/concessions/loans/applications</t>
        </is>
      </c>
      <c r="C687" s="8" t="inlineStr">
        <is>
          <t>READ</t>
        </is>
      </c>
      <c r="D687" s="8" t="inlineStr">
        <is>
          <t>worker/src/routes/fees/concessions.ts</t>
        </is>
      </c>
      <c r="E687" s="8" t="n">
        <v>1087</v>
      </c>
      <c r="F687" s="8" t="inlineStr">
        <is>
          <t>No</t>
        </is>
      </c>
      <c r="G687" s="8" t="n">
        <v>22</v>
      </c>
    </row>
    <row r="688">
      <c r="A688" s="8" t="inlineStr">
        <is>
          <t>POST</t>
        </is>
      </c>
      <c r="B688" s="8" t="inlineStr">
        <is>
          <t>/api/v1/finance/concessions/loans/applications</t>
        </is>
      </c>
      <c r="C688" s="8" t="inlineStr">
        <is>
          <t>WRITE</t>
        </is>
      </c>
      <c r="D688" s="8" t="inlineStr">
        <is>
          <t>worker/src/routes/fees/concessions.ts</t>
        </is>
      </c>
      <c r="E688" s="8" t="n">
        <v>1101</v>
      </c>
      <c r="F688" s="8" t="inlineStr">
        <is>
          <t>No</t>
        </is>
      </c>
      <c r="G688" s="8" t="n">
        <v>22</v>
      </c>
    </row>
    <row r="689">
      <c r="A689" s="8" t="inlineStr">
        <is>
          <t>GET</t>
        </is>
      </c>
      <c r="B689" s="8" t="inlineStr">
        <is>
          <t>/api/v1/finance/concessions/loans/applications/{id}</t>
        </is>
      </c>
      <c r="C689" s="8" t="inlineStr">
        <is>
          <t>READ</t>
        </is>
      </c>
      <c r="D689" s="8" t="inlineStr">
        <is>
          <t>worker/src/routes/fees/concessions.ts</t>
        </is>
      </c>
      <c r="E689" s="8" t="n">
        <v>1159</v>
      </c>
      <c r="F689" s="8" t="inlineStr">
        <is>
          <t>No</t>
        </is>
      </c>
      <c r="G689" s="8" t="n">
        <v>22</v>
      </c>
    </row>
    <row r="690">
      <c r="A690" s="8" t="inlineStr">
        <is>
          <t>POST</t>
        </is>
      </c>
      <c r="B690" s="8" t="inlineStr">
        <is>
          <t>/api/v1/finance/concessions/loans/applications/{id}/status</t>
        </is>
      </c>
      <c r="C690" s="8" t="inlineStr">
        <is>
          <t>WRITE</t>
        </is>
      </c>
      <c r="D690" s="8" t="inlineStr">
        <is>
          <t>worker/src/routes/fees/concessions.ts</t>
        </is>
      </c>
      <c r="E690" s="8" t="n">
        <v>1192</v>
      </c>
      <c r="F690" s="8" t="inlineStr">
        <is>
          <t>No</t>
        </is>
      </c>
      <c r="G690" s="8" t="n">
        <v>22</v>
      </c>
    </row>
    <row r="691">
      <c r="A691" s="8" t="inlineStr">
        <is>
          <t>POST</t>
        </is>
      </c>
      <c r="B691" s="8" t="inlineStr">
        <is>
          <t>/api/v1/finance/concessions/loans/applications/{id}/documents</t>
        </is>
      </c>
      <c r="C691" s="8" t="inlineStr">
        <is>
          <t>WRITE</t>
        </is>
      </c>
      <c r="D691" s="8" t="inlineStr">
        <is>
          <t>worker/src/routes/fees/concessions.ts</t>
        </is>
      </c>
      <c r="E691" s="8" t="n">
        <v>1239</v>
      </c>
      <c r="F691" s="8" t="inlineStr">
        <is>
          <t>No</t>
        </is>
      </c>
      <c r="G691" s="8" t="n">
        <v>22</v>
      </c>
    </row>
    <row r="692">
      <c r="A692" s="8" t="inlineStr">
        <is>
          <t>GET</t>
        </is>
      </c>
      <c r="B692" s="8" t="inlineStr">
        <is>
          <t>/api/v1/fees/students/{id}/ledger</t>
        </is>
      </c>
      <c r="C692" s="8" t="inlineStr">
        <is>
          <t>auth</t>
        </is>
      </c>
      <c r="D692" s="8" t="inlineStr">
        <is>
          <t>worker/src/routes/fees/counter.ts</t>
        </is>
      </c>
      <c r="E692" s="8" t="n">
        <v>123</v>
      </c>
      <c r="F692" s="8" t="inlineStr">
        <is>
          <t>Yes</t>
        </is>
      </c>
      <c r="G692" s="8" t="n">
        <v>15</v>
      </c>
    </row>
    <row r="693">
      <c r="A693" s="8" t="inlineStr">
        <is>
          <t>GET</t>
        </is>
      </c>
      <c r="B693" s="8" t="inlineStr">
        <is>
          <t>/api/v1/fees/upi-code</t>
        </is>
      </c>
      <c r="C693" s="8" t="inlineStr">
        <is>
          <t>auth</t>
        </is>
      </c>
      <c r="D693" s="8" t="inlineStr">
        <is>
          <t>worker/src/routes/fees/counter.ts</t>
        </is>
      </c>
      <c r="E693" s="8" t="n">
        <v>186</v>
      </c>
      <c r="F693" s="8" t="inlineStr">
        <is>
          <t>Yes</t>
        </is>
      </c>
      <c r="G693" s="8" t="n">
        <v>15</v>
      </c>
    </row>
    <row r="694">
      <c r="A694" s="8" t="inlineStr">
        <is>
          <t>GET</t>
        </is>
      </c>
      <c r="B694" s="8" t="inlineStr">
        <is>
          <t>/api/v1/fees/students/{id}/wallet</t>
        </is>
      </c>
      <c r="C694" s="8" t="inlineStr">
        <is>
          <t>auth</t>
        </is>
      </c>
      <c r="D694" s="8" t="inlineStr">
        <is>
          <t>worker/src/routes/fees/counter.ts</t>
        </is>
      </c>
      <c r="E694" s="8" t="n">
        <v>209</v>
      </c>
      <c r="F694" s="8" t="inlineStr">
        <is>
          <t>Yes</t>
        </is>
      </c>
      <c r="G694" s="8" t="n">
        <v>15</v>
      </c>
    </row>
    <row r="695">
      <c r="A695" s="8" t="inlineStr">
        <is>
          <t>POST</t>
        </is>
      </c>
      <c r="B695" s="8" t="inlineStr">
        <is>
          <t>/api/v1/fees/wallet/topups</t>
        </is>
      </c>
      <c r="C695" s="8" t="inlineStr">
        <is>
          <t>finance.wallet.manage</t>
        </is>
      </c>
      <c r="D695" s="8" t="inlineStr">
        <is>
          <t>worker/src/routes/fees/counter.ts</t>
        </is>
      </c>
      <c r="E695" s="8" t="n">
        <v>236</v>
      </c>
      <c r="F695" s="8" t="inlineStr">
        <is>
          <t>Yes</t>
        </is>
      </c>
      <c r="G695" s="8" t="n">
        <v>15</v>
      </c>
    </row>
    <row r="696">
      <c r="A696" s="8" t="inlineStr">
        <is>
          <t>POST</t>
        </is>
      </c>
      <c r="B696" s="8" t="inlineStr">
        <is>
          <t>/api/v1/fees/wallet/adjustments</t>
        </is>
      </c>
      <c r="C696" s="8" t="inlineStr">
        <is>
          <t>finance.wallet.manage</t>
        </is>
      </c>
      <c r="D696" s="8" t="inlineStr">
        <is>
          <t>worker/src/routes/fees/counter.ts</t>
        </is>
      </c>
      <c r="E696" s="8" t="n">
        <v>263</v>
      </c>
      <c r="F696" s="8" t="inlineStr">
        <is>
          <t>Yes</t>
        </is>
      </c>
      <c r="G696" s="8" t="n">
        <v>15</v>
      </c>
    </row>
    <row r="697">
      <c r="A697" s="8" t="inlineStr">
        <is>
          <t>POST</t>
        </is>
      </c>
      <c r="B697" s="8" t="inlineStr">
        <is>
          <t>/api/v1/fees/payments</t>
        </is>
      </c>
      <c r="C697" s="8" t="inlineStr">
        <is>
          <t>finance.payments.write</t>
        </is>
      </c>
      <c r="D697" s="8" t="inlineStr">
        <is>
          <t>worker/src/routes/fees/counter.ts</t>
        </is>
      </c>
      <c r="E697" s="8" t="n">
        <v>294</v>
      </c>
      <c r="F697" s="8" t="inlineStr">
        <is>
          <t>Yes</t>
        </is>
      </c>
      <c r="G697" s="8" t="n">
        <v>15</v>
      </c>
    </row>
    <row r="698">
      <c r="A698" s="8" t="inlineStr">
        <is>
          <t>GET</t>
        </is>
      </c>
      <c r="B698" s="8" t="inlineStr">
        <is>
          <t>/api/v1/fees/receipts/{id}</t>
        </is>
      </c>
      <c r="C698" s="8" t="inlineStr">
        <is>
          <t>finance.payments.read</t>
        </is>
      </c>
      <c r="D698" s="8" t="inlineStr">
        <is>
          <t>worker/src/routes/fees/counter.ts</t>
        </is>
      </c>
      <c r="E698" s="8" t="n">
        <v>353</v>
      </c>
      <c r="F698" s="8" t="inlineStr">
        <is>
          <t>Yes</t>
        </is>
      </c>
      <c r="G698" s="8" t="n">
        <v>15</v>
      </c>
    </row>
    <row r="699">
      <c r="A699" s="8" t="inlineStr">
        <is>
          <t>POST</t>
        </is>
      </c>
      <c r="B699" s="8" t="inlineStr">
        <is>
          <t>/api/v1/fees/payments/{id}/clear</t>
        </is>
      </c>
      <c r="C699" s="8" t="inlineStr">
        <is>
          <t>finance.payments.write</t>
        </is>
      </c>
      <c r="D699" s="8" t="inlineStr">
        <is>
          <t>worker/src/routes/fees/counter.ts</t>
        </is>
      </c>
      <c r="E699" s="8" t="n">
        <v>379</v>
      </c>
      <c r="F699" s="8" t="inlineStr">
        <is>
          <t>Yes</t>
        </is>
      </c>
      <c r="G699" s="8" t="n">
        <v>15</v>
      </c>
    </row>
    <row r="700">
      <c r="A700" s="8" t="inlineStr">
        <is>
          <t>POST</t>
        </is>
      </c>
      <c r="B700" s="8" t="inlineStr">
        <is>
          <t>/api/v1/fees/payments/{id}/bounce</t>
        </is>
      </c>
      <c r="C700" s="8" t="inlineStr">
        <is>
          <t>finance.payments.write</t>
        </is>
      </c>
      <c r="D700" s="8" t="inlineStr">
        <is>
          <t>worker/src/routes/fees/counter.ts</t>
        </is>
      </c>
      <c r="E700" s="8" t="n">
        <v>388</v>
      </c>
      <c r="F700" s="8" t="inlineStr">
        <is>
          <t>Yes</t>
        </is>
      </c>
      <c r="G700" s="8" t="n">
        <v>15</v>
      </c>
    </row>
    <row r="701">
      <c r="A701" s="8" t="inlineStr">
        <is>
          <t>GET</t>
        </is>
      </c>
      <c r="B701" s="8" t="inlineStr">
        <is>
          <t>/api/v1/fees/pdc</t>
        </is>
      </c>
      <c r="C701" s="8" t="inlineStr">
        <is>
          <t>finance.payments.read</t>
        </is>
      </c>
      <c r="D701" s="8" t="inlineStr">
        <is>
          <t>worker/src/routes/fees/counter.ts</t>
        </is>
      </c>
      <c r="E701" s="8" t="n">
        <v>423</v>
      </c>
      <c r="F701" s="8" t="inlineStr">
        <is>
          <t>Yes</t>
        </is>
      </c>
      <c r="G701" s="8" t="n">
        <v>15</v>
      </c>
    </row>
    <row r="702">
      <c r="A702" s="8" t="inlineStr">
        <is>
          <t>GET</t>
        </is>
      </c>
      <c r="B702" s="8" t="inlineStr">
        <is>
          <t>/api/v1/fees/defaulters</t>
        </is>
      </c>
      <c r="C702" s="8" t="inlineStr">
        <is>
          <t>finance.invoices.read</t>
        </is>
      </c>
      <c r="D702" s="8" t="inlineStr">
        <is>
          <t>worker/src/routes/fees/counter.ts</t>
        </is>
      </c>
      <c r="E702" s="8" t="n">
        <v>434</v>
      </c>
      <c r="F702" s="8" t="inlineStr">
        <is>
          <t>Yes</t>
        </is>
      </c>
      <c r="G702" s="8" t="n">
        <v>15</v>
      </c>
    </row>
    <row r="703">
      <c r="A703" s="8" t="inlineStr">
        <is>
          <t>GET</t>
        </is>
      </c>
      <c r="B703" s="8" t="inlineStr">
        <is>
          <t>/api/v1/finance/fee-engine/structures</t>
        </is>
      </c>
      <c r="C703" s="8" t="inlineStr">
        <is>
          <t>READ</t>
        </is>
      </c>
      <c r="D703" s="8" t="inlineStr">
        <is>
          <t>worker/src/routes/fees/fee_engine.ts</t>
        </is>
      </c>
      <c r="E703" s="8" t="n">
        <v>324</v>
      </c>
      <c r="F703" s="8" t="inlineStr">
        <is>
          <t>Yes</t>
        </is>
      </c>
      <c r="G703" s="8" t="n">
        <v>16</v>
      </c>
    </row>
    <row r="704">
      <c r="A704" s="8" t="inlineStr">
        <is>
          <t>GET</t>
        </is>
      </c>
      <c r="B704" s="8" t="inlineStr">
        <is>
          <t>/api/v1/finance/fee-engine/structures/{id}/versions</t>
        </is>
      </c>
      <c r="C704" s="8" t="inlineStr">
        <is>
          <t>READ</t>
        </is>
      </c>
      <c r="D704" s="8" t="inlineStr">
        <is>
          <t>worker/src/routes/fees/fee_engine.ts</t>
        </is>
      </c>
      <c r="E704" s="8" t="n">
        <v>350</v>
      </c>
      <c r="F704" s="8" t="inlineStr">
        <is>
          <t>Yes</t>
        </is>
      </c>
      <c r="G704" s="8" t="n">
        <v>16</v>
      </c>
    </row>
    <row r="705">
      <c r="A705" s="8" t="inlineStr">
        <is>
          <t>POST</t>
        </is>
      </c>
      <c r="B705" s="8" t="inlineStr">
        <is>
          <t>/api/v1/finance/fee-engine/versions</t>
        </is>
      </c>
      <c r="C705" s="8" t="inlineStr">
        <is>
          <t>MASTERS</t>
        </is>
      </c>
      <c r="D705" s="8" t="inlineStr">
        <is>
          <t>worker/src/routes/fees/fee_engine.ts</t>
        </is>
      </c>
      <c r="E705" s="8" t="n">
        <v>388</v>
      </c>
      <c r="F705" s="8" t="inlineStr">
        <is>
          <t>No</t>
        </is>
      </c>
      <c r="G705" s="8" t="n">
        <v>16</v>
      </c>
    </row>
    <row r="706">
      <c r="A706" s="8" t="inlineStr">
        <is>
          <t>PUT</t>
        </is>
      </c>
      <c r="B706" s="8" t="inlineStr">
        <is>
          <t>/api/v1/finance/fee-engine/versions/{id}/items</t>
        </is>
      </c>
      <c r="C706" s="8" t="inlineStr">
        <is>
          <t>MASTERS</t>
        </is>
      </c>
      <c r="D706" s="8" t="inlineStr">
        <is>
          <t>worker/src/routes/fees/fee_engine.ts</t>
        </is>
      </c>
      <c r="E706" s="8" t="n">
        <v>435</v>
      </c>
      <c r="F706" s="8" t="inlineStr">
        <is>
          <t>No</t>
        </is>
      </c>
      <c r="G706" s="8" t="n">
        <v>16</v>
      </c>
    </row>
    <row r="707">
      <c r="A707" s="8" t="inlineStr">
        <is>
          <t>POST</t>
        </is>
      </c>
      <c r="B707" s="8" t="inlineStr">
        <is>
          <t>/api/v1/finance/fee-engine/versions/{id}/activate</t>
        </is>
      </c>
      <c r="C707" s="8" t="inlineStr">
        <is>
          <t>MASTERS</t>
        </is>
      </c>
      <c r="D707" s="8" t="inlineStr">
        <is>
          <t>worker/src/routes/fees/fee_engine.ts</t>
        </is>
      </c>
      <c r="E707" s="8" t="n">
        <v>469</v>
      </c>
      <c r="F707" s="8" t="inlineStr">
        <is>
          <t>No</t>
        </is>
      </c>
      <c r="G707" s="8" t="n">
        <v>16</v>
      </c>
    </row>
    <row r="708">
      <c r="A708" s="8" t="inlineStr">
        <is>
          <t>DELETE</t>
        </is>
      </c>
      <c r="B708" s="8" t="inlineStr">
        <is>
          <t>/api/v1/finance/fee-engine/versions/{id}</t>
        </is>
      </c>
      <c r="C708" s="8" t="inlineStr">
        <is>
          <t>MASTERS</t>
        </is>
      </c>
      <c r="D708" s="8" t="inlineStr">
        <is>
          <t>worker/src/routes/fees/fee_engine.ts</t>
        </is>
      </c>
      <c r="E708" s="8" t="n">
        <v>494</v>
      </c>
      <c r="F708" s="8" t="inlineStr">
        <is>
          <t>No</t>
        </is>
      </c>
      <c r="G708" s="8" t="n">
        <v>16</v>
      </c>
    </row>
    <row r="709">
      <c r="A709" s="8" t="inlineStr">
        <is>
          <t>GET</t>
        </is>
      </c>
      <c r="B709" s="8" t="inlineStr">
        <is>
          <t>/api/v1/finance/fee-engine/fine-rules</t>
        </is>
      </c>
      <c r="C709" s="8" t="inlineStr">
        <is>
          <t>READ</t>
        </is>
      </c>
      <c r="D709" s="8" t="inlineStr">
        <is>
          <t>worker/src/routes/fees/fee_engine.ts</t>
        </is>
      </c>
      <c r="E709" s="8" t="n">
        <v>511</v>
      </c>
      <c r="F709" s="8" t="inlineStr">
        <is>
          <t>No</t>
        </is>
      </c>
      <c r="G709" s="8" t="n">
        <v>16</v>
      </c>
    </row>
    <row r="710">
      <c r="A710" s="8" t="inlineStr">
        <is>
          <t>POST</t>
        </is>
      </c>
      <c r="B710" s="8" t="inlineStr">
        <is>
          <t>/api/v1/finance/fee-engine/fine-rules</t>
        </is>
      </c>
      <c r="C710" s="8" t="inlineStr">
        <is>
          <t>MASTERS</t>
        </is>
      </c>
      <c r="D710" s="8" t="inlineStr">
        <is>
          <t>worker/src/routes/fees/fee_engine.ts</t>
        </is>
      </c>
      <c r="E710" s="8" t="n">
        <v>536</v>
      </c>
      <c r="F710" s="8" t="inlineStr">
        <is>
          <t>No</t>
        </is>
      </c>
      <c r="G710" s="8" t="n">
        <v>16</v>
      </c>
    </row>
    <row r="711">
      <c r="A711" s="8" t="inlineStr">
        <is>
          <t>DELETE</t>
        </is>
      </c>
      <c r="B711" s="8" t="inlineStr">
        <is>
          <t>/api/v1/finance/fee-engine/fine-rules/{id}</t>
        </is>
      </c>
      <c r="C711" s="8" t="inlineStr">
        <is>
          <t>MASTERS</t>
        </is>
      </c>
      <c r="D711" s="8" t="inlineStr">
        <is>
          <t>worker/src/routes/fees/fee_engine.ts</t>
        </is>
      </c>
      <c r="E711" s="8" t="n">
        <v>600</v>
      </c>
      <c r="F711" s="8" t="inlineStr">
        <is>
          <t>No</t>
        </is>
      </c>
      <c r="G711" s="8" t="n">
        <v>16</v>
      </c>
    </row>
    <row r="712">
      <c r="A712" s="8" t="inlineStr">
        <is>
          <t>GET</t>
        </is>
      </c>
      <c r="B712" s="8" t="inlineStr">
        <is>
          <t>/api/v1/finance/fee-engine/fines/preview</t>
        </is>
      </c>
      <c r="C712" s="8" t="inlineStr">
        <is>
          <t>READ</t>
        </is>
      </c>
      <c r="D712" s="8" t="inlineStr">
        <is>
          <t>worker/src/routes/fees/fee_engine.ts</t>
        </is>
      </c>
      <c r="E712" s="8" t="n">
        <v>611</v>
      </c>
      <c r="F712" s="8" t="inlineStr">
        <is>
          <t>No</t>
        </is>
      </c>
      <c r="G712" s="8" t="n">
        <v>16</v>
      </c>
    </row>
    <row r="713">
      <c r="A713" s="8" t="inlineStr">
        <is>
          <t>POST</t>
        </is>
      </c>
      <c r="B713" s="8" t="inlineStr">
        <is>
          <t>/api/v1/finance/fee-engine/fines/apply</t>
        </is>
      </c>
      <c r="C713" s="8" t="inlineStr">
        <is>
          <t>LEVY</t>
        </is>
      </c>
      <c r="D713" s="8" t="inlineStr">
        <is>
          <t>worker/src/routes/fees/fee_engine.ts</t>
        </is>
      </c>
      <c r="E713" s="8" t="n">
        <v>626</v>
      </c>
      <c r="F713" s="8" t="inlineStr">
        <is>
          <t>No</t>
        </is>
      </c>
      <c r="G713" s="8" t="n">
        <v>16</v>
      </c>
    </row>
    <row r="714">
      <c r="A714" s="8" t="inlineStr">
        <is>
          <t>GET</t>
        </is>
      </c>
      <c r="B714" s="8" t="inlineStr">
        <is>
          <t>/api/v1/finance/fee-engine/fines/charges</t>
        </is>
      </c>
      <c r="C714" s="8" t="inlineStr">
        <is>
          <t>READ</t>
        </is>
      </c>
      <c r="D714" s="8" t="inlineStr">
        <is>
          <t>worker/src/routes/fees/fee_engine.ts</t>
        </is>
      </c>
      <c r="E714" s="8" t="n">
        <v>691</v>
      </c>
      <c r="F714" s="8" t="inlineStr">
        <is>
          <t>No</t>
        </is>
      </c>
      <c r="G714" s="8" t="n">
        <v>16</v>
      </c>
    </row>
    <row r="715">
      <c r="A715" s="8" t="inlineStr">
        <is>
          <t>POST</t>
        </is>
      </c>
      <c r="B715" s="8" t="inlineStr">
        <is>
          <t>/api/v1/finance/fee-engine/fines/charges/{id}/waive</t>
        </is>
      </c>
      <c r="C715" s="8" t="inlineStr">
        <is>
          <t>LEVY</t>
        </is>
      </c>
      <c r="D715" s="8" t="inlineStr">
        <is>
          <t>worker/src/routes/fees/fee_engine.ts</t>
        </is>
      </c>
      <c r="E715" s="8" t="n">
        <v>713</v>
      </c>
      <c r="F715" s="8" t="inlineStr">
        <is>
          <t>No</t>
        </is>
      </c>
      <c r="G715" s="8" t="n">
        <v>16</v>
      </c>
    </row>
    <row r="716">
      <c r="A716" s="8" t="inlineStr">
        <is>
          <t>GET</t>
        </is>
      </c>
      <c r="B716" s="8" t="inlineStr">
        <is>
          <t>/api/v1/finance/fee-engine/receipt-series</t>
        </is>
      </c>
      <c r="C716" s="8" t="inlineStr">
        <is>
          <t>READ</t>
        </is>
      </c>
      <c r="D716" s="8" t="inlineStr">
        <is>
          <t>worker/src/routes/fees/fee_engine.ts</t>
        </is>
      </c>
      <c r="E716" s="8" t="n">
        <v>733</v>
      </c>
      <c r="F716" s="8" t="inlineStr">
        <is>
          <t>No</t>
        </is>
      </c>
      <c r="G716" s="8" t="n">
        <v>16</v>
      </c>
    </row>
    <row r="717">
      <c r="A717" s="8" t="inlineStr">
        <is>
          <t>PUT</t>
        </is>
      </c>
      <c r="B717" s="8" t="inlineStr">
        <is>
          <t>/api/v1/finance/fee-engine/receipt-series/{kind}</t>
        </is>
      </c>
      <c r="C717" s="8" t="inlineStr">
        <is>
          <t>MASTERS</t>
        </is>
      </c>
      <c r="D717" s="8" t="inlineStr">
        <is>
          <t>worker/src/routes/fees/fee_engine.ts</t>
        </is>
      </c>
      <c r="E717" s="8" t="n">
        <v>761</v>
      </c>
      <c r="F717" s="8" t="inlineStr">
        <is>
          <t>No</t>
        </is>
      </c>
      <c r="G717" s="8" t="n">
        <v>16</v>
      </c>
    </row>
    <row r="718">
      <c r="A718" s="8" t="inlineStr">
        <is>
          <t>PUT</t>
        </is>
      </c>
      <c r="B718" s="8" t="inlineStr">
        <is>
          <t>/api/v1/finance/fee-engine/gst-heads/{id}</t>
        </is>
      </c>
      <c r="C718" s="8" t="inlineStr">
        <is>
          <t>MASTERS</t>
        </is>
      </c>
      <c r="D718" s="8" t="inlineStr">
        <is>
          <t>worker/src/routes/fees/fee_engine.ts</t>
        </is>
      </c>
      <c r="E718" s="8" t="n">
        <v>788</v>
      </c>
      <c r="F718" s="8" t="inlineStr">
        <is>
          <t>No</t>
        </is>
      </c>
      <c r="G718" s="8" t="n">
        <v>16</v>
      </c>
    </row>
    <row r="719">
      <c r="A719" s="8" t="inlineStr">
        <is>
          <t>POST</t>
        </is>
      </c>
      <c r="B719" s="8" t="inlineStr">
        <is>
          <t>/api/v1/fees/invoices/generate</t>
        </is>
      </c>
      <c r="C719" s="8" t="inlineStr">
        <is>
          <t>auth</t>
        </is>
      </c>
      <c r="D719" s="8" t="inlineStr">
        <is>
          <t>worker/src/routes/fees/invoicing.ts</t>
        </is>
      </c>
      <c r="E719" s="8" t="n">
        <v>100</v>
      </c>
      <c r="F719" s="8" t="inlineStr">
        <is>
          <t>Yes</t>
        </is>
      </c>
      <c r="G719" s="8" t="n">
        <v>16</v>
      </c>
    </row>
    <row r="720">
      <c r="A720" s="8" t="inlineStr">
        <is>
          <t>POST</t>
        </is>
      </c>
      <c r="B720" s="8" t="inlineStr">
        <is>
          <t>/api/v1/fees/invoices/{id}/penalty</t>
        </is>
      </c>
      <c r="C720" s="8" t="inlineStr">
        <is>
          <t>finance.payments.write</t>
        </is>
      </c>
      <c r="D720" s="8" t="inlineStr">
        <is>
          <t>worker/src/routes/fees/invoicing.ts</t>
        </is>
      </c>
      <c r="E720" s="8" t="n">
        <v>259</v>
      </c>
      <c r="F720" s="8" t="inlineStr">
        <is>
          <t>Yes</t>
        </is>
      </c>
      <c r="G720" s="8" t="n">
        <v>16</v>
      </c>
    </row>
    <row r="721">
      <c r="A721" s="8" t="inlineStr">
        <is>
          <t>PATCH</t>
        </is>
      </c>
      <c r="B721" s="8" t="inlineStr">
        <is>
          <t>/api/v1/fees/invoices/{id}/note</t>
        </is>
      </c>
      <c r="C721" s="8" t="inlineStr">
        <is>
          <t>finance.payments.write</t>
        </is>
      </c>
      <c r="D721" s="8" t="inlineStr">
        <is>
          <t>worker/src/routes/fees/invoicing.ts</t>
        </is>
      </c>
      <c r="E721" s="8" t="n">
        <v>291</v>
      </c>
      <c r="F721" s="8" t="inlineStr">
        <is>
          <t>No</t>
        </is>
      </c>
      <c r="G721" s="8" t="n">
        <v>16</v>
      </c>
    </row>
    <row r="722">
      <c r="A722" s="8" t="inlineStr">
        <is>
          <t>GET</t>
        </is>
      </c>
      <c r="B722" s="8" t="inlineStr">
        <is>
          <t>/api/v1/finance/ledgers/accounts</t>
        </is>
      </c>
      <c r="C722" s="8" t="inlineStr">
        <is>
          <t>READ</t>
        </is>
      </c>
      <c r="D722" s="8" t="inlineStr">
        <is>
          <t>worker/src/routes/fees/ledgers.ts</t>
        </is>
      </c>
      <c r="E722" s="8" t="n">
        <v>267</v>
      </c>
      <c r="F722" s="8" t="inlineStr">
        <is>
          <t>No</t>
        </is>
      </c>
      <c r="G722" s="8" t="n">
        <v>19</v>
      </c>
    </row>
    <row r="723">
      <c r="A723" s="8" t="inlineStr">
        <is>
          <t>POST</t>
        </is>
      </c>
      <c r="B723" s="8" t="inlineStr">
        <is>
          <t>/api/v1/finance/ledgers/accounts</t>
        </is>
      </c>
      <c r="C723" s="8" t="inlineStr">
        <is>
          <t>MASTERS</t>
        </is>
      </c>
      <c r="D723" s="8" t="inlineStr">
        <is>
          <t>worker/src/routes/fees/ledgers.ts</t>
        </is>
      </c>
      <c r="E723" s="8" t="n">
        <v>291</v>
      </c>
      <c r="F723" s="8" t="inlineStr">
        <is>
          <t>No</t>
        </is>
      </c>
      <c r="G723" s="8" t="n">
        <v>19</v>
      </c>
    </row>
    <row r="724">
      <c r="A724" s="8" t="inlineStr">
        <is>
          <t>GET</t>
        </is>
      </c>
      <c r="B724" s="8" t="inlineStr">
        <is>
          <t>/api/v1/finance/ledgers/settings</t>
        </is>
      </c>
      <c r="C724" s="8" t="inlineStr">
        <is>
          <t>READ</t>
        </is>
      </c>
      <c r="D724" s="8" t="inlineStr">
        <is>
          <t>worker/src/routes/fees/ledgers.ts</t>
        </is>
      </c>
      <c r="E724" s="8" t="n">
        <v>317</v>
      </c>
      <c r="F724" s="8" t="inlineStr">
        <is>
          <t>No</t>
        </is>
      </c>
      <c r="G724" s="8" t="n">
        <v>19</v>
      </c>
    </row>
    <row r="725">
      <c r="A725" s="8" t="inlineStr">
        <is>
          <t>POST</t>
        </is>
      </c>
      <c r="B725" s="8" t="inlineStr">
        <is>
          <t>/api/v1/finance/ledgers/settings</t>
        </is>
      </c>
      <c r="C725" s="8" t="inlineStr">
        <is>
          <t>MASTERS</t>
        </is>
      </c>
      <c r="D725" s="8" t="inlineStr">
        <is>
          <t>worker/src/routes/fees/ledgers.ts</t>
        </is>
      </c>
      <c r="E725" s="8" t="n">
        <v>332</v>
      </c>
      <c r="F725" s="8" t="inlineStr">
        <is>
          <t>No</t>
        </is>
      </c>
      <c r="G725" s="8" t="n">
        <v>19</v>
      </c>
    </row>
    <row r="726">
      <c r="A726" s="8" t="inlineStr">
        <is>
          <t>GET</t>
        </is>
      </c>
      <c r="B726" s="8" t="inlineStr">
        <is>
          <t>/api/v1/finance/ledgers/vouchers</t>
        </is>
      </c>
      <c r="C726" s="8" t="inlineStr">
        <is>
          <t>READ</t>
        </is>
      </c>
      <c r="D726" s="8" t="inlineStr">
        <is>
          <t>worker/src/routes/fees/ledgers.ts</t>
        </is>
      </c>
      <c r="E726" s="8" t="n">
        <v>365</v>
      </c>
      <c r="F726" s="8" t="inlineStr">
        <is>
          <t>No</t>
        </is>
      </c>
      <c r="G726" s="8" t="n">
        <v>19</v>
      </c>
    </row>
    <row r="727">
      <c r="A727" s="8" t="inlineStr">
        <is>
          <t>GET</t>
        </is>
      </c>
      <c r="B727" s="8" t="inlineStr">
        <is>
          <t>/api/v1/finance/ledgers/trial-balance</t>
        </is>
      </c>
      <c r="C727" s="8" t="inlineStr">
        <is>
          <t>READ</t>
        </is>
      </c>
      <c r="D727" s="8" t="inlineStr">
        <is>
          <t>worker/src/routes/fees/ledgers.ts</t>
        </is>
      </c>
      <c r="E727" s="8" t="n">
        <v>379</v>
      </c>
      <c r="F727" s="8" t="inlineStr">
        <is>
          <t>No</t>
        </is>
      </c>
      <c r="G727" s="8" t="n">
        <v>19</v>
      </c>
    </row>
    <row r="728">
      <c r="A728" s="8" t="inlineStr">
        <is>
          <t>GET</t>
        </is>
      </c>
      <c r="B728" s="8" t="inlineStr">
        <is>
          <t>/api/v1/finance/ledgers/account-ledger</t>
        </is>
      </c>
      <c r="C728" s="8" t="inlineStr">
        <is>
          <t>READ</t>
        </is>
      </c>
      <c r="D728" s="8" t="inlineStr">
        <is>
          <t>worker/src/routes/fees/ledgers.ts</t>
        </is>
      </c>
      <c r="E728" s="8" t="n">
        <v>424</v>
      </c>
      <c r="F728" s="8" t="inlineStr">
        <is>
          <t>No</t>
        </is>
      </c>
      <c r="G728" s="8" t="n">
        <v>19</v>
      </c>
    </row>
    <row r="729">
      <c r="A729" s="8" t="inlineStr">
        <is>
          <t>GET</t>
        </is>
      </c>
      <c r="B729" s="8" t="inlineStr">
        <is>
          <t>/api/v1/finance/ledgers/statements</t>
        </is>
      </c>
      <c r="C729" s="8" t="inlineStr">
        <is>
          <t>READ</t>
        </is>
      </c>
      <c r="D729" s="8" t="inlineStr">
        <is>
          <t>worker/src/routes/fees/ledgers.ts</t>
        </is>
      </c>
      <c r="E729" s="8" t="n">
        <v>458</v>
      </c>
      <c r="F729" s="8" t="inlineStr">
        <is>
          <t>No</t>
        </is>
      </c>
      <c r="G729" s="8" t="n">
        <v>19</v>
      </c>
    </row>
    <row r="730">
      <c r="A730" s="8" t="inlineStr">
        <is>
          <t>GET</t>
        </is>
      </c>
      <c r="B730" s="8" t="inlineStr">
        <is>
          <t>/api/v1/finance/ledgers/vouchers/{id}</t>
        </is>
      </c>
      <c r="C730" s="8" t="inlineStr">
        <is>
          <t>READ</t>
        </is>
      </c>
      <c r="D730" s="8" t="inlineStr">
        <is>
          <t>worker/src/routes/fees/ledgers.ts</t>
        </is>
      </c>
      <c r="E730" s="8" t="n">
        <v>509</v>
      </c>
      <c r="F730" s="8" t="inlineStr">
        <is>
          <t>No</t>
        </is>
      </c>
      <c r="G730" s="8" t="n">
        <v>19</v>
      </c>
    </row>
    <row r="731">
      <c r="A731" s="8" t="inlineStr">
        <is>
          <t>POST</t>
        </is>
      </c>
      <c r="B731" s="8" t="inlineStr">
        <is>
          <t>/api/v1/finance/ledgers/vouchers</t>
        </is>
      </c>
      <c r="C731" s="8" t="inlineStr">
        <is>
          <t>POST</t>
        </is>
      </c>
      <c r="D731" s="8" t="inlineStr">
        <is>
          <t>worker/src/routes/fees/ledgers.ts</t>
        </is>
      </c>
      <c r="E731" s="8" t="n">
        <v>527</v>
      </c>
      <c r="F731" s="8" t="inlineStr">
        <is>
          <t>No</t>
        </is>
      </c>
      <c r="G731" s="8" t="n">
        <v>19</v>
      </c>
    </row>
    <row r="732">
      <c r="A732" s="8" t="inlineStr">
        <is>
          <t>GET</t>
        </is>
      </c>
      <c r="B732" s="8" t="inlineStr">
        <is>
          <t>/api/v1/finance/ledgers/expenses</t>
        </is>
      </c>
      <c r="C732" s="8" t="inlineStr">
        <is>
          <t>READ</t>
        </is>
      </c>
      <c r="D732" s="8" t="inlineStr">
        <is>
          <t>worker/src/routes/fees/ledgers.ts</t>
        </is>
      </c>
      <c r="E732" s="8" t="n">
        <v>548</v>
      </c>
      <c r="F732" s="8" t="inlineStr">
        <is>
          <t>No</t>
        </is>
      </c>
      <c r="G732" s="8" t="n">
        <v>19</v>
      </c>
    </row>
    <row r="733">
      <c r="A733" s="8" t="inlineStr">
        <is>
          <t>POST</t>
        </is>
      </c>
      <c r="B733" s="8" t="inlineStr">
        <is>
          <t>/api/v1/finance/ledgers/expenses</t>
        </is>
      </c>
      <c r="C733" s="8" t="inlineStr">
        <is>
          <t>POST</t>
        </is>
      </c>
      <c r="D733" s="8" t="inlineStr">
        <is>
          <t>worker/src/routes/fees/ledgers.ts</t>
        </is>
      </c>
      <c r="E733" s="8" t="n">
        <v>568</v>
      </c>
      <c r="F733" s="8" t="inlineStr">
        <is>
          <t>No</t>
        </is>
      </c>
      <c r="G733" s="8" t="n">
        <v>19</v>
      </c>
    </row>
    <row r="734">
      <c r="A734" s="8" t="inlineStr">
        <is>
          <t>GET</t>
        </is>
      </c>
      <c r="B734" s="8" t="inlineStr">
        <is>
          <t>/api/v1/finance/ledgers/years</t>
        </is>
      </c>
      <c r="C734" s="8" t="inlineStr">
        <is>
          <t>READ</t>
        </is>
      </c>
      <c r="D734" s="8" t="inlineStr">
        <is>
          <t>worker/src/routes/fees/ledgers.ts</t>
        </is>
      </c>
      <c r="E734" s="8" t="n">
        <v>595</v>
      </c>
      <c r="F734" s="8" t="inlineStr">
        <is>
          <t>No</t>
        </is>
      </c>
      <c r="G734" s="8" t="n">
        <v>19</v>
      </c>
    </row>
    <row r="735">
      <c r="A735" s="8" t="inlineStr">
        <is>
          <t>POST</t>
        </is>
      </c>
      <c r="B735" s="8" t="inlineStr">
        <is>
          <t>/api/v1/finance/ledgers/years/close</t>
        </is>
      </c>
      <c r="C735" s="8" t="inlineStr">
        <is>
          <t>POST</t>
        </is>
      </c>
      <c r="D735" s="8" t="inlineStr">
        <is>
          <t>worker/src/routes/fees/ledgers.ts</t>
        </is>
      </c>
      <c r="E735" s="8" t="n">
        <v>628</v>
      </c>
      <c r="F735" s="8" t="inlineStr">
        <is>
          <t>No</t>
        </is>
      </c>
      <c r="G735" s="8" t="n">
        <v>19</v>
      </c>
    </row>
    <row r="736">
      <c r="A736" s="8" t="inlineStr">
        <is>
          <t>GET</t>
        </is>
      </c>
      <c r="B736" s="8" t="inlineStr">
        <is>
          <t>/api/v1/finance/ledgers/vendors</t>
        </is>
      </c>
      <c r="C736" s="8" t="inlineStr">
        <is>
          <t>READ</t>
        </is>
      </c>
      <c r="D736" s="8" t="inlineStr">
        <is>
          <t>worker/src/routes/fees/ledgers.ts</t>
        </is>
      </c>
      <c r="E736" s="8" t="n">
        <v>677</v>
      </c>
      <c r="F736" s="8" t="inlineStr">
        <is>
          <t>No</t>
        </is>
      </c>
      <c r="G736" s="8" t="n">
        <v>19</v>
      </c>
    </row>
    <row r="737">
      <c r="A737" s="8" t="inlineStr">
        <is>
          <t>POST</t>
        </is>
      </c>
      <c r="B737" s="8" t="inlineStr">
        <is>
          <t>/api/v1/finance/ledgers/vendors</t>
        </is>
      </c>
      <c r="C737" s="8" t="inlineStr">
        <is>
          <t>MASTERS</t>
        </is>
      </c>
      <c r="D737" s="8" t="inlineStr">
        <is>
          <t>worker/src/routes/fees/ledgers.ts</t>
        </is>
      </c>
      <c r="E737" s="8" t="n">
        <v>696</v>
      </c>
      <c r="F737" s="8" t="inlineStr">
        <is>
          <t>No</t>
        </is>
      </c>
      <c r="G737" s="8" t="n">
        <v>19</v>
      </c>
    </row>
    <row r="738">
      <c r="A738" s="8" t="inlineStr">
        <is>
          <t>GET</t>
        </is>
      </c>
      <c r="B738" s="8" t="inlineStr">
        <is>
          <t>/api/v1/finance/ledgers/bills</t>
        </is>
      </c>
      <c r="C738" s="8" t="inlineStr">
        <is>
          <t>READ</t>
        </is>
      </c>
      <c r="D738" s="8" t="inlineStr">
        <is>
          <t>worker/src/routes/fees/ledgers.ts</t>
        </is>
      </c>
      <c r="E738" s="8" t="n">
        <v>727</v>
      </c>
      <c r="F738" s="8" t="inlineStr">
        <is>
          <t>No</t>
        </is>
      </c>
      <c r="G738" s="8" t="n">
        <v>19</v>
      </c>
    </row>
    <row r="739">
      <c r="A739" s="8" t="inlineStr">
        <is>
          <t>POST</t>
        </is>
      </c>
      <c r="B739" s="8" t="inlineStr">
        <is>
          <t>/api/v1/finance/ledgers/bills</t>
        </is>
      </c>
      <c r="C739" s="8" t="inlineStr">
        <is>
          <t>POST</t>
        </is>
      </c>
      <c r="D739" s="8" t="inlineStr">
        <is>
          <t>worker/src/routes/fees/ledgers.ts</t>
        </is>
      </c>
      <c r="E739" s="8" t="n">
        <v>755</v>
      </c>
      <c r="F739" s="8" t="inlineStr">
        <is>
          <t>No</t>
        </is>
      </c>
      <c r="G739" s="8" t="n">
        <v>19</v>
      </c>
    </row>
    <row r="740">
      <c r="A740" s="8" t="inlineStr">
        <is>
          <t>POST</t>
        </is>
      </c>
      <c r="B740" s="8" t="inlineStr">
        <is>
          <t>/api/v1/finance/ledgers/bills/{id}/approve</t>
        </is>
      </c>
      <c r="C740" s="8" t="inlineStr">
        <is>
          <t>POST</t>
        </is>
      </c>
      <c r="D740" s="8" t="inlineStr">
        <is>
          <t>worker/src/routes/fees/ledgers.ts</t>
        </is>
      </c>
      <c r="E740" s="8" t="n">
        <v>780</v>
      </c>
      <c r="F740" s="8" t="inlineStr">
        <is>
          <t>No</t>
        </is>
      </c>
      <c r="G740" s="8" t="n">
        <v>19</v>
      </c>
    </row>
    <row r="741">
      <c r="A741" s="8" t="inlineStr">
        <is>
          <t>POST</t>
        </is>
      </c>
      <c r="B741" s="8" t="inlineStr">
        <is>
          <t>/api/v1/finance/ledgers/bills/{id}/pay</t>
        </is>
      </c>
      <c r="C741" s="8" t="inlineStr">
        <is>
          <t>POST</t>
        </is>
      </c>
      <c r="D741" s="8" t="inlineStr">
        <is>
          <t>worker/src/routes/fees/ledgers.ts</t>
        </is>
      </c>
      <c r="E741" s="8" t="n">
        <v>805</v>
      </c>
      <c r="F741" s="8" t="inlineStr">
        <is>
          <t>No</t>
        </is>
      </c>
      <c r="G741" s="8" t="n">
        <v>19</v>
      </c>
    </row>
    <row r="742">
      <c r="A742" s="8" t="inlineStr">
        <is>
          <t>GET</t>
        </is>
      </c>
      <c r="B742" s="8" t="inlineStr">
        <is>
          <t>/api/v1/finance/ledgers/petty-cash</t>
        </is>
      </c>
      <c r="C742" s="8" t="inlineStr">
        <is>
          <t>READ</t>
        </is>
      </c>
      <c r="D742" s="8" t="inlineStr">
        <is>
          <t>worker/src/routes/fees/ledgers.ts</t>
        </is>
      </c>
      <c r="E742" s="8" t="n">
        <v>853</v>
      </c>
      <c r="F742" s="8" t="inlineStr">
        <is>
          <t>No</t>
        </is>
      </c>
      <c r="G742" s="8" t="n">
        <v>19</v>
      </c>
    </row>
    <row r="743">
      <c r="A743" s="8" t="inlineStr">
        <is>
          <t>POST</t>
        </is>
      </c>
      <c r="B743" s="8" t="inlineStr">
        <is>
          <t>/api/v1/finance/ledgers/petty-cash</t>
        </is>
      </c>
      <c r="C743" s="8" t="inlineStr">
        <is>
          <t>POST</t>
        </is>
      </c>
      <c r="D743" s="8" t="inlineStr">
        <is>
          <t>worker/src/routes/fees/ledgers.ts</t>
        </is>
      </c>
      <c r="E743" s="8" t="n">
        <v>902</v>
      </c>
      <c r="F743" s="8" t="inlineStr">
        <is>
          <t>No</t>
        </is>
      </c>
      <c r="G743" s="8" t="n">
        <v>19</v>
      </c>
    </row>
    <row r="744">
      <c r="A744" s="8" t="inlineStr">
        <is>
          <t>POST</t>
        </is>
      </c>
      <c r="B744" s="8" t="inlineStr">
        <is>
          <t>/api/v1/finance/ledgers/petty-cash/topup</t>
        </is>
      </c>
      <c r="C744" s="8" t="inlineStr">
        <is>
          <t>POST</t>
        </is>
      </c>
      <c r="D744" s="8" t="inlineStr">
        <is>
          <t>worker/src/routes/fees/ledgers.ts</t>
        </is>
      </c>
      <c r="E744" s="8" t="n">
        <v>927</v>
      </c>
      <c r="F744" s="8" t="inlineStr">
        <is>
          <t>No</t>
        </is>
      </c>
      <c r="G744" s="8" t="n">
        <v>19</v>
      </c>
    </row>
    <row r="745">
      <c r="A745" s="8" t="inlineStr">
        <is>
          <t>POST</t>
        </is>
      </c>
      <c r="B745" s="8" t="inlineStr">
        <is>
          <t>/api/v1/finance/ledgers/petty-cash/count</t>
        </is>
      </c>
      <c r="C745" s="8" t="inlineStr">
        <is>
          <t>POST</t>
        </is>
      </c>
      <c r="D745" s="8" t="inlineStr">
        <is>
          <t>worker/src/routes/fees/ledgers.ts</t>
        </is>
      </c>
      <c r="E745" s="8" t="n">
        <v>955</v>
      </c>
      <c r="F745" s="8" t="inlineStr">
        <is>
          <t>No</t>
        </is>
      </c>
      <c r="G745" s="8" t="n">
        <v>19</v>
      </c>
    </row>
    <row r="746">
      <c r="A746" s="8" t="inlineStr">
        <is>
          <t>PUT</t>
        </is>
      </c>
      <c r="B746" s="8" t="inlineStr">
        <is>
          <t>/api/v1/finance/ledgers/petty-cash/float</t>
        </is>
      </c>
      <c r="C746" s="8" t="inlineStr">
        <is>
          <t>POST</t>
        </is>
      </c>
      <c r="D746" s="8" t="inlineStr">
        <is>
          <t>worker/src/routes/fees/ledgers.ts</t>
        </is>
      </c>
      <c r="E746" s="8" t="n">
        <v>972</v>
      </c>
      <c r="F746" s="8" t="inlineStr">
        <is>
          <t>No</t>
        </is>
      </c>
      <c r="G746" s="8" t="n">
        <v>19</v>
      </c>
    </row>
    <row r="747">
      <c r="A747" s="8" t="inlineStr">
        <is>
          <t>POST</t>
        </is>
      </c>
      <c r="B747" s="8" t="inlineStr">
        <is>
          <t>/api/v1/finance/ledgers/petty-cash/{id}/decide</t>
        </is>
      </c>
      <c r="C747" s="8" t="inlineStr">
        <is>
          <t>POST</t>
        </is>
      </c>
      <c r="D747" s="8" t="inlineStr">
        <is>
          <t>worker/src/routes/fees/ledgers.ts</t>
        </is>
      </c>
      <c r="E747" s="8" t="n">
        <v>984</v>
      </c>
      <c r="F747" s="8" t="inlineStr">
        <is>
          <t>No</t>
        </is>
      </c>
      <c r="G747" s="8" t="n">
        <v>19</v>
      </c>
    </row>
    <row r="748">
      <c r="A748" s="8" t="inlineStr">
        <is>
          <t>GET</t>
        </is>
      </c>
      <c r="B748" s="8" t="inlineStr">
        <is>
          <t>/api/v1/finance/ledgers/assets</t>
        </is>
      </c>
      <c r="C748" s="8" t="inlineStr">
        <is>
          <t>READ</t>
        </is>
      </c>
      <c r="D748" s="8" t="inlineStr">
        <is>
          <t>worker/src/routes/fees/ledgers.ts</t>
        </is>
      </c>
      <c r="E748" s="8" t="n">
        <v>1023</v>
      </c>
      <c r="F748" s="8" t="inlineStr">
        <is>
          <t>No</t>
        </is>
      </c>
      <c r="G748" s="8" t="n">
        <v>19</v>
      </c>
    </row>
    <row r="749">
      <c r="A749" s="8" t="inlineStr">
        <is>
          <t>POST</t>
        </is>
      </c>
      <c r="B749" s="8" t="inlineStr">
        <is>
          <t>/api/v1/finance/ledgers/assets</t>
        </is>
      </c>
      <c r="C749" s="8" t="inlineStr">
        <is>
          <t>POST</t>
        </is>
      </c>
      <c r="D749" s="8" t="inlineStr">
        <is>
          <t>worker/src/routes/fees/ledgers.ts</t>
        </is>
      </c>
      <c r="E749" s="8" t="n">
        <v>1051</v>
      </c>
      <c r="F749" s="8" t="inlineStr">
        <is>
          <t>No</t>
        </is>
      </c>
      <c r="G749" s="8" t="n">
        <v>19</v>
      </c>
    </row>
    <row r="750">
      <c r="A750" s="8" t="inlineStr">
        <is>
          <t>POST</t>
        </is>
      </c>
      <c r="B750" s="8" t="inlineStr">
        <is>
          <t>/api/v1/finance/ledgers/assets/depreciate</t>
        </is>
      </c>
      <c r="C750" s="8" t="inlineStr">
        <is>
          <t>POST</t>
        </is>
      </c>
      <c r="D750" s="8" t="inlineStr">
        <is>
          <t>worker/src/routes/fees/ledgers.ts</t>
        </is>
      </c>
      <c r="E750" s="8" t="n">
        <v>1105</v>
      </c>
      <c r="F750" s="8" t="inlineStr">
        <is>
          <t>No</t>
        </is>
      </c>
      <c r="G750" s="8" t="n">
        <v>19</v>
      </c>
    </row>
    <row r="751">
      <c r="A751" s="8" t="inlineStr">
        <is>
          <t>GET</t>
        </is>
      </c>
      <c r="B751" s="8" t="inlineStr">
        <is>
          <t>/api/v1/finance/ledgers/budgets</t>
        </is>
      </c>
      <c r="C751" s="8" t="inlineStr">
        <is>
          <t>READ</t>
        </is>
      </c>
      <c r="D751" s="8" t="inlineStr">
        <is>
          <t>worker/src/routes/fees/ledgers.ts</t>
        </is>
      </c>
      <c r="E751" s="8" t="n">
        <v>1185</v>
      </c>
      <c r="F751" s="8" t="inlineStr">
        <is>
          <t>No</t>
        </is>
      </c>
      <c r="G751" s="8" t="n">
        <v>19</v>
      </c>
    </row>
    <row r="752">
      <c r="A752" s="8" t="inlineStr">
        <is>
          <t>POST</t>
        </is>
      </c>
      <c r="B752" s="8" t="inlineStr">
        <is>
          <t>/api/v1/finance/ledgers/budgets</t>
        </is>
      </c>
      <c r="C752" s="8" t="inlineStr">
        <is>
          <t>MASTERS</t>
        </is>
      </c>
      <c r="D752" s="8" t="inlineStr">
        <is>
          <t>worker/src/routes/fees/ledgers.ts</t>
        </is>
      </c>
      <c r="E752" s="8" t="n">
        <v>1223</v>
      </c>
      <c r="F752" s="8" t="inlineStr">
        <is>
          <t>No</t>
        </is>
      </c>
      <c r="G752" s="8" t="n">
        <v>19</v>
      </c>
    </row>
    <row r="753">
      <c r="A753" s="8" t="inlineStr">
        <is>
          <t>POST</t>
        </is>
      </c>
      <c r="B753" s="8" t="inlineStr">
        <is>
          <t>/api/v1/finance/ledgers/budgets/lines</t>
        </is>
      </c>
      <c r="C753" s="8" t="inlineStr">
        <is>
          <t>MASTERS</t>
        </is>
      </c>
      <c r="D753" s="8" t="inlineStr">
        <is>
          <t>worker/src/routes/fees/ledgers.ts</t>
        </is>
      </c>
      <c r="E753" s="8" t="n">
        <v>1239</v>
      </c>
      <c r="F753" s="8" t="inlineStr">
        <is>
          <t>No</t>
        </is>
      </c>
      <c r="G753" s="8" t="n">
        <v>19</v>
      </c>
    </row>
    <row r="754">
      <c r="A754" s="8" t="inlineStr">
        <is>
          <t>GET</t>
        </is>
      </c>
      <c r="B754" s="8" t="inlineStr">
        <is>
          <t>/api/v1/finance/ledgers/daybook</t>
        </is>
      </c>
      <c r="C754" s="8" t="inlineStr">
        <is>
          <t>READ</t>
        </is>
      </c>
      <c r="D754" s="8" t="inlineStr">
        <is>
          <t>worker/src/routes/fees/ledgers.ts</t>
        </is>
      </c>
      <c r="E754" s="8" t="n">
        <v>1279</v>
      </c>
      <c r="F754" s="8" t="inlineStr">
        <is>
          <t>No</t>
        </is>
      </c>
      <c r="G754" s="8" t="n">
        <v>19</v>
      </c>
    </row>
    <row r="755">
      <c r="A755" s="8" t="inlineStr">
        <is>
          <t>GET</t>
        </is>
      </c>
      <c r="B755" s="8" t="inlineStr">
        <is>
          <t>/api/v1/finance/ledgers/cashbook</t>
        </is>
      </c>
      <c r="C755" s="8" t="inlineStr">
        <is>
          <t>READ</t>
        </is>
      </c>
      <c r="D755" s="8" t="inlineStr">
        <is>
          <t>worker/src/routes/fees/ledgers.ts</t>
        </is>
      </c>
      <c r="E755" s="8" t="n">
        <v>1294</v>
      </c>
      <c r="F755" s="8" t="inlineStr">
        <is>
          <t>No</t>
        </is>
      </c>
      <c r="G755" s="8" t="n">
        <v>19</v>
      </c>
    </row>
    <row r="756">
      <c r="A756" s="8" t="inlineStr">
        <is>
          <t>GET</t>
        </is>
      </c>
      <c r="B756" s="8" t="inlineStr">
        <is>
          <t>/api/v1/finance/ledgers/tax-report</t>
        </is>
      </c>
      <c r="C756" s="8" t="inlineStr">
        <is>
          <t>READ</t>
        </is>
      </c>
      <c r="D756" s="8" t="inlineStr">
        <is>
          <t>worker/src/routes/fees/ledgers.ts</t>
        </is>
      </c>
      <c r="E756" s="8" t="n">
        <v>1334</v>
      </c>
      <c r="F756" s="8" t="inlineStr">
        <is>
          <t>No</t>
        </is>
      </c>
      <c r="G756" s="8" t="n">
        <v>19</v>
      </c>
    </row>
    <row r="757">
      <c r="A757" s="8" t="inlineStr">
        <is>
          <t>GET</t>
        </is>
      </c>
      <c r="B757" s="8" t="inlineStr">
        <is>
          <t>/api/v1/finance/ledgers/audit-report</t>
        </is>
      </c>
      <c r="C757" s="8" t="inlineStr">
        <is>
          <t>READ</t>
        </is>
      </c>
      <c r="D757" s="8" t="inlineStr">
        <is>
          <t>worker/src/routes/fees/ledgers.ts</t>
        </is>
      </c>
      <c r="E757" s="8" t="n">
        <v>1363</v>
      </c>
      <c r="F757" s="8" t="inlineStr">
        <is>
          <t>No</t>
        </is>
      </c>
      <c r="G757" s="8" t="n">
        <v>19</v>
      </c>
    </row>
    <row r="758">
      <c r="A758" s="8" t="inlineStr">
        <is>
          <t>GET</t>
        </is>
      </c>
      <c r="B758" s="8" t="inlineStr">
        <is>
          <t>/api/v1/finance/ledgers/fee-posting</t>
        </is>
      </c>
      <c r="C758" s="8" t="inlineStr">
        <is>
          <t>READ</t>
        </is>
      </c>
      <c r="D758" s="8" t="inlineStr">
        <is>
          <t>worker/src/routes/fees/ledgers.ts</t>
        </is>
      </c>
      <c r="E758" s="8" t="n">
        <v>1518</v>
      </c>
      <c r="F758" s="8" t="inlineStr">
        <is>
          <t>No</t>
        </is>
      </c>
      <c r="G758" s="8" t="n">
        <v>19</v>
      </c>
    </row>
    <row r="759">
      <c r="A759" s="8" t="inlineStr">
        <is>
          <t>POST</t>
        </is>
      </c>
      <c r="B759" s="8" t="inlineStr">
        <is>
          <t>/api/v1/finance/ledgers/fee-posting</t>
        </is>
      </c>
      <c r="C759" s="8" t="inlineStr">
        <is>
          <t>POST</t>
        </is>
      </c>
      <c r="D759" s="8" t="inlineStr">
        <is>
          <t>worker/src/routes/fees/ledgers.ts</t>
        </is>
      </c>
      <c r="E759" s="8" t="n">
        <v>1519</v>
      </c>
      <c r="F759" s="8" t="inlineStr">
        <is>
          <t>No</t>
        </is>
      </c>
      <c r="G759" s="8" t="n">
        <v>19</v>
      </c>
    </row>
    <row r="760">
      <c r="A760" s="8" t="inlineStr">
        <is>
          <t>GET</t>
        </is>
      </c>
      <c r="B760" s="8" t="inlineStr">
        <is>
          <t>/api/v1/fees/concessions</t>
        </is>
      </c>
      <c r="C760" s="8" t="inlineStr">
        <is>
          <t>finance.fees.read</t>
        </is>
      </c>
      <c r="D760" s="8" t="inlineStr">
        <is>
          <t>worker/src/routes/fees/refunds.ts</t>
        </is>
      </c>
      <c r="E760" s="8" t="n">
        <v>14</v>
      </c>
      <c r="F760" s="8" t="inlineStr">
        <is>
          <t>Yes</t>
        </is>
      </c>
      <c r="G760" s="8" t="n">
        <v>7</v>
      </c>
    </row>
    <row r="761">
      <c r="A761" s="8" t="inlineStr">
        <is>
          <t>POST</t>
        </is>
      </c>
      <c r="B761" s="8" t="inlineStr">
        <is>
          <t>/api/v1/fees/concessions</t>
        </is>
      </c>
      <c r="C761" s="8" t="inlineStr">
        <is>
          <t>auth</t>
        </is>
      </c>
      <c r="D761" s="8" t="inlineStr">
        <is>
          <t>worker/src/routes/fees/refunds.ts</t>
        </is>
      </c>
      <c r="E761" s="8" t="n">
        <v>37</v>
      </c>
      <c r="F761" s="8" t="inlineStr">
        <is>
          <t>Yes</t>
        </is>
      </c>
      <c r="G761" s="8" t="n">
        <v>7</v>
      </c>
    </row>
    <row r="762">
      <c r="A762" s="8" t="inlineStr">
        <is>
          <t>GET</t>
        </is>
      </c>
      <c r="B762" s="8" t="inlineStr">
        <is>
          <t>/api/v1/fees/refunds</t>
        </is>
      </c>
      <c r="C762" s="8" t="inlineStr">
        <is>
          <t>finance.fees.read</t>
        </is>
      </c>
      <c r="D762" s="8" t="inlineStr">
        <is>
          <t>worker/src/routes/fees/refunds.ts</t>
        </is>
      </c>
      <c r="E762" s="8" t="n">
        <v>79</v>
      </c>
      <c r="F762" s="8" t="inlineStr">
        <is>
          <t>Yes</t>
        </is>
      </c>
      <c r="G762" s="8" t="n">
        <v>7</v>
      </c>
    </row>
    <row r="763">
      <c r="A763" s="8" t="inlineStr">
        <is>
          <t>POST</t>
        </is>
      </c>
      <c r="B763" s="8" t="inlineStr">
        <is>
          <t>/api/v1/fees/refunds</t>
        </is>
      </c>
      <c r="C763" s="8" t="inlineStr">
        <is>
          <t>finance.fees.write</t>
        </is>
      </c>
      <c r="D763" s="8" t="inlineStr">
        <is>
          <t>worker/src/routes/fees/refunds.ts</t>
        </is>
      </c>
      <c r="E763" s="8" t="n">
        <v>92</v>
      </c>
      <c r="F763" s="8" t="inlineStr">
        <is>
          <t>Yes</t>
        </is>
      </c>
      <c r="G763" s="8" t="n">
        <v>7</v>
      </c>
    </row>
    <row r="764">
      <c r="A764" s="8" t="inlineStr">
        <is>
          <t>POST</t>
        </is>
      </c>
      <c r="B764" s="8" t="inlineStr">
        <is>
          <t>/api/v1/fees/refunds/{id}/decide</t>
        </is>
      </c>
      <c r="C764" s="8" t="inlineStr">
        <is>
          <t>finance.refunds.write</t>
        </is>
      </c>
      <c r="D764" s="8" t="inlineStr">
        <is>
          <t>worker/src/routes/fees/refunds.ts</t>
        </is>
      </c>
      <c r="E764" s="8" t="n">
        <v>114</v>
      </c>
      <c r="F764" s="8" t="inlineStr">
        <is>
          <t>Yes</t>
        </is>
      </c>
      <c r="G764" s="8" t="n">
        <v>7</v>
      </c>
    </row>
    <row r="765">
      <c r="A765" s="8" t="inlineStr">
        <is>
          <t>POST</t>
        </is>
      </c>
      <c r="B765" s="8" t="inlineStr">
        <is>
          <t>/api/v1/fees/refunds/{id}/process</t>
        </is>
      </c>
      <c r="C765" s="8" t="inlineStr">
        <is>
          <t>finance.refunds.write</t>
        </is>
      </c>
      <c r="D765" s="8" t="inlineStr">
        <is>
          <t>worker/src/routes/fees/refunds.ts</t>
        </is>
      </c>
      <c r="E765" s="8" t="n">
        <v>126</v>
      </c>
      <c r="F765" s="8" t="inlineStr">
        <is>
          <t>Yes</t>
        </is>
      </c>
      <c r="G765" s="8" t="n">
        <v>7</v>
      </c>
    </row>
    <row r="766">
      <c r="A766" s="8" t="inlineStr">
        <is>
          <t>POST</t>
        </is>
      </c>
      <c r="B766" s="8" t="inlineStr">
        <is>
          <t>/api/v1/fees/reminders/send</t>
        </is>
      </c>
      <c r="C766" s="8" t="inlineStr">
        <is>
          <t>finance.fees.write</t>
        </is>
      </c>
      <c r="D766" s="8" t="inlineStr">
        <is>
          <t>worker/src/routes/fees/reminders.ts</t>
        </is>
      </c>
      <c r="E766" s="8" t="n">
        <v>27</v>
      </c>
      <c r="F766" s="8" t="inlineStr">
        <is>
          <t>Yes</t>
        </is>
      </c>
      <c r="G766" s="8" t="n">
        <v>8</v>
      </c>
    </row>
    <row r="767">
      <c r="A767" s="8" t="inlineStr">
        <is>
          <t>GET</t>
        </is>
      </c>
      <c r="B767" s="8" t="inlineStr">
        <is>
          <t>/api/v1/fees/reminders/schedule</t>
        </is>
      </c>
      <c r="C767" s="8" t="inlineStr">
        <is>
          <t>auth</t>
        </is>
      </c>
      <c r="D767" s="8" t="inlineStr">
        <is>
          <t>worker/src/routes/fees/reminders.ts</t>
        </is>
      </c>
      <c r="E767" s="8" t="n">
        <v>87</v>
      </c>
      <c r="F767" s="8" t="inlineStr">
        <is>
          <t>Yes</t>
        </is>
      </c>
      <c r="G767" s="8" t="n">
        <v>8</v>
      </c>
    </row>
    <row r="768">
      <c r="A768" s="8" t="inlineStr">
        <is>
          <t>PUT</t>
        </is>
      </c>
      <c r="B768" s="8" t="inlineStr">
        <is>
          <t>/api/v1/fees/reminders/schedule</t>
        </is>
      </c>
      <c r="C768" s="8" t="inlineStr">
        <is>
          <t>finance.fees.write</t>
        </is>
      </c>
      <c r="D768" s="8" t="inlineStr">
        <is>
          <t>worker/src/routes/fees/reminders.ts</t>
        </is>
      </c>
      <c r="E768" s="8" t="n">
        <v>103</v>
      </c>
      <c r="F768" s="8" t="inlineStr">
        <is>
          <t>Yes</t>
        </is>
      </c>
      <c r="G768" s="8" t="n">
        <v>8</v>
      </c>
    </row>
    <row r="769">
      <c r="A769" s="8" t="inlineStr">
        <is>
          <t>GET</t>
        </is>
      </c>
      <c r="B769" s="8" t="inlineStr">
        <is>
          <t>/api/v1/fees/cheque-bounce-fine</t>
        </is>
      </c>
      <c r="C769" s="8" t="inlineStr">
        <is>
          <t>auth</t>
        </is>
      </c>
      <c r="D769" s="8" t="inlineStr">
        <is>
          <t>worker/src/routes/fees/reminders.ts</t>
        </is>
      </c>
      <c r="E769" s="8" t="n">
        <v>132</v>
      </c>
      <c r="F769" s="8" t="inlineStr">
        <is>
          <t>Yes</t>
        </is>
      </c>
      <c r="G769" s="8" t="n">
        <v>8</v>
      </c>
    </row>
    <row r="770">
      <c r="A770" s="8" t="inlineStr">
        <is>
          <t>PUT</t>
        </is>
      </c>
      <c r="B770" s="8" t="inlineStr">
        <is>
          <t>/api/v1/fees/cheque-bounce-fine</t>
        </is>
      </c>
      <c r="C770" s="8" t="inlineStr">
        <is>
          <t>finance.fees.write</t>
        </is>
      </c>
      <c r="D770" s="8" t="inlineStr">
        <is>
          <t>worker/src/routes/fees/reminders.ts</t>
        </is>
      </c>
      <c r="E770" s="8" t="n">
        <v>138</v>
      </c>
      <c r="F770" s="8" t="inlineStr">
        <is>
          <t>Yes</t>
        </is>
      </c>
      <c r="G770" s="8" t="n">
        <v>8</v>
      </c>
    </row>
    <row r="771">
      <c r="A771" s="8" t="inlineStr">
        <is>
          <t>GET</t>
        </is>
      </c>
      <c r="B771" s="8" t="inlineStr">
        <is>
          <t>/api/v1/finance/tally/settings</t>
        </is>
      </c>
      <c r="C771" s="8" t="inlineStr">
        <is>
          <t>READ</t>
        </is>
      </c>
      <c r="D771" s="8" t="inlineStr">
        <is>
          <t>worker/src/routes/fees/tally.ts</t>
        </is>
      </c>
      <c r="E771" s="8" t="n">
        <v>248</v>
      </c>
      <c r="F771" s="8" t="inlineStr">
        <is>
          <t>No</t>
        </is>
      </c>
      <c r="G771" s="8" t="n">
        <v>9</v>
      </c>
    </row>
    <row r="772">
      <c r="A772" s="8" t="inlineStr">
        <is>
          <t>GET</t>
        </is>
      </c>
      <c r="B772" s="8" t="inlineStr">
        <is>
          <t>/api/v1/finance/tally/validate</t>
        </is>
      </c>
      <c r="C772" s="8" t="inlineStr">
        <is>
          <t>EXPORT</t>
        </is>
      </c>
      <c r="D772" s="8" t="inlineStr">
        <is>
          <t>worker/src/routes/fees/tally.ts</t>
        </is>
      </c>
      <c r="E772" s="8" t="n">
        <v>275</v>
      </c>
      <c r="F772" s="8" t="inlineStr">
        <is>
          <t>No</t>
        </is>
      </c>
      <c r="G772" s="8" t="n">
        <v>9</v>
      </c>
    </row>
    <row r="773">
      <c r="A773" s="8" t="inlineStr">
        <is>
          <t>POST</t>
        </is>
      </c>
      <c r="B773" s="8" t="inlineStr">
        <is>
          <t>/api/v1/finance/tally/export</t>
        </is>
      </c>
      <c r="C773" s="8" t="inlineStr">
        <is>
          <t>EXPORT</t>
        </is>
      </c>
      <c r="D773" s="8" t="inlineStr">
        <is>
          <t>worker/src/routes/fees/tally.ts</t>
        </is>
      </c>
      <c r="E773" s="8" t="n">
        <v>309</v>
      </c>
      <c r="F773" s="8" t="inlineStr">
        <is>
          <t>No</t>
        </is>
      </c>
      <c r="G773" s="8" t="n">
        <v>9</v>
      </c>
    </row>
    <row r="774">
      <c r="A774" s="8" t="inlineStr">
        <is>
          <t>GET</t>
        </is>
      </c>
      <c r="B774" s="8" t="inlineStr">
        <is>
          <t>/api/v1/finance/tally/runs</t>
        </is>
      </c>
      <c r="C774" s="8" t="inlineStr">
        <is>
          <t>READ</t>
        </is>
      </c>
      <c r="D774" s="8" t="inlineStr">
        <is>
          <t>worker/src/routes/fees/tally.ts</t>
        </is>
      </c>
      <c r="E774" s="8" t="n">
        <v>364</v>
      </c>
      <c r="F774" s="8" t="inlineStr">
        <is>
          <t>No</t>
        </is>
      </c>
      <c r="G774" s="8" t="n">
        <v>9</v>
      </c>
    </row>
    <row r="775">
      <c r="A775" s="8" t="inlineStr">
        <is>
          <t>GET</t>
        </is>
      </c>
      <c r="B775" s="8" t="inlineStr">
        <is>
          <t>/api/v1/finance/tally/runs/{id}/file</t>
        </is>
      </c>
      <c r="C775" s="8" t="inlineStr">
        <is>
          <t>EXPORT</t>
        </is>
      </c>
      <c r="D775" s="8" t="inlineStr">
        <is>
          <t>worker/src/routes/fees/tally.ts</t>
        </is>
      </c>
      <c r="E775" s="8" t="n">
        <v>375</v>
      </c>
      <c r="F775" s="8" t="inlineStr">
        <is>
          <t>No</t>
        </is>
      </c>
      <c r="G775" s="8" t="n">
        <v>9</v>
      </c>
    </row>
    <row r="776">
      <c r="A776" s="8" t="inlineStr">
        <is>
          <t>POST</t>
        </is>
      </c>
      <c r="B776" s="8" t="inlineStr">
        <is>
          <t>/api/v1/finance/tally/runs/{id}/confirm</t>
        </is>
      </c>
      <c r="C776" s="8" t="inlineStr">
        <is>
          <t>EXPORT</t>
        </is>
      </c>
      <c r="D776" s="8" t="inlineStr">
        <is>
          <t>worker/src/routes/fees/tally.ts</t>
        </is>
      </c>
      <c r="E776" s="8" t="n">
        <v>414</v>
      </c>
      <c r="F776" s="8" t="inlineStr">
        <is>
          <t>No</t>
        </is>
      </c>
      <c r="G776" s="8" t="n">
        <v>9</v>
      </c>
    </row>
    <row r="777">
      <c r="A777" s="8" t="inlineStr">
        <is>
          <t>GET</t>
        </is>
      </c>
      <c r="B777" s="8" t="inlineStr">
        <is>
          <t>/api/v1/hr-growth/me/appraisals</t>
        </is>
      </c>
      <c r="C777" s="8" t="inlineStr">
        <is>
          <t>SELF</t>
        </is>
      </c>
      <c r="D777" s="8" t="inlineStr">
        <is>
          <t>worker/src/routes/growth/hr_appraisal.ts</t>
        </is>
      </c>
      <c r="E777" s="8" t="n">
        <v>101</v>
      </c>
      <c r="F777" s="8" t="inlineStr">
        <is>
          <t>Yes</t>
        </is>
      </c>
      <c r="G777" s="8" t="n">
        <v>9</v>
      </c>
    </row>
    <row r="778">
      <c r="A778" s="8" t="inlineStr">
        <is>
          <t>GET</t>
        </is>
      </c>
      <c r="B778" s="8" t="inlineStr">
        <is>
          <t>/api/v1/hr-growth/me/appraisals/{id}</t>
        </is>
      </c>
      <c r="C778" s="8" t="inlineStr">
        <is>
          <t>SELF</t>
        </is>
      </c>
      <c r="D778" s="8" t="inlineStr">
        <is>
          <t>worker/src/routes/growth/hr_appraisal.ts</t>
        </is>
      </c>
      <c r="E778" s="8" t="n">
        <v>109</v>
      </c>
      <c r="F778" s="8" t="inlineStr">
        <is>
          <t>Yes</t>
        </is>
      </c>
      <c r="G778" s="8" t="n">
        <v>9</v>
      </c>
    </row>
    <row r="779">
      <c r="A779" s="8" t="inlineStr">
        <is>
          <t>POST</t>
        </is>
      </c>
      <c r="B779" s="8" t="inlineStr">
        <is>
          <t>/api/v1/hr-growth/me/appraisals/{id}/self-assessment</t>
        </is>
      </c>
      <c r="C779" s="8" t="inlineStr">
        <is>
          <t>SELF</t>
        </is>
      </c>
      <c r="D779" s="8" t="inlineStr">
        <is>
          <t>worker/src/routes/growth/hr_appraisal.ts</t>
        </is>
      </c>
      <c r="E779" s="8" t="n">
        <v>115</v>
      </c>
      <c r="F779" s="8" t="inlineStr">
        <is>
          <t>Yes</t>
        </is>
      </c>
      <c r="G779" s="8" t="n">
        <v>9</v>
      </c>
    </row>
    <row r="780">
      <c r="A780" s="8" t="inlineStr">
        <is>
          <t>POST</t>
        </is>
      </c>
      <c r="B780" s="8" t="inlineStr">
        <is>
          <t>/api/v1/hr-growth/me/appraisals/{id}/acknowledge</t>
        </is>
      </c>
      <c r="C780" s="8" t="inlineStr">
        <is>
          <t>SELF</t>
        </is>
      </c>
      <c r="D780" s="8" t="inlineStr">
        <is>
          <t>worker/src/routes/growth/hr_appraisal.ts</t>
        </is>
      </c>
      <c r="E780" s="8" t="n">
        <v>131</v>
      </c>
      <c r="F780" s="8" t="inlineStr">
        <is>
          <t>Yes</t>
        </is>
      </c>
      <c r="G780" s="8" t="n">
        <v>9</v>
      </c>
    </row>
    <row r="781">
      <c r="A781" s="8" t="inlineStr">
        <is>
          <t>GET</t>
        </is>
      </c>
      <c r="B781" s="8" t="inlineStr">
        <is>
          <t>/api/v1/hr-growth/appraisal/cycles</t>
        </is>
      </c>
      <c r="C781" s="8" t="inlineStr">
        <is>
          <t>READ</t>
        </is>
      </c>
      <c r="D781" s="8" t="inlineStr">
        <is>
          <t>worker/src/routes/growth/hr_appraisal.ts</t>
        </is>
      </c>
      <c r="E781" s="8" t="n">
        <v>143</v>
      </c>
      <c r="F781" s="8" t="inlineStr">
        <is>
          <t>Yes</t>
        </is>
      </c>
      <c r="G781" s="8" t="n">
        <v>9</v>
      </c>
    </row>
    <row r="782">
      <c r="A782" s="8" t="inlineStr">
        <is>
          <t>POST</t>
        </is>
      </c>
      <c r="B782" s="8" t="inlineStr">
        <is>
          <t>/api/v1/hr-growth/appraisal/cycles</t>
        </is>
      </c>
      <c r="C782" s="8" t="inlineStr">
        <is>
          <t>WRITE</t>
        </is>
      </c>
      <c r="D782" s="8" t="inlineStr">
        <is>
          <t>worker/src/routes/growth/hr_appraisal.ts</t>
        </is>
      </c>
      <c r="E782" s="8" t="n">
        <v>157</v>
      </c>
      <c r="F782" s="8" t="inlineStr">
        <is>
          <t>Yes</t>
        </is>
      </c>
      <c r="G782" s="8" t="n">
        <v>9</v>
      </c>
    </row>
    <row r="783">
      <c r="A783" s="8" t="inlineStr">
        <is>
          <t>GET</t>
        </is>
      </c>
      <c r="B783" s="8" t="inlineStr">
        <is>
          <t>/api/v1/hr-growth/appraisal/kpis</t>
        </is>
      </c>
      <c r="C783" s="8" t="inlineStr">
        <is>
          <t>READ</t>
        </is>
      </c>
      <c r="D783" s="8" t="inlineStr">
        <is>
          <t>worker/src/routes/growth/hr_appraisal.ts</t>
        </is>
      </c>
      <c r="E783" s="8" t="n">
        <v>184</v>
      </c>
      <c r="F783" s="8" t="inlineStr">
        <is>
          <t>Yes</t>
        </is>
      </c>
      <c r="G783" s="8" t="n">
        <v>9</v>
      </c>
    </row>
    <row r="784">
      <c r="A784" s="8" t="inlineStr">
        <is>
          <t>PUT</t>
        </is>
      </c>
      <c r="B784" s="8" t="inlineStr">
        <is>
          <t>/api/v1/hr-growth/appraisal/kpis</t>
        </is>
      </c>
      <c r="C784" s="8" t="inlineStr">
        <is>
          <t>WRITE</t>
        </is>
      </c>
      <c r="D784" s="8" t="inlineStr">
        <is>
          <t>worker/src/routes/growth/hr_appraisal.ts</t>
        </is>
      </c>
      <c r="E784" s="8" t="n">
        <v>199</v>
      </c>
      <c r="F784" s="8" t="inlineStr">
        <is>
          <t>Yes</t>
        </is>
      </c>
      <c r="G784" s="8" t="n">
        <v>9</v>
      </c>
    </row>
    <row r="785">
      <c r="A785" s="8" t="inlineStr">
        <is>
          <t>GET</t>
        </is>
      </c>
      <c r="B785" s="8" t="inlineStr">
        <is>
          <t>/api/v1/hr-growth/appraisal/records</t>
        </is>
      </c>
      <c r="C785" s="8" t="inlineStr">
        <is>
          <t>READ</t>
        </is>
      </c>
      <c r="D785" s="8" t="inlineStr">
        <is>
          <t>worker/src/routes/growth/hr_appraisal.ts</t>
        </is>
      </c>
      <c r="E785" s="8" t="n">
        <v>228</v>
      </c>
      <c r="F785" s="8" t="inlineStr">
        <is>
          <t>Yes</t>
        </is>
      </c>
      <c r="G785" s="8" t="n">
        <v>9</v>
      </c>
    </row>
    <row r="786">
      <c r="A786" s="8" t="inlineStr">
        <is>
          <t>GET</t>
        </is>
      </c>
      <c r="B786" s="8" t="inlineStr">
        <is>
          <t>/api/v1/hr-growth/appraisal/records/{id}</t>
        </is>
      </c>
      <c r="C786" s="8" t="inlineStr">
        <is>
          <t>READ</t>
        </is>
      </c>
      <c r="D786" s="8" t="inlineStr">
        <is>
          <t>worker/src/routes/growth/hr_appraisal.ts</t>
        </is>
      </c>
      <c r="E786" s="8" t="n">
        <v>240</v>
      </c>
      <c r="F786" s="8" t="inlineStr">
        <is>
          <t>Yes</t>
        </is>
      </c>
      <c r="G786" s="8" t="n">
        <v>9</v>
      </c>
    </row>
    <row r="787">
      <c r="A787" s="8" t="inlineStr">
        <is>
          <t>POST</t>
        </is>
      </c>
      <c r="B787" s="8" t="inlineStr">
        <is>
          <t>/api/v1/hr-growth/appraisal/records</t>
        </is>
      </c>
      <c r="C787" s="8" t="inlineStr">
        <is>
          <t>WRITE</t>
        </is>
      </c>
      <c r="D787" s="8" t="inlineStr">
        <is>
          <t>worker/src/routes/growth/hr_appraisal.ts</t>
        </is>
      </c>
      <c r="E787" s="8" t="n">
        <v>251</v>
      </c>
      <c r="F787" s="8" t="inlineStr">
        <is>
          <t>Yes</t>
        </is>
      </c>
      <c r="G787" s="8" t="n">
        <v>9</v>
      </c>
    </row>
    <row r="788">
      <c r="A788" s="8" t="inlineStr">
        <is>
          <t>POST</t>
        </is>
      </c>
      <c r="B788" s="8" t="inlineStr">
        <is>
          <t>/api/v1/hr-growth/appraisal/records/{id}/review</t>
        </is>
      </c>
      <c r="C788" s="8" t="inlineStr">
        <is>
          <t>READ</t>
        </is>
      </c>
      <c r="D788" s="8" t="inlineStr">
        <is>
          <t>worker/src/routes/growth/hr_appraisal.ts</t>
        </is>
      </c>
      <c r="E788" s="8" t="n">
        <v>299</v>
      </c>
      <c r="F788" s="8" t="inlineStr">
        <is>
          <t>Yes</t>
        </is>
      </c>
      <c r="G788" s="8" t="n">
        <v>9</v>
      </c>
    </row>
    <row r="789">
      <c r="A789" s="8" t="inlineStr">
        <is>
          <t>POST</t>
        </is>
      </c>
      <c r="B789" s="8" t="inlineStr">
        <is>
          <t>/api/v1/hr-growth/appraisal/records/{id}/moderate</t>
        </is>
      </c>
      <c r="C789" s="8" t="inlineStr">
        <is>
          <t>WRITE</t>
        </is>
      </c>
      <c r="D789" s="8" t="inlineStr">
        <is>
          <t>worker/src/routes/growth/hr_appraisal.ts</t>
        </is>
      </c>
      <c r="E789" s="8" t="n">
        <v>319</v>
      </c>
      <c r="F789" s="8" t="inlineStr">
        <is>
          <t>Yes</t>
        </is>
      </c>
      <c r="G789" s="8" t="n">
        <v>9</v>
      </c>
    </row>
    <row r="790">
      <c r="A790" s="8" t="inlineStr">
        <is>
          <t>POST</t>
        </is>
      </c>
      <c r="B790" s="8" t="inlineStr">
        <is>
          <t>/api/v1/hr-growth/appraisal/records/{id}/publish</t>
        </is>
      </c>
      <c r="C790" s="8" t="inlineStr">
        <is>
          <t>WRITE</t>
        </is>
      </c>
      <c r="D790" s="8" t="inlineStr">
        <is>
          <t>worker/src/routes/growth/hr_appraisal.ts</t>
        </is>
      </c>
      <c r="E790" s="8" t="n">
        <v>333</v>
      </c>
      <c r="F790" s="8" t="inlineStr">
        <is>
          <t>Yes</t>
        </is>
      </c>
      <c r="G790" s="8" t="n">
        <v>9</v>
      </c>
    </row>
    <row r="791">
      <c r="A791" s="8" t="inlineStr">
        <is>
          <t>POST</t>
        </is>
      </c>
      <c r="B791" s="8" t="inlineStr">
        <is>
          <t>/api/v1/hr-growth/appraisal/records/{id}/discussion</t>
        </is>
      </c>
      <c r="C791" s="8" t="inlineStr">
        <is>
          <t>WRITE</t>
        </is>
      </c>
      <c r="D791" s="8" t="inlineStr">
        <is>
          <t>worker/src/routes/growth/hr_appraisal.ts</t>
        </is>
      </c>
      <c r="E791" s="8" t="n">
        <v>347</v>
      </c>
      <c r="F791" s="8" t="inlineStr">
        <is>
          <t>Yes</t>
        </is>
      </c>
      <c r="G791" s="8" t="n">
        <v>9</v>
      </c>
    </row>
    <row r="792">
      <c r="A792" s="8" t="inlineStr">
        <is>
          <t>GET</t>
        </is>
      </c>
      <c r="B792" s="8" t="inlineStr">
        <is>
          <t>/api/v1/hr-growth/designations</t>
        </is>
      </c>
      <c r="C792" s="8" t="inlineStr">
        <is>
          <t>READ</t>
        </is>
      </c>
      <c r="D792" s="8" t="inlineStr">
        <is>
          <t>worker/src/routes/growth/hr_recruit.ts</t>
        </is>
      </c>
      <c r="E792" s="8" t="n">
        <v>61</v>
      </c>
      <c r="F792" s="8" t="inlineStr">
        <is>
          <t>Yes</t>
        </is>
      </c>
      <c r="G792" s="8" t="n">
        <v>12</v>
      </c>
    </row>
    <row r="793">
      <c r="A793" s="8" t="inlineStr">
        <is>
          <t>GET</t>
        </is>
      </c>
      <c r="B793" s="8" t="inlineStr">
        <is>
          <t>/api/v1/hr-growth/vacancies</t>
        </is>
      </c>
      <c r="C793" s="8" t="inlineStr">
        <is>
          <t>READ</t>
        </is>
      </c>
      <c r="D793" s="8" t="inlineStr">
        <is>
          <t>worker/src/routes/growth/hr_recruit.ts</t>
        </is>
      </c>
      <c r="E793" s="8" t="n">
        <v>70</v>
      </c>
      <c r="F793" s="8" t="inlineStr">
        <is>
          <t>Yes</t>
        </is>
      </c>
      <c r="G793" s="8" t="n">
        <v>12</v>
      </c>
    </row>
    <row r="794">
      <c r="A794" s="8" t="inlineStr">
        <is>
          <t>POST</t>
        </is>
      </c>
      <c r="B794" s="8" t="inlineStr">
        <is>
          <t>/api/v1/hr-growth/vacancies</t>
        </is>
      </c>
      <c r="C794" s="8" t="inlineStr">
        <is>
          <t>WRITE</t>
        </is>
      </c>
      <c r="D794" s="8" t="inlineStr">
        <is>
          <t>worker/src/routes/growth/hr_recruit.ts</t>
        </is>
      </c>
      <c r="E794" s="8" t="n">
        <v>100</v>
      </c>
      <c r="F794" s="8" t="inlineStr">
        <is>
          <t>Yes</t>
        </is>
      </c>
      <c r="G794" s="8" t="n">
        <v>12</v>
      </c>
    </row>
    <row r="795">
      <c r="A795" s="8" t="inlineStr">
        <is>
          <t>POST</t>
        </is>
      </c>
      <c r="B795" s="8" t="inlineStr">
        <is>
          <t>/api/v1/hr-growth/vacancies/{id}/decide</t>
        </is>
      </c>
      <c r="C795" s="8" t="inlineStr">
        <is>
          <t>WRITE</t>
        </is>
      </c>
      <c r="D795" s="8" t="inlineStr">
        <is>
          <t>worker/src/routes/growth/hr_recruit.ts</t>
        </is>
      </c>
      <c r="E795" s="8" t="n">
        <v>133</v>
      </c>
      <c r="F795" s="8" t="inlineStr">
        <is>
          <t>Yes</t>
        </is>
      </c>
      <c r="G795" s="8" t="n">
        <v>12</v>
      </c>
    </row>
    <row r="796">
      <c r="A796" s="8" t="inlineStr">
        <is>
          <t>GET</t>
        </is>
      </c>
      <c r="B796" s="8" t="inlineStr">
        <is>
          <t>/api/v1/hr-growth/candidates</t>
        </is>
      </c>
      <c r="C796" s="8" t="inlineStr">
        <is>
          <t>READ</t>
        </is>
      </c>
      <c r="D796" s="8" t="inlineStr">
        <is>
          <t>worker/src/routes/growth/hr_recruit.ts</t>
        </is>
      </c>
      <c r="E796" s="8" t="n">
        <v>153</v>
      </c>
      <c r="F796" s="8" t="inlineStr">
        <is>
          <t>Yes</t>
        </is>
      </c>
      <c r="G796" s="8" t="n">
        <v>12</v>
      </c>
    </row>
    <row r="797">
      <c r="A797" s="8" t="inlineStr">
        <is>
          <t>POST</t>
        </is>
      </c>
      <c r="B797" s="8" t="inlineStr">
        <is>
          <t>/api/v1/hr-growth/candidates</t>
        </is>
      </c>
      <c r="C797" s="8" t="inlineStr">
        <is>
          <t>WRITE</t>
        </is>
      </c>
      <c r="D797" s="8" t="inlineStr">
        <is>
          <t>worker/src/routes/growth/hr_recruit.ts</t>
        </is>
      </c>
      <c r="E797" s="8" t="n">
        <v>178</v>
      </c>
      <c r="F797" s="8" t="inlineStr">
        <is>
          <t>Yes</t>
        </is>
      </c>
      <c r="G797" s="8" t="n">
        <v>12</v>
      </c>
    </row>
    <row r="798">
      <c r="A798" s="8" t="inlineStr">
        <is>
          <t>POST</t>
        </is>
      </c>
      <c r="B798" s="8" t="inlineStr">
        <is>
          <t>/api/v1/hr-growth/candidates/{id}/stage</t>
        </is>
      </c>
      <c r="C798" s="8" t="inlineStr">
        <is>
          <t>WRITE</t>
        </is>
      </c>
      <c r="D798" s="8" t="inlineStr">
        <is>
          <t>worker/src/routes/growth/hr_recruit.ts</t>
        </is>
      </c>
      <c r="E798" s="8" t="n">
        <v>215</v>
      </c>
      <c r="F798" s="8" t="inlineStr">
        <is>
          <t>Yes</t>
        </is>
      </c>
      <c r="G798" s="8" t="n">
        <v>12</v>
      </c>
    </row>
    <row r="799">
      <c r="A799" s="8" t="inlineStr">
        <is>
          <t>POST</t>
        </is>
      </c>
      <c r="B799" s="8" t="inlineStr">
        <is>
          <t>/api/v1/hr-growth/candidates/{id}/hire</t>
        </is>
      </c>
      <c r="C799" s="8" t="inlineStr">
        <is>
          <t>WRITE</t>
        </is>
      </c>
      <c r="D799" s="8" t="inlineStr">
        <is>
          <t>worker/src/routes/growth/hr_recruit.ts</t>
        </is>
      </c>
      <c r="E799" s="8" t="n">
        <v>235</v>
      </c>
      <c r="F799" s="8" t="inlineStr">
        <is>
          <t>Yes</t>
        </is>
      </c>
      <c r="G799" s="8" t="n">
        <v>12</v>
      </c>
    </row>
    <row r="800">
      <c r="A800" s="8" t="inlineStr">
        <is>
          <t>GET</t>
        </is>
      </c>
      <c r="B800" s="8" t="inlineStr">
        <is>
          <t>/api/v1/hr-growth/interviews</t>
        </is>
      </c>
      <c r="C800" s="8" t="inlineStr">
        <is>
          <t>READ</t>
        </is>
      </c>
      <c r="D800" s="8" t="inlineStr">
        <is>
          <t>worker/src/routes/growth/hr_recruit.ts</t>
        </is>
      </c>
      <c r="E800" s="8" t="n">
        <v>273</v>
      </c>
      <c r="F800" s="8" t="inlineStr">
        <is>
          <t>Yes</t>
        </is>
      </c>
      <c r="G800" s="8" t="n">
        <v>12</v>
      </c>
    </row>
    <row r="801">
      <c r="A801" s="8" t="inlineStr">
        <is>
          <t>POST</t>
        </is>
      </c>
      <c r="B801" s="8" t="inlineStr">
        <is>
          <t>/api/v1/hr-growth/interviews</t>
        </is>
      </c>
      <c r="C801" s="8" t="inlineStr">
        <is>
          <t>WRITE</t>
        </is>
      </c>
      <c r="D801" s="8" t="inlineStr">
        <is>
          <t>worker/src/routes/growth/hr_recruit.ts</t>
        </is>
      </c>
      <c r="E801" s="8" t="n">
        <v>303</v>
      </c>
      <c r="F801" s="8" t="inlineStr">
        <is>
          <t>Yes</t>
        </is>
      </c>
      <c r="G801" s="8" t="n">
        <v>12</v>
      </c>
    </row>
    <row r="802">
      <c r="A802" s="8" t="inlineStr">
        <is>
          <t>POST</t>
        </is>
      </c>
      <c r="B802" s="8" t="inlineStr">
        <is>
          <t>/api/v1/hr-growth/interviews/{id}/result</t>
        </is>
      </c>
      <c r="C802" s="8" t="inlineStr">
        <is>
          <t>WRITE</t>
        </is>
      </c>
      <c r="D802" s="8" t="inlineStr">
        <is>
          <t>worker/src/routes/growth/hr_recruit.ts</t>
        </is>
      </c>
      <c r="E802" s="8" t="n">
        <v>317</v>
      </c>
      <c r="F802" s="8" t="inlineStr">
        <is>
          <t>Yes</t>
        </is>
      </c>
      <c r="G802" s="8" t="n">
        <v>12</v>
      </c>
    </row>
    <row r="803">
      <c r="A803" s="8" t="inlineStr">
        <is>
          <t>GET</t>
        </is>
      </c>
      <c r="B803" s="8" t="inlineStr">
        <is>
          <t>/api/v1/hr-growth/offers</t>
        </is>
      </c>
      <c r="C803" s="8" t="inlineStr">
        <is>
          <t>READ</t>
        </is>
      </c>
      <c r="D803" s="8" t="inlineStr">
        <is>
          <t>worker/src/routes/growth/hr_recruit.ts</t>
        </is>
      </c>
      <c r="E803" s="8" t="n">
        <v>340</v>
      </c>
      <c r="F803" s="8" t="inlineStr">
        <is>
          <t>Yes</t>
        </is>
      </c>
      <c r="G803" s="8" t="n">
        <v>12</v>
      </c>
    </row>
    <row r="804">
      <c r="A804" s="8" t="inlineStr">
        <is>
          <t>POST</t>
        </is>
      </c>
      <c r="B804" s="8" t="inlineStr">
        <is>
          <t>/api/v1/hr-growth/offers</t>
        </is>
      </c>
      <c r="C804" s="8" t="inlineStr">
        <is>
          <t>WRITE</t>
        </is>
      </c>
      <c r="D804" s="8" t="inlineStr">
        <is>
          <t>worker/src/routes/growth/hr_recruit.ts</t>
        </is>
      </c>
      <c r="E804" s="8" t="n">
        <v>357</v>
      </c>
      <c r="F804" s="8" t="inlineStr">
        <is>
          <t>Yes</t>
        </is>
      </c>
      <c r="G804" s="8" t="n">
        <v>12</v>
      </c>
    </row>
    <row r="805">
      <c r="A805" s="8" t="inlineStr">
        <is>
          <t>POST</t>
        </is>
      </c>
      <c r="B805" s="8" t="inlineStr">
        <is>
          <t>/api/v1/hr-growth/offers/{id}/respond</t>
        </is>
      </c>
      <c r="C805" s="8" t="inlineStr">
        <is>
          <t>WRITE</t>
        </is>
      </c>
      <c r="D805" s="8" t="inlineStr">
        <is>
          <t>worker/src/routes/growth/hr_recruit.ts</t>
        </is>
      </c>
      <c r="E805" s="8" t="n">
        <v>380</v>
      </c>
      <c r="F805" s="8" t="inlineStr">
        <is>
          <t>Yes</t>
        </is>
      </c>
      <c r="G805" s="8" t="n">
        <v>12</v>
      </c>
    </row>
    <row r="806">
      <c r="A806" s="8" t="inlineStr">
        <is>
          <t>GET</t>
        </is>
      </c>
      <c r="B806" s="8" t="inlineStr">
        <is>
          <t>/api/v1/hr-growth/recruitment/funnel</t>
        </is>
      </c>
      <c r="C806" s="8" t="inlineStr">
        <is>
          <t>READ</t>
        </is>
      </c>
      <c r="D806" s="8" t="inlineStr">
        <is>
          <t>worker/src/routes/growth/hr_recruit.ts</t>
        </is>
      </c>
      <c r="E806" s="8" t="n">
        <v>400</v>
      </c>
      <c r="F806" s="8" t="inlineStr">
        <is>
          <t>Yes</t>
        </is>
      </c>
      <c r="G806" s="8" t="n">
        <v>12</v>
      </c>
    </row>
    <row r="807">
      <c r="A807" s="8" t="inlineStr">
        <is>
          <t>GET</t>
        </is>
      </c>
      <c r="B807" s="8" t="inlineStr">
        <is>
          <t>/api/v1/hr-growth/me/training/requirement</t>
        </is>
      </c>
      <c r="C807" s="8" t="inlineStr">
        <is>
          <t>SELF</t>
        </is>
      </c>
      <c r="D807" s="8" t="inlineStr">
        <is>
          <t>worker/src/routes/growth/hr_training.ts</t>
        </is>
      </c>
      <c r="E807" s="8" t="n">
        <v>103</v>
      </c>
      <c r="F807" s="8" t="inlineStr">
        <is>
          <t>Yes</t>
        </is>
      </c>
      <c r="G807" s="8" t="n">
        <v>14</v>
      </c>
    </row>
    <row r="808">
      <c r="A808" s="8" t="inlineStr">
        <is>
          <t>GET</t>
        </is>
      </c>
      <c r="B808" s="8" t="inlineStr">
        <is>
          <t>/api/v1/hr-growth/me/training</t>
        </is>
      </c>
      <c r="C808" s="8" t="inlineStr">
        <is>
          <t>SELF</t>
        </is>
      </c>
      <c r="D808" s="8" t="inlineStr">
        <is>
          <t>worker/src/routes/growth/hr_training.ts</t>
        </is>
      </c>
      <c r="E808" s="8" t="n">
        <v>121</v>
      </c>
      <c r="F808" s="8" t="inlineStr">
        <is>
          <t>Yes</t>
        </is>
      </c>
      <c r="G808" s="8" t="n">
        <v>14</v>
      </c>
    </row>
    <row r="809">
      <c r="A809" s="8" t="inlineStr">
        <is>
          <t>GET</t>
        </is>
      </c>
      <c r="B809" s="8" t="inlineStr">
        <is>
          <t>/api/v1/hr-growth/me/duties</t>
        </is>
      </c>
      <c r="C809" s="8" t="inlineStr">
        <is>
          <t>SELF</t>
        </is>
      </c>
      <c r="D809" s="8" t="inlineStr">
        <is>
          <t>worker/src/routes/growth/hr_training.ts</t>
        </is>
      </c>
      <c r="E809" s="8" t="n">
        <v>127</v>
      </c>
      <c r="F809" s="8" t="inlineStr">
        <is>
          <t>Yes</t>
        </is>
      </c>
      <c r="G809" s="8" t="n">
        <v>14</v>
      </c>
    </row>
    <row r="810">
      <c r="A810" s="8" t="inlineStr">
        <is>
          <t>GET</t>
        </is>
      </c>
      <c r="B810" s="8" t="inlineStr">
        <is>
          <t>/api/v1/hr-growth/training/programmes</t>
        </is>
      </c>
      <c r="C810" s="8" t="inlineStr">
        <is>
          <t>READ</t>
        </is>
      </c>
      <c r="D810" s="8" t="inlineStr">
        <is>
          <t>worker/src/routes/growth/hr_training.ts</t>
        </is>
      </c>
      <c r="E810" s="8" t="n">
        <v>135</v>
      </c>
      <c r="F810" s="8" t="inlineStr">
        <is>
          <t>Yes</t>
        </is>
      </c>
      <c r="G810" s="8" t="n">
        <v>14</v>
      </c>
    </row>
    <row r="811">
      <c r="A811" s="8" t="inlineStr">
        <is>
          <t>POST</t>
        </is>
      </c>
      <c r="B811" s="8" t="inlineStr">
        <is>
          <t>/api/v1/hr-growth/training/programmes</t>
        </is>
      </c>
      <c r="C811" s="8" t="inlineStr">
        <is>
          <t>WRITE</t>
        </is>
      </c>
      <c r="D811" s="8" t="inlineStr">
        <is>
          <t>worker/src/routes/growth/hr_training.ts</t>
        </is>
      </c>
      <c r="E811" s="8" t="n">
        <v>150</v>
      </c>
      <c r="F811" s="8" t="inlineStr">
        <is>
          <t>Yes</t>
        </is>
      </c>
      <c r="G811" s="8" t="n">
        <v>14</v>
      </c>
    </row>
    <row r="812">
      <c r="A812" s="8" t="inlineStr">
        <is>
          <t>GET</t>
        </is>
      </c>
      <c r="B812" s="8" t="inlineStr">
        <is>
          <t>/api/v1/hr-growth/training/records</t>
        </is>
      </c>
      <c r="C812" s="8" t="inlineStr">
        <is>
          <t>READ</t>
        </is>
      </c>
      <c r="D812" s="8" t="inlineStr">
        <is>
          <t>worker/src/routes/growth/hr_training.ts</t>
        </is>
      </c>
      <c r="E812" s="8" t="n">
        <v>189</v>
      </c>
      <c r="F812" s="8" t="inlineStr">
        <is>
          <t>Yes</t>
        </is>
      </c>
      <c r="G812" s="8" t="n">
        <v>14</v>
      </c>
    </row>
    <row r="813">
      <c r="A813" s="8" t="inlineStr">
        <is>
          <t>POST</t>
        </is>
      </c>
      <c r="B813" s="8" t="inlineStr">
        <is>
          <t>/api/v1/hr-growth/training/records</t>
        </is>
      </c>
      <c r="C813" s="8" t="inlineStr">
        <is>
          <t>WRITE</t>
        </is>
      </c>
      <c r="D813" s="8" t="inlineStr">
        <is>
          <t>worker/src/routes/growth/hr_training.ts</t>
        </is>
      </c>
      <c r="E813" s="8" t="n">
        <v>199</v>
      </c>
      <c r="F813" s="8" t="inlineStr">
        <is>
          <t>Yes</t>
        </is>
      </c>
      <c r="G813" s="8" t="n">
        <v>14</v>
      </c>
    </row>
    <row r="814">
      <c r="A814" s="8" t="inlineStr">
        <is>
          <t>GET</t>
        </is>
      </c>
      <c r="B814" s="8" t="inlineStr">
        <is>
          <t>/api/v1/hr-growth/training/requirements</t>
        </is>
      </c>
      <c r="C814" s="8" t="inlineStr">
        <is>
          <t>READ</t>
        </is>
      </c>
      <c r="D814" s="8" t="inlineStr">
        <is>
          <t>worker/src/routes/growth/hr_training.ts</t>
        </is>
      </c>
      <c r="E814" s="8" t="n">
        <v>234</v>
      </c>
      <c r="F814" s="8" t="inlineStr">
        <is>
          <t>Yes</t>
        </is>
      </c>
      <c r="G814" s="8" t="n">
        <v>14</v>
      </c>
    </row>
    <row r="815">
      <c r="A815" s="8" t="inlineStr">
        <is>
          <t>PUT</t>
        </is>
      </c>
      <c r="B815" s="8" t="inlineStr">
        <is>
          <t>/api/v1/hr-growth/training/requirements</t>
        </is>
      </c>
      <c r="C815" s="8" t="inlineStr">
        <is>
          <t>WRITE</t>
        </is>
      </c>
      <c r="D815" s="8" t="inlineStr">
        <is>
          <t>worker/src/routes/growth/hr_training.ts</t>
        </is>
      </c>
      <c r="E815" s="8" t="n">
        <v>248</v>
      </c>
      <c r="F815" s="8" t="inlineStr">
        <is>
          <t>Yes</t>
        </is>
      </c>
      <c r="G815" s="8" t="n">
        <v>14</v>
      </c>
    </row>
    <row r="816">
      <c r="A816" s="8" t="inlineStr">
        <is>
          <t>GET</t>
        </is>
      </c>
      <c r="B816" s="8" t="inlineStr">
        <is>
          <t>/api/v1/hr-growth/training/compliance</t>
        </is>
      </c>
      <c r="C816" s="8" t="inlineStr">
        <is>
          <t>READ</t>
        </is>
      </c>
      <c r="D816" s="8" t="inlineStr">
        <is>
          <t>worker/src/routes/growth/hr_training.ts</t>
        </is>
      </c>
      <c r="E816" s="8" t="n">
        <v>266</v>
      </c>
      <c r="F816" s="8" t="inlineStr">
        <is>
          <t>Yes</t>
        </is>
      </c>
      <c r="G816" s="8" t="n">
        <v>14</v>
      </c>
    </row>
    <row r="817">
      <c r="A817" s="8" t="inlineStr">
        <is>
          <t>GET</t>
        </is>
      </c>
      <c r="B817" s="8" t="inlineStr">
        <is>
          <t>/api/v1/hr-growth/roster/shifts</t>
        </is>
      </c>
      <c r="C817" s="8" t="inlineStr">
        <is>
          <t>READ</t>
        </is>
      </c>
      <c r="D817" s="8" t="inlineStr">
        <is>
          <t>worker/src/routes/growth/hr_training.ts</t>
        </is>
      </c>
      <c r="E817" s="8" t="n">
        <v>314</v>
      </c>
      <c r="F817" s="8" t="inlineStr">
        <is>
          <t>Yes</t>
        </is>
      </c>
      <c r="G817" s="8" t="n">
        <v>14</v>
      </c>
    </row>
    <row r="818">
      <c r="A818" s="8" t="inlineStr">
        <is>
          <t>PUT</t>
        </is>
      </c>
      <c r="B818" s="8" t="inlineStr">
        <is>
          <t>/api/v1/hr-growth/roster/shifts</t>
        </is>
      </c>
      <c r="C818" s="8" t="inlineStr">
        <is>
          <t>WRITE</t>
        </is>
      </c>
      <c r="D818" s="8" t="inlineStr">
        <is>
          <t>worker/src/routes/growth/hr_training.ts</t>
        </is>
      </c>
      <c r="E818" s="8" t="n">
        <v>329</v>
      </c>
      <c r="F818" s="8" t="inlineStr">
        <is>
          <t>Yes</t>
        </is>
      </c>
      <c r="G818" s="8" t="n">
        <v>14</v>
      </c>
    </row>
    <row r="819">
      <c r="A819" s="8" t="inlineStr">
        <is>
          <t>GET</t>
        </is>
      </c>
      <c r="B819" s="8" t="inlineStr">
        <is>
          <t>/api/v1/hr-growth/roster/conflicts</t>
        </is>
      </c>
      <c r="C819" s="8" t="inlineStr">
        <is>
          <t>READ</t>
        </is>
      </c>
      <c r="D819" s="8" t="inlineStr">
        <is>
          <t>worker/src/routes/growth/hr_training.ts</t>
        </is>
      </c>
      <c r="E819" s="8" t="n">
        <v>366</v>
      </c>
      <c r="F819" s="8" t="inlineStr">
        <is>
          <t>Yes</t>
        </is>
      </c>
      <c r="G819" s="8" t="n">
        <v>14</v>
      </c>
    </row>
    <row r="820">
      <c r="A820" s="8" t="inlineStr">
        <is>
          <t>GET</t>
        </is>
      </c>
      <c r="B820" s="8" t="inlineStr">
        <is>
          <t>/api/v1/hr-growth/roster/fairness</t>
        </is>
      </c>
      <c r="C820" s="8" t="inlineStr">
        <is>
          <t>READ</t>
        </is>
      </c>
      <c r="D820" s="8" t="inlineStr">
        <is>
          <t>worker/src/routes/growth/hr_training.ts</t>
        </is>
      </c>
      <c r="E820" s="8" t="n">
        <v>374</v>
      </c>
      <c r="F820" s="8" t="inlineStr">
        <is>
          <t>Yes</t>
        </is>
      </c>
      <c r="G820" s="8" t="n">
        <v>14</v>
      </c>
    </row>
    <row r="821">
      <c r="A821" s="8" t="inlineStr">
        <is>
          <t>GET</t>
        </is>
      </c>
      <c r="B821" s="8" t="inlineStr">
        <is>
          <t>/api/v1/hr-growth/roster</t>
        </is>
      </c>
      <c r="C821" s="8" t="inlineStr">
        <is>
          <t>READ</t>
        </is>
      </c>
      <c r="D821" s="8" t="inlineStr">
        <is>
          <t>worker/src/routes/growth/hr_training.ts</t>
        </is>
      </c>
      <c r="E821" s="8" t="n">
        <v>398</v>
      </c>
      <c r="F821" s="8" t="inlineStr">
        <is>
          <t>Yes</t>
        </is>
      </c>
      <c r="G821" s="8" t="n">
        <v>14</v>
      </c>
    </row>
    <row r="822">
      <c r="A822" s="8" t="inlineStr">
        <is>
          <t>POST</t>
        </is>
      </c>
      <c r="B822" s="8" t="inlineStr">
        <is>
          <t>/api/v1/hr-growth/roster</t>
        </is>
      </c>
      <c r="C822" s="8" t="inlineStr">
        <is>
          <t>WRITE</t>
        </is>
      </c>
      <c r="D822" s="8" t="inlineStr">
        <is>
          <t>worker/src/routes/growth/hr_training.ts</t>
        </is>
      </c>
      <c r="E822" s="8" t="n">
        <v>411</v>
      </c>
      <c r="F822" s="8" t="inlineStr">
        <is>
          <t>Yes</t>
        </is>
      </c>
      <c r="G822" s="8" t="n">
        <v>14</v>
      </c>
    </row>
    <row r="823">
      <c r="A823" s="8" t="inlineStr">
        <is>
          <t>POST</t>
        </is>
      </c>
      <c r="B823" s="8" t="inlineStr">
        <is>
          <t>/api/v1/hr-growth/roster/{id}/cancel</t>
        </is>
      </c>
      <c r="C823" s="8" t="inlineStr">
        <is>
          <t>WRITE</t>
        </is>
      </c>
      <c r="D823" s="8" t="inlineStr">
        <is>
          <t>worker/src/routes/growth/hr_training.ts</t>
        </is>
      </c>
      <c r="E823" s="8" t="n">
        <v>491</v>
      </c>
      <c r="F823" s="8" t="inlineStr">
        <is>
          <t>Yes</t>
        </is>
      </c>
      <c r="G823" s="8" t="n">
        <v>14</v>
      </c>
    </row>
    <row r="824">
      <c r="A824" s="8" t="inlineStr">
        <is>
          <t>GET</t>
        </is>
      </c>
      <c r="B824" s="8" t="inlineStr">
        <is>
          <t>/api/v1/people/search</t>
        </is>
      </c>
      <c r="C824" s="8" t="inlineStr">
        <is>
          <t>READ</t>
        </is>
      </c>
      <c r="D824" s="8" t="inlineStr">
        <is>
          <t>worker/src/routes/growth/people.ts</t>
        </is>
      </c>
      <c r="E824" s="8" t="n">
        <v>143</v>
      </c>
      <c r="F824" s="8" t="inlineStr">
        <is>
          <t>Yes</t>
        </is>
      </c>
      <c r="G824" s="8" t="n">
        <v>14</v>
      </c>
    </row>
    <row r="825">
      <c r="A825" s="8" t="inlineStr">
        <is>
          <t>GET</t>
        </is>
      </c>
      <c r="B825" s="8" t="inlineStr">
        <is>
          <t>/api/v1/people/groups</t>
        </is>
      </c>
      <c r="C825" s="8" t="inlineStr">
        <is>
          <t>READ</t>
        </is>
      </c>
      <c r="D825" s="8" t="inlineStr">
        <is>
          <t>worker/src/routes/growth/people.ts</t>
        </is>
      </c>
      <c r="E825" s="8" t="n">
        <v>199</v>
      </c>
      <c r="F825" s="8" t="inlineStr">
        <is>
          <t>Yes</t>
        </is>
      </c>
      <c r="G825" s="8" t="n">
        <v>14</v>
      </c>
    </row>
    <row r="826">
      <c r="A826" s="8" t="inlineStr">
        <is>
          <t>GET</t>
        </is>
      </c>
      <c r="B826" s="8" t="inlineStr">
        <is>
          <t>/api/v1/people/group-fields</t>
        </is>
      </c>
      <c r="C826" s="8" t="inlineStr">
        <is>
          <t>READ</t>
        </is>
      </c>
      <c r="D826" s="8" t="inlineStr">
        <is>
          <t>worker/src/routes/growth/people.ts</t>
        </is>
      </c>
      <c r="E826" s="8" t="n">
        <v>210</v>
      </c>
      <c r="F826" s="8" t="inlineStr">
        <is>
          <t>Yes</t>
        </is>
      </c>
      <c r="G826" s="8" t="n">
        <v>14</v>
      </c>
    </row>
    <row r="827">
      <c r="A827" s="8" t="inlineStr">
        <is>
          <t>GET</t>
        </is>
      </c>
      <c r="B827" s="8" t="inlineStr">
        <is>
          <t>/api/v1/people/groups/{id}/members</t>
        </is>
      </c>
      <c r="C827" s="8" t="inlineStr">
        <is>
          <t>READ</t>
        </is>
      </c>
      <c r="D827" s="8" t="inlineStr">
        <is>
          <t>worker/src/routes/growth/people.ts</t>
        </is>
      </c>
      <c r="E827" s="8" t="n">
        <v>221</v>
      </c>
      <c r="F827" s="8" t="inlineStr">
        <is>
          <t>Yes</t>
        </is>
      </c>
      <c r="G827" s="8" t="n">
        <v>14</v>
      </c>
    </row>
    <row r="828">
      <c r="A828" s="8" t="inlineStr">
        <is>
          <t>POST</t>
        </is>
      </c>
      <c r="B828" s="8" t="inlineStr">
        <is>
          <t>/api/v1/people/groups</t>
        </is>
      </c>
      <c r="C828" s="8" t="inlineStr">
        <is>
          <t>WRITE</t>
        </is>
      </c>
      <c r="D828" s="8" t="inlineStr">
        <is>
          <t>worker/src/routes/growth/people.ts</t>
        </is>
      </c>
      <c r="E828" s="8" t="n">
        <v>231</v>
      </c>
      <c r="F828" s="8" t="inlineStr">
        <is>
          <t>Yes</t>
        </is>
      </c>
      <c r="G828" s="8" t="n">
        <v>14</v>
      </c>
    </row>
    <row r="829">
      <c r="A829" s="8" t="inlineStr">
        <is>
          <t>PUT</t>
        </is>
      </c>
      <c r="B829" s="8" t="inlineStr">
        <is>
          <t>/api/v1/people/groups/{id}</t>
        </is>
      </c>
      <c r="C829" s="8" t="inlineStr">
        <is>
          <t>WRITE</t>
        </is>
      </c>
      <c r="D829" s="8" t="inlineStr">
        <is>
          <t>worker/src/routes/growth/people.ts</t>
        </is>
      </c>
      <c r="E829" s="8" t="n">
        <v>232</v>
      </c>
      <c r="F829" s="8" t="inlineStr">
        <is>
          <t>Yes</t>
        </is>
      </c>
      <c r="G829" s="8" t="n">
        <v>14</v>
      </c>
    </row>
    <row r="830">
      <c r="A830" s="8" t="inlineStr">
        <is>
          <t>DELETE</t>
        </is>
      </c>
      <c r="B830" s="8" t="inlineStr">
        <is>
          <t>/api/v1/people/groups/{id}</t>
        </is>
      </c>
      <c r="C830" s="8" t="inlineStr">
        <is>
          <t>WRITE</t>
        </is>
      </c>
      <c r="D830" s="8" t="inlineStr">
        <is>
          <t>worker/src/routes/growth/people.ts</t>
        </is>
      </c>
      <c r="E830" s="8" t="n">
        <v>237</v>
      </c>
      <c r="F830" s="8" t="inlineStr">
        <is>
          <t>Yes</t>
        </is>
      </c>
      <c r="G830" s="8" t="n">
        <v>14</v>
      </c>
    </row>
    <row r="831">
      <c r="A831" s="8" t="inlineStr">
        <is>
          <t>POST</t>
        </is>
      </c>
      <c r="B831" s="8" t="inlineStr">
        <is>
          <t>/api/v1/people/groups/{id}/members</t>
        </is>
      </c>
      <c r="C831" s="8" t="inlineStr">
        <is>
          <t>WRITE</t>
        </is>
      </c>
      <c r="D831" s="8" t="inlineStr">
        <is>
          <t>worker/src/routes/growth/people.ts</t>
        </is>
      </c>
      <c r="E831" s="8" t="n">
        <v>243</v>
      </c>
      <c r="F831" s="8" t="inlineStr">
        <is>
          <t>Yes</t>
        </is>
      </c>
      <c r="G831" s="8" t="n">
        <v>14</v>
      </c>
    </row>
    <row r="832">
      <c r="A832" s="8" t="inlineStr">
        <is>
          <t>DELETE</t>
        </is>
      </c>
      <c r="B832" s="8" t="inlineStr">
        <is>
          <t>/api/v1/people/groups/{id}/members/{personID}</t>
        </is>
      </c>
      <c r="C832" s="8" t="inlineStr">
        <is>
          <t>WRITE</t>
        </is>
      </c>
      <c r="D832" s="8" t="inlineStr">
        <is>
          <t>worker/src/routes/growth/people.ts</t>
        </is>
      </c>
      <c r="E832" s="8" t="n">
        <v>259</v>
      </c>
      <c r="F832" s="8" t="inlineStr">
        <is>
          <t>Yes</t>
        </is>
      </c>
      <c r="G832" s="8" t="n">
        <v>14</v>
      </c>
    </row>
    <row r="833">
      <c r="A833" s="8" t="inlineStr">
        <is>
          <t>GET</t>
        </is>
      </c>
      <c r="B833" s="8" t="inlineStr">
        <is>
          <t>/api/v1/report-builder/schema</t>
        </is>
      </c>
      <c r="C833" s="8" t="inlineStr">
        <is>
          <t>READ</t>
        </is>
      </c>
      <c r="D833" s="8" t="inlineStr">
        <is>
          <t>worker/src/routes/growth/report_builder.ts</t>
        </is>
      </c>
      <c r="E833" s="8" t="n">
        <v>411</v>
      </c>
      <c r="F833" s="8" t="inlineStr">
        <is>
          <t>Yes</t>
        </is>
      </c>
      <c r="G833" s="8" t="n">
        <v>12</v>
      </c>
    </row>
    <row r="834">
      <c r="A834" s="8" t="inlineStr">
        <is>
          <t>GET</t>
        </is>
      </c>
      <c r="B834" s="8" t="inlineStr">
        <is>
          <t>/api/v1/report-builder/definitions</t>
        </is>
      </c>
      <c r="C834" s="8" t="inlineStr">
        <is>
          <t>READ</t>
        </is>
      </c>
      <c r="D834" s="8" t="inlineStr">
        <is>
          <t>worker/src/routes/growth/report_builder.ts</t>
        </is>
      </c>
      <c r="E834" s="8" t="n">
        <v>418</v>
      </c>
      <c r="F834" s="8" t="inlineStr">
        <is>
          <t>Yes</t>
        </is>
      </c>
      <c r="G834" s="8" t="n">
        <v>12</v>
      </c>
    </row>
    <row r="835">
      <c r="A835" s="8" t="inlineStr">
        <is>
          <t>POST</t>
        </is>
      </c>
      <c r="B835" s="8" t="inlineStr">
        <is>
          <t>/api/v1/report-builder/definitions</t>
        </is>
      </c>
      <c r="C835" s="8" t="inlineStr">
        <is>
          <t>READ</t>
        </is>
      </c>
      <c r="D835" s="8" t="inlineStr">
        <is>
          <t>worker/src/routes/growth/report_builder.ts</t>
        </is>
      </c>
      <c r="E835" s="8" t="n">
        <v>424</v>
      </c>
      <c r="F835" s="8" t="inlineStr">
        <is>
          <t>Yes</t>
        </is>
      </c>
      <c r="G835" s="8" t="n">
        <v>12</v>
      </c>
    </row>
    <row r="836">
      <c r="A836" s="8" t="inlineStr">
        <is>
          <t>POST</t>
        </is>
      </c>
      <c r="B836" s="8" t="inlineStr">
        <is>
          <t>/api/v1/report-builder/preview</t>
        </is>
      </c>
      <c r="C836" s="8" t="inlineStr">
        <is>
          <t>READ</t>
        </is>
      </c>
      <c r="D836" s="8" t="inlineStr">
        <is>
          <t>worker/src/routes/growth/report_builder.ts</t>
        </is>
      </c>
      <c r="E836" s="8" t="n">
        <v>456</v>
      </c>
      <c r="F836" s="8" t="inlineStr">
        <is>
          <t>Yes</t>
        </is>
      </c>
      <c r="G836" s="8" t="n">
        <v>12</v>
      </c>
    </row>
    <row r="837">
      <c r="A837" s="8" t="inlineStr">
        <is>
          <t>GET</t>
        </is>
      </c>
      <c r="B837" s="8" t="inlineStr">
        <is>
          <t>/api/v1/report-builder/definitions/{id}</t>
        </is>
      </c>
      <c r="C837" s="8" t="inlineStr">
        <is>
          <t>READ</t>
        </is>
      </c>
      <c r="D837" s="8" t="inlineStr">
        <is>
          <t>worker/src/routes/growth/report_builder.ts</t>
        </is>
      </c>
      <c r="E837" s="8" t="n">
        <v>462</v>
      </c>
      <c r="F837" s="8" t="inlineStr">
        <is>
          <t>Yes</t>
        </is>
      </c>
      <c r="G837" s="8" t="n">
        <v>12</v>
      </c>
    </row>
    <row r="838">
      <c r="A838" s="8" t="inlineStr">
        <is>
          <t>DELETE</t>
        </is>
      </c>
      <c r="B838" s="8" t="inlineStr">
        <is>
          <t>/api/v1/report-builder/definitions/{id}</t>
        </is>
      </c>
      <c r="C838" s="8" t="inlineStr">
        <is>
          <t>READ</t>
        </is>
      </c>
      <c r="D838" s="8" t="inlineStr">
        <is>
          <t>worker/src/routes/growth/report_builder.ts</t>
        </is>
      </c>
      <c r="E838" s="8" t="n">
        <v>464</v>
      </c>
      <c r="F838" s="8" t="inlineStr">
        <is>
          <t>Yes</t>
        </is>
      </c>
      <c r="G838" s="8" t="n">
        <v>12</v>
      </c>
    </row>
    <row r="839">
      <c r="A839" s="8" t="inlineStr">
        <is>
          <t>GET</t>
        </is>
      </c>
      <c r="B839" s="8" t="inlineStr">
        <is>
          <t>/api/v1/report-builder/definitions/{id}/run</t>
        </is>
      </c>
      <c r="C839" s="8" t="inlineStr">
        <is>
          <t>READ</t>
        </is>
      </c>
      <c r="D839" s="8" t="inlineStr">
        <is>
          <t>worker/src/routes/growth/report_builder.ts</t>
        </is>
      </c>
      <c r="E839" s="8" t="n">
        <v>471</v>
      </c>
      <c r="F839" s="8" t="inlineStr">
        <is>
          <t>Yes</t>
        </is>
      </c>
      <c r="G839" s="8" t="n">
        <v>12</v>
      </c>
    </row>
    <row r="840">
      <c r="A840" s="8" t="inlineStr">
        <is>
          <t>POST</t>
        </is>
      </c>
      <c r="B840" s="8" t="inlineStr">
        <is>
          <t>/api/v1/report-builder/definitions/{id}/shares</t>
        </is>
      </c>
      <c r="C840" s="8" t="inlineStr">
        <is>
          <t>READ</t>
        </is>
      </c>
      <c r="D840" s="8" t="inlineStr">
        <is>
          <t>worker/src/routes/growth/report_builder.ts</t>
        </is>
      </c>
      <c r="E840" s="8" t="n">
        <v>481</v>
      </c>
      <c r="F840" s="8" t="inlineStr">
        <is>
          <t>Yes</t>
        </is>
      </c>
      <c r="G840" s="8" t="n">
        <v>12</v>
      </c>
    </row>
    <row r="841">
      <c r="A841" s="8" t="inlineStr">
        <is>
          <t>DELETE</t>
        </is>
      </c>
      <c r="B841" s="8" t="inlineStr">
        <is>
          <t>/api/v1/report-builder/definitions/{id}/shares/{role}</t>
        </is>
      </c>
      <c r="C841" s="8" t="inlineStr">
        <is>
          <t>READ</t>
        </is>
      </c>
      <c r="D841" s="8" t="inlineStr">
        <is>
          <t>worker/src/routes/growth/report_builder.ts</t>
        </is>
      </c>
      <c r="E841" s="8" t="n">
        <v>495</v>
      </c>
      <c r="F841" s="8" t="inlineStr">
        <is>
          <t>Yes</t>
        </is>
      </c>
      <c r="G841" s="8" t="n">
        <v>12</v>
      </c>
    </row>
    <row r="842">
      <c r="A842" s="8" t="inlineStr">
        <is>
          <t>GET</t>
        </is>
      </c>
      <c r="B842" s="8" t="inlineStr">
        <is>
          <t>/api/v1/report-builder/definitions/{id}/runs</t>
        </is>
      </c>
      <c r="C842" s="8" t="inlineStr">
        <is>
          <t>READ</t>
        </is>
      </c>
      <c r="D842" s="8" t="inlineStr">
        <is>
          <t>worker/src/routes/growth/report_builder.ts</t>
        </is>
      </c>
      <c r="E842" s="8" t="n">
        <v>506</v>
      </c>
      <c r="F842" s="8" t="inlineStr">
        <is>
          <t>No</t>
        </is>
      </c>
      <c r="G842" s="8" t="n">
        <v>12</v>
      </c>
    </row>
    <row r="843">
      <c r="A843" s="8" t="inlineStr">
        <is>
          <t>GET</t>
        </is>
      </c>
      <c r="B843" s="8" t="inlineStr">
        <is>
          <t>/api/v1/rollups/today</t>
        </is>
      </c>
      <c r="C843" s="8" t="inlineStr">
        <is>
          <t>REPORTS</t>
        </is>
      </c>
      <c r="D843" s="8" t="inlineStr">
        <is>
          <t>worker/src/routes/growth/rollups.ts</t>
        </is>
      </c>
      <c r="E843" s="8" t="n">
        <v>156</v>
      </c>
      <c r="F843" s="8" t="inlineStr">
        <is>
          <t>Yes</t>
        </is>
      </c>
      <c r="G843" s="8" t="n">
        <v>42</v>
      </c>
    </row>
    <row r="844">
      <c r="A844" s="8" t="inlineStr">
        <is>
          <t>GET</t>
        </is>
      </c>
      <c r="B844" s="8" t="inlineStr">
        <is>
          <t>/api/v1/rollups/fees/overview</t>
        </is>
      </c>
      <c r="C844" s="8" t="inlineStr">
        <is>
          <t>INVOICES</t>
        </is>
      </c>
      <c r="D844" s="8" t="inlineStr">
        <is>
          <t>worker/src/routes/growth/rollups.ts</t>
        </is>
      </c>
      <c r="E844" s="8" t="n">
        <v>172</v>
      </c>
      <c r="F844" s="8" t="inlineStr">
        <is>
          <t>Yes</t>
        </is>
      </c>
      <c r="G844" s="8" t="n">
        <v>42</v>
      </c>
    </row>
    <row r="845">
      <c r="A845" s="8" t="inlineStr">
        <is>
          <t>GET</t>
        </is>
      </c>
      <c r="B845" s="8" t="inlineStr">
        <is>
          <t>/api/v1/rollups/fees/ageing</t>
        </is>
      </c>
      <c r="C845" s="8" t="inlineStr">
        <is>
          <t>INVOICES</t>
        </is>
      </c>
      <c r="D845" s="8" t="inlineStr">
        <is>
          <t>worker/src/routes/growth/rollups.ts</t>
        </is>
      </c>
      <c r="E845" s="8" t="n">
        <v>208</v>
      </c>
      <c r="F845" s="8" t="inlineStr">
        <is>
          <t>Yes</t>
        </is>
      </c>
      <c r="G845" s="8" t="n">
        <v>42</v>
      </c>
    </row>
    <row r="846">
      <c r="A846" s="8" t="inlineStr">
        <is>
          <t>GET</t>
        </is>
      </c>
      <c r="B846" s="8" t="inlineStr">
        <is>
          <t>/api/v1/rollups/fees/concessions</t>
        </is>
      </c>
      <c r="C846" s="8" t="inlineStr">
        <is>
          <t>INVOICES</t>
        </is>
      </c>
      <c r="D846" s="8" t="inlineStr">
        <is>
          <t>worker/src/routes/growth/rollups.ts</t>
        </is>
      </c>
      <c r="E846" s="8" t="n">
        <v>226</v>
      </c>
      <c r="F846" s="8" t="inlineStr">
        <is>
          <t>Yes</t>
        </is>
      </c>
      <c r="G846" s="8" t="n">
        <v>42</v>
      </c>
    </row>
    <row r="847">
      <c r="A847" s="8" t="inlineStr">
        <is>
          <t>GET</t>
        </is>
      </c>
      <c r="B847" s="8" t="inlineStr">
        <is>
          <t>/api/v1/rollups/fees/collections/by-head</t>
        </is>
      </c>
      <c r="C847" s="8" t="inlineStr">
        <is>
          <t>PAYMENTS</t>
        </is>
      </c>
      <c r="D847" s="8" t="inlineStr">
        <is>
          <t>worker/src/routes/growth/rollups.ts</t>
        </is>
      </c>
      <c r="E847" s="8" t="n">
        <v>240</v>
      </c>
      <c r="F847" s="8" t="inlineStr">
        <is>
          <t>No</t>
        </is>
      </c>
      <c r="G847" s="8" t="n">
        <v>42</v>
      </c>
    </row>
    <row r="848">
      <c r="A848" s="8" t="inlineStr">
        <is>
          <t>GET</t>
        </is>
      </c>
      <c r="B848" s="8" t="inlineStr">
        <is>
          <t>/api/v1/rollups/fees/collections/by-collector</t>
        </is>
      </c>
      <c r="C848" s="8" t="inlineStr">
        <is>
          <t>PAYMENTS</t>
        </is>
      </c>
      <c r="D848" s="8" t="inlineStr">
        <is>
          <t>worker/src/routes/growth/rollups.ts</t>
        </is>
      </c>
      <c r="E848" s="8" t="n">
        <v>258</v>
      </c>
      <c r="F848" s="8" t="inlineStr">
        <is>
          <t>No</t>
        </is>
      </c>
      <c r="G848" s="8" t="n">
        <v>42</v>
      </c>
    </row>
    <row r="849">
      <c r="A849" s="8" t="inlineStr">
        <is>
          <t>GET</t>
        </is>
      </c>
      <c r="B849" s="8" t="inlineStr">
        <is>
          <t>/api/v1/rollups/fees/collections/tie-out</t>
        </is>
      </c>
      <c r="C849" s="8" t="inlineStr">
        <is>
          <t>PAYMENTS</t>
        </is>
      </c>
      <c r="D849" s="8" t="inlineStr">
        <is>
          <t>worker/src/routes/growth/rollups.ts</t>
        </is>
      </c>
      <c r="E849" s="8" t="n">
        <v>275</v>
      </c>
      <c r="F849" s="8" t="inlineStr">
        <is>
          <t>No</t>
        </is>
      </c>
      <c r="G849" s="8" t="n">
        <v>42</v>
      </c>
    </row>
    <row r="850">
      <c r="A850" s="8" t="inlineStr">
        <is>
          <t>GET</t>
        </is>
      </c>
      <c r="B850" s="8" t="inlineStr">
        <is>
          <t>/api/v1/rollups/fees/collections</t>
        </is>
      </c>
      <c r="C850" s="8" t="inlineStr">
        <is>
          <t>PAYMENTS</t>
        </is>
      </c>
      <c r="D850" s="8" t="inlineStr">
        <is>
          <t>worker/src/routes/growth/rollups.ts</t>
        </is>
      </c>
      <c r="E850" s="8" t="n">
        <v>300</v>
      </c>
      <c r="F850" s="8" t="inlineStr">
        <is>
          <t>Yes</t>
        </is>
      </c>
      <c r="G850" s="8" t="n">
        <v>42</v>
      </c>
    </row>
    <row r="851">
      <c r="A851" s="8" t="inlineStr">
        <is>
          <t>GET</t>
        </is>
      </c>
      <c r="B851" s="8" t="inlineStr">
        <is>
          <t>/api/v1/rollups/departments/academics</t>
        </is>
      </c>
      <c r="C851" s="8" t="inlineStr">
        <is>
          <t>REPORTS</t>
        </is>
      </c>
      <c r="D851" s="8" t="inlineStr">
        <is>
          <t>worker/src/routes/growth/rollups.ts</t>
        </is>
      </c>
      <c r="E851" s="8" t="n">
        <v>323</v>
      </c>
      <c r="F851" s="8" t="inlineStr">
        <is>
          <t>Yes</t>
        </is>
      </c>
      <c r="G851" s="8" t="n">
        <v>42</v>
      </c>
    </row>
    <row r="852">
      <c r="A852" s="8" t="inlineStr">
        <is>
          <t>GET</t>
        </is>
      </c>
      <c r="B852" s="8" t="inlineStr">
        <is>
          <t>/api/v1/rollups/departments/reports</t>
        </is>
      </c>
      <c r="C852" s="8" t="inlineStr">
        <is>
          <t>REPORTS</t>
        </is>
      </c>
      <c r="D852" s="8" t="inlineStr">
        <is>
          <t>worker/src/routes/growth/rollups.ts</t>
        </is>
      </c>
      <c r="E852" s="8" t="n">
        <v>369</v>
      </c>
      <c r="F852" s="8" t="inlineStr">
        <is>
          <t>Yes</t>
        </is>
      </c>
      <c r="G852" s="8" t="n">
        <v>42</v>
      </c>
    </row>
    <row r="853">
      <c r="A853" s="8" t="inlineStr">
        <is>
          <t>GET</t>
        </is>
      </c>
      <c r="B853" s="8" t="inlineStr">
        <is>
          <t>/api/v1/rollups/performance/trend</t>
        </is>
      </c>
      <c r="C853" s="8" t="inlineStr">
        <is>
          <t>REPORTS</t>
        </is>
      </c>
      <c r="D853" s="8" t="inlineStr">
        <is>
          <t>worker/src/routes/growth/rollups.ts</t>
        </is>
      </c>
      <c r="E853" s="8" t="n">
        <v>428</v>
      </c>
      <c r="F853" s="8" t="inlineStr">
        <is>
          <t>Yes</t>
        </is>
      </c>
      <c r="G853" s="8" t="n">
        <v>42</v>
      </c>
    </row>
    <row r="854">
      <c r="A854" s="8" t="inlineStr">
        <is>
          <t>GET</t>
        </is>
      </c>
      <c r="B854" s="8" t="inlineStr">
        <is>
          <t>/api/v1/rollups/performance/subjects</t>
        </is>
      </c>
      <c r="C854" s="8" t="inlineStr">
        <is>
          <t>REPORTS</t>
        </is>
      </c>
      <c r="D854" s="8" t="inlineStr">
        <is>
          <t>worker/src/routes/growth/rollups.ts</t>
        </is>
      </c>
      <c r="E854" s="8" t="n">
        <v>470</v>
      </c>
      <c r="F854" s="8" t="inlineStr">
        <is>
          <t>Yes</t>
        </is>
      </c>
      <c r="G854" s="8" t="n">
        <v>42</v>
      </c>
    </row>
    <row r="855">
      <c r="A855" s="8" t="inlineStr">
        <is>
          <t>GET</t>
        </is>
      </c>
      <c r="B855" s="8" t="inlineStr">
        <is>
          <t>/api/v1/rollups/performance/distribution</t>
        </is>
      </c>
      <c r="C855" s="8" t="inlineStr">
        <is>
          <t>REPORTS</t>
        </is>
      </c>
      <c r="D855" s="8" t="inlineStr">
        <is>
          <t>worker/src/routes/growth/rollups.ts</t>
        </is>
      </c>
      <c r="E855" s="8" t="n">
        <v>492</v>
      </c>
      <c r="F855" s="8" t="inlineStr">
        <is>
          <t>Yes</t>
        </is>
      </c>
      <c r="G855" s="8" t="n">
        <v>42</v>
      </c>
    </row>
    <row r="856">
      <c r="A856" s="8" t="inlineStr">
        <is>
          <t>GET</t>
        </is>
      </c>
      <c r="B856" s="8" t="inlineStr">
        <is>
          <t>/api/v1/rollups/performance/at-risk</t>
        </is>
      </c>
      <c r="C856" s="8" t="inlineStr">
        <is>
          <t>REPORTS</t>
        </is>
      </c>
      <c r="D856" s="8" t="inlineStr">
        <is>
          <t>worker/src/routes/growth/rollups.ts</t>
        </is>
      </c>
      <c r="E856" s="8" t="n">
        <v>519</v>
      </c>
      <c r="F856" s="8" t="inlineStr">
        <is>
          <t>Yes</t>
        </is>
      </c>
      <c r="G856" s="8" t="n">
        <v>42</v>
      </c>
    </row>
    <row r="857">
      <c r="A857" s="8" t="inlineStr">
        <is>
          <t>GET</t>
        </is>
      </c>
      <c r="B857" s="8" t="inlineStr">
        <is>
          <t>/api/v1/rollups/hr/headcount</t>
        </is>
      </c>
      <c r="C857" s="8" t="inlineStr">
        <is>
          <t>STAFF</t>
        </is>
      </c>
      <c r="D857" s="8" t="inlineStr">
        <is>
          <t>worker/src/routes/growth/rollups.ts</t>
        </is>
      </c>
      <c r="E857" s="8" t="n">
        <v>553</v>
      </c>
      <c r="F857" s="8" t="inlineStr">
        <is>
          <t>Yes</t>
        </is>
      </c>
      <c r="G857" s="8" t="n">
        <v>42</v>
      </c>
    </row>
    <row r="858">
      <c r="A858" s="8" t="inlineStr">
        <is>
          <t>GET</t>
        </is>
      </c>
      <c r="B858" s="8" t="inlineStr">
        <is>
          <t>/api/v1/rollups/hr/movement</t>
        </is>
      </c>
      <c r="C858" s="8" t="inlineStr">
        <is>
          <t>STAFF</t>
        </is>
      </c>
      <c r="D858" s="8" t="inlineStr">
        <is>
          <t>worker/src/routes/growth/rollups.ts</t>
        </is>
      </c>
      <c r="E858" s="8" t="n">
        <v>582</v>
      </c>
      <c r="F858" s="8" t="inlineStr">
        <is>
          <t>Yes</t>
        </is>
      </c>
      <c r="G858" s="8" t="n">
        <v>42</v>
      </c>
    </row>
    <row r="859">
      <c r="A859" s="8" t="inlineStr">
        <is>
          <t>GET</t>
        </is>
      </c>
      <c r="B859" s="8" t="inlineStr">
        <is>
          <t>/api/v1/rollups/hr/attendance</t>
        </is>
      </c>
      <c r="C859" s="8" t="inlineStr">
        <is>
          <t>STAFF</t>
        </is>
      </c>
      <c r="D859" s="8" t="inlineStr">
        <is>
          <t>worker/src/routes/growth/rollups.ts</t>
        </is>
      </c>
      <c r="E859" s="8" t="n">
        <v>600</v>
      </c>
      <c r="F859" s="8" t="inlineStr">
        <is>
          <t>Yes</t>
        </is>
      </c>
      <c r="G859" s="8" t="n">
        <v>42</v>
      </c>
    </row>
    <row r="860">
      <c r="A860" s="8" t="inlineStr">
        <is>
          <t>GET</t>
        </is>
      </c>
      <c r="B860" s="8" t="inlineStr">
        <is>
          <t>/api/v1/rollups/hr/workload</t>
        </is>
      </c>
      <c r="C860" s="8" t="inlineStr">
        <is>
          <t>STAFF</t>
        </is>
      </c>
      <c r="D860" s="8" t="inlineStr">
        <is>
          <t>worker/src/routes/growth/rollups.ts</t>
        </is>
      </c>
      <c r="E860" s="8" t="n">
        <v>630</v>
      </c>
      <c r="F860" s="8" t="inlineStr">
        <is>
          <t>Yes</t>
        </is>
      </c>
      <c r="G860" s="8" t="n">
        <v>42</v>
      </c>
    </row>
    <row r="861">
      <c r="A861" s="8" t="inlineStr">
        <is>
          <t>GET</t>
        </is>
      </c>
      <c r="B861" s="8" t="inlineStr">
        <is>
          <t>/api/v1/rollups/hr/expiries</t>
        </is>
      </c>
      <c r="C861" s="8" t="inlineStr">
        <is>
          <t>STAFF</t>
        </is>
      </c>
      <c r="D861" s="8" t="inlineStr">
        <is>
          <t>worker/src/routes/growth/rollups.ts</t>
        </is>
      </c>
      <c r="E861" s="8" t="n">
        <v>649</v>
      </c>
      <c r="F861" s="8" t="inlineStr">
        <is>
          <t>Yes</t>
        </is>
      </c>
      <c r="G861" s="8" t="n">
        <v>42</v>
      </c>
    </row>
    <row r="862">
      <c r="A862" s="8" t="inlineStr">
        <is>
          <t>POST</t>
        </is>
      </c>
      <c r="B862" s="8" t="inlineStr">
        <is>
          <t>/api/v1/attendance-workflow/corrections</t>
        </is>
      </c>
      <c r="C862" s="8" t="inlineStr">
        <is>
          <t>academics.attendance.write</t>
        </is>
      </c>
      <c r="D862" s="8" t="inlineStr">
        <is>
          <t>worker/src/routes/hr/attendance.ts</t>
        </is>
      </c>
      <c r="E862" s="8" t="n">
        <v>37</v>
      </c>
      <c r="F862" s="8" t="inlineStr">
        <is>
          <t>Yes</t>
        </is>
      </c>
      <c r="G862" s="8" t="n">
        <v>15</v>
      </c>
    </row>
    <row r="863">
      <c r="A863" s="8" t="inlineStr">
        <is>
          <t>GET</t>
        </is>
      </c>
      <c r="B863" s="8" t="inlineStr">
        <is>
          <t>/api/v1/attendance-workflow/corrections</t>
        </is>
      </c>
      <c r="C863" s="8" t="inlineStr">
        <is>
          <t>academics.attendance.read</t>
        </is>
      </c>
      <c r="D863" s="8" t="inlineStr">
        <is>
          <t>worker/src/routes/hr/attendance.ts</t>
        </is>
      </c>
      <c r="E863" s="8" t="n">
        <v>51</v>
      </c>
      <c r="F863" s="8" t="inlineStr">
        <is>
          <t>Yes</t>
        </is>
      </c>
      <c r="G863" s="8" t="n">
        <v>15</v>
      </c>
    </row>
    <row r="864">
      <c r="A864" s="8" t="inlineStr">
        <is>
          <t>POST</t>
        </is>
      </c>
      <c r="B864" s="8" t="inlineStr">
        <is>
          <t>/api/v1/attendance-workflow/corrections/{id}/decide</t>
        </is>
      </c>
      <c r="C864" s="8" t="inlineStr">
        <is>
          <t>academics.attendance.write.any</t>
        </is>
      </c>
      <c r="D864" s="8" t="inlineStr">
        <is>
          <t>worker/src/routes/hr/attendance.ts</t>
        </is>
      </c>
      <c r="E864" s="8" t="n">
        <v>60</v>
      </c>
      <c r="F864" s="8" t="inlineStr">
        <is>
          <t>Yes</t>
        </is>
      </c>
      <c r="G864" s="8" t="n">
        <v>15</v>
      </c>
    </row>
    <row r="865">
      <c r="A865" s="8" t="inlineStr">
        <is>
          <t>POST</t>
        </is>
      </c>
      <c r="B865" s="8" t="inlineStr">
        <is>
          <t>/api/v1/attendance-workflow/absence-alerts</t>
        </is>
      </c>
      <c r="C865" s="8" t="inlineStr">
        <is>
          <t>comms.messages.send</t>
        </is>
      </c>
      <c r="D865" s="8" t="inlineStr">
        <is>
          <t>worker/src/routes/hr/attendance.ts</t>
        </is>
      </c>
      <c r="E865" s="8" t="n">
        <v>90</v>
      </c>
      <c r="F865" s="8" t="inlineStr">
        <is>
          <t>No</t>
        </is>
      </c>
      <c r="G865" s="8" t="n">
        <v>15</v>
      </c>
    </row>
    <row r="866">
      <c r="A866" s="8" t="inlineStr">
        <is>
          <t>GET</t>
        </is>
      </c>
      <c r="B866" s="8" t="inlineStr">
        <is>
          <t>/api/v1/operations/dashboard</t>
        </is>
      </c>
      <c r="C866" s="8" t="inlineStr">
        <is>
          <t>auth</t>
        </is>
      </c>
      <c r="D866" s="8" t="inlineStr">
        <is>
          <t>worker/src/routes/hr/attendance.ts</t>
        </is>
      </c>
      <c r="E866" s="8" t="n">
        <v>107</v>
      </c>
      <c r="F866" s="8" t="inlineStr">
        <is>
          <t>Yes</t>
        </is>
      </c>
      <c r="G866" s="8" t="n">
        <v>15</v>
      </c>
    </row>
    <row r="867">
      <c r="A867" s="8" t="inlineStr">
        <is>
          <t>GET</t>
        </is>
      </c>
      <c r="B867" s="8" t="inlineStr">
        <is>
          <t>/api/v1/me/concerns</t>
        </is>
      </c>
      <c r="C867" s="8" t="inlineStr">
        <is>
          <t>SELF</t>
        </is>
      </c>
      <c r="D867" s="8" t="inlineStr">
        <is>
          <t>worker/src/routes/hr/concerns.ts</t>
        </is>
      </c>
      <c r="E867" s="8" t="n">
        <v>484</v>
      </c>
      <c r="F867" s="8" t="inlineStr">
        <is>
          <t>Yes</t>
        </is>
      </c>
      <c r="G867" s="8" t="n">
        <v>8</v>
      </c>
    </row>
    <row r="868">
      <c r="A868" s="8" t="inlineStr">
        <is>
          <t>POST</t>
        </is>
      </c>
      <c r="B868" s="8" t="inlineStr">
        <is>
          <t>/api/v1/me/concerns</t>
        </is>
      </c>
      <c r="C868" s="8" t="inlineStr">
        <is>
          <t>SELF</t>
        </is>
      </c>
      <c r="D868" s="8" t="inlineStr">
        <is>
          <t>worker/src/routes/hr/concerns.ts</t>
        </is>
      </c>
      <c r="E868" s="8" t="n">
        <v>485</v>
      </c>
      <c r="F868" s="8" t="inlineStr">
        <is>
          <t>Yes</t>
        </is>
      </c>
      <c r="G868" s="8" t="n">
        <v>8</v>
      </c>
    </row>
    <row r="869">
      <c r="A869" s="8" t="inlineStr">
        <is>
          <t>GET</t>
        </is>
      </c>
      <c r="B869" s="8" t="inlineStr">
        <is>
          <t>/api/v1/me/concerns/{id}</t>
        </is>
      </c>
      <c r="C869" s="8" t="inlineStr">
        <is>
          <t>SELF</t>
        </is>
      </c>
      <c r="D869" s="8" t="inlineStr">
        <is>
          <t>worker/src/routes/hr/concerns.ts</t>
        </is>
      </c>
      <c r="E869" s="8" t="n">
        <v>486</v>
      </c>
      <c r="F869" s="8" t="inlineStr">
        <is>
          <t>No</t>
        </is>
      </c>
      <c r="G869" s="8" t="n">
        <v>8</v>
      </c>
    </row>
    <row r="870">
      <c r="A870" s="8" t="inlineStr">
        <is>
          <t>POST</t>
        </is>
      </c>
      <c r="B870" s="8" t="inlineStr">
        <is>
          <t>/api/v1/me/concerns/{id}/reply</t>
        </is>
      </c>
      <c r="C870" s="8" t="inlineStr">
        <is>
          <t>SELF</t>
        </is>
      </c>
      <c r="D870" s="8" t="inlineStr">
        <is>
          <t>worker/src/routes/hr/concerns.ts</t>
        </is>
      </c>
      <c r="E870" s="8" t="n">
        <v>487</v>
      </c>
      <c r="F870" s="8" t="inlineStr">
        <is>
          <t>No</t>
        </is>
      </c>
      <c r="G870" s="8" t="n">
        <v>8</v>
      </c>
    </row>
    <row r="871">
      <c r="A871" s="8" t="inlineStr">
        <is>
          <t>POST</t>
        </is>
      </c>
      <c r="B871" s="8" t="inlineStr">
        <is>
          <t>/api/v1/me/concerns/{id}/reopen</t>
        </is>
      </c>
      <c r="C871" s="8" t="inlineStr">
        <is>
          <t>SELF</t>
        </is>
      </c>
      <c r="D871" s="8" t="inlineStr">
        <is>
          <t>worker/src/routes/hr/concerns.ts</t>
        </is>
      </c>
      <c r="E871" s="8" t="n">
        <v>488</v>
      </c>
      <c r="F871" s="8" t="inlineStr">
        <is>
          <t>No</t>
        </is>
      </c>
      <c r="G871" s="8" t="n">
        <v>8</v>
      </c>
    </row>
    <row r="872">
      <c r="A872" s="8" t="inlineStr">
        <is>
          <t>POST</t>
        </is>
      </c>
      <c r="B872" s="8" t="inlineStr">
        <is>
          <t>/api/v1/me/concerns/{id}/rate</t>
        </is>
      </c>
      <c r="C872" s="8" t="inlineStr">
        <is>
          <t>SELF</t>
        </is>
      </c>
      <c r="D872" s="8" t="inlineStr">
        <is>
          <t>worker/src/routes/hr/concerns.ts</t>
        </is>
      </c>
      <c r="E872" s="8" t="n">
        <v>489</v>
      </c>
      <c r="F872" s="8" t="inlineStr">
        <is>
          <t>No</t>
        </is>
      </c>
      <c r="G872" s="8" t="n">
        <v>8</v>
      </c>
    </row>
    <row r="873">
      <c r="A873" s="8" t="inlineStr">
        <is>
          <t>GET</t>
        </is>
      </c>
      <c r="B873" s="8" t="inlineStr">
        <is>
          <t>/api/v1/hr/grievances</t>
        </is>
      </c>
      <c r="C873" s="8" t="inlineStr">
        <is>
          <t>READ</t>
        </is>
      </c>
      <c r="D873" s="8" t="inlineStr">
        <is>
          <t>worker/src/routes/hr/concerns.ts</t>
        </is>
      </c>
      <c r="E873" s="8" t="n">
        <v>491</v>
      </c>
      <c r="F873" s="8" t="inlineStr">
        <is>
          <t>Yes</t>
        </is>
      </c>
      <c r="G873" s="8" t="n">
        <v>8</v>
      </c>
    </row>
    <row r="874">
      <c r="A874" s="8" t="inlineStr">
        <is>
          <t>POST</t>
        </is>
      </c>
      <c r="B874" s="8" t="inlineStr">
        <is>
          <t>/api/v1/hr/grievances</t>
        </is>
      </c>
      <c r="C874" s="8" t="inlineStr">
        <is>
          <t>WRITE</t>
        </is>
      </c>
      <c r="D874" s="8" t="inlineStr">
        <is>
          <t>worker/src/routes/hr/concerns.ts</t>
        </is>
      </c>
      <c r="E874" s="8" t="n">
        <v>492</v>
      </c>
      <c r="F874" s="8" t="inlineStr">
        <is>
          <t>Yes</t>
        </is>
      </c>
      <c r="G874" s="8" t="n">
        <v>8</v>
      </c>
    </row>
    <row r="875">
      <c r="A875" s="8" t="inlineStr">
        <is>
          <t>GET</t>
        </is>
      </c>
      <c r="B875" s="8" t="inlineStr">
        <is>
          <t>/api/v1/hr/grievance-sla</t>
        </is>
      </c>
      <c r="C875" s="8" t="inlineStr">
        <is>
          <t>WRITE</t>
        </is>
      </c>
      <c r="D875" s="8" t="inlineStr">
        <is>
          <t>worker/src/routes/hr/concerns.ts</t>
        </is>
      </c>
      <c r="E875" s="8" t="n">
        <v>493</v>
      </c>
      <c r="F875" s="8" t="inlineStr">
        <is>
          <t>Yes</t>
        </is>
      </c>
      <c r="G875" s="8" t="n">
        <v>8</v>
      </c>
    </row>
    <row r="876">
      <c r="A876" s="8" t="inlineStr">
        <is>
          <t>PUT</t>
        </is>
      </c>
      <c r="B876" s="8" t="inlineStr">
        <is>
          <t>/api/v1/hr/grievance-sla</t>
        </is>
      </c>
      <c r="C876" s="8" t="inlineStr">
        <is>
          <t>WRITE</t>
        </is>
      </c>
      <c r="D876" s="8" t="inlineStr">
        <is>
          <t>worker/src/routes/hr/concerns.ts</t>
        </is>
      </c>
      <c r="E876" s="8" t="n">
        <v>494</v>
      </c>
      <c r="F876" s="8" t="inlineStr">
        <is>
          <t>Yes</t>
        </is>
      </c>
      <c r="G876" s="8" t="n">
        <v>8</v>
      </c>
    </row>
    <row r="877">
      <c r="A877" s="8" t="inlineStr">
        <is>
          <t>POST</t>
        </is>
      </c>
      <c r="B877" s="8" t="inlineStr">
        <is>
          <t>/api/v1/hr/grievances/escalate-overdue</t>
        </is>
      </c>
      <c r="C877" s="8" t="inlineStr">
        <is>
          <t>WRITE</t>
        </is>
      </c>
      <c r="D877" s="8" t="inlineStr">
        <is>
          <t>worker/src/routes/hr/concerns.ts</t>
        </is>
      </c>
      <c r="E877" s="8" t="n">
        <v>495</v>
      </c>
      <c r="F877" s="8" t="inlineStr">
        <is>
          <t>Yes</t>
        </is>
      </c>
      <c r="G877" s="8" t="n">
        <v>8</v>
      </c>
    </row>
    <row r="878">
      <c r="A878" s="8" t="inlineStr">
        <is>
          <t>GET</t>
        </is>
      </c>
      <c r="B878" s="8" t="inlineStr">
        <is>
          <t>/api/v1/hr/grievances/assignees</t>
        </is>
      </c>
      <c r="C878" s="8" t="inlineStr">
        <is>
          <t>WRITE</t>
        </is>
      </c>
      <c r="D878" s="8" t="inlineStr">
        <is>
          <t>worker/src/routes/hr/concerns.ts</t>
        </is>
      </c>
      <c r="E878" s="8" t="n">
        <v>496</v>
      </c>
      <c r="F878" s="8" t="inlineStr">
        <is>
          <t>Yes</t>
        </is>
      </c>
      <c r="G878" s="8" t="n">
        <v>8</v>
      </c>
    </row>
    <row r="879">
      <c r="A879" s="8" t="inlineStr">
        <is>
          <t>GET</t>
        </is>
      </c>
      <c r="B879" s="8" t="inlineStr">
        <is>
          <t>/api/v1/hr/grievances/{id}</t>
        </is>
      </c>
      <c r="C879" s="8" t="inlineStr">
        <is>
          <t>READ</t>
        </is>
      </c>
      <c r="D879" s="8" t="inlineStr">
        <is>
          <t>worker/src/routes/hr/concerns.ts</t>
        </is>
      </c>
      <c r="E879" s="8" t="n">
        <v>502</v>
      </c>
      <c r="F879" s="8" t="inlineStr">
        <is>
          <t>Yes</t>
        </is>
      </c>
      <c r="G879" s="8" t="n">
        <v>8</v>
      </c>
    </row>
    <row r="880">
      <c r="A880" s="8" t="inlineStr">
        <is>
          <t>GET</t>
        </is>
      </c>
      <c r="B880" s="8" t="inlineStr">
        <is>
          <t>/api/v1/hr/grievances/{id}/updates</t>
        </is>
      </c>
      <c r="C880" s="8" t="inlineStr">
        <is>
          <t>READ</t>
        </is>
      </c>
      <c r="D880" s="8" t="inlineStr">
        <is>
          <t>worker/src/routes/hr/concerns.ts</t>
        </is>
      </c>
      <c r="E880" s="8" t="n">
        <v>503</v>
      </c>
      <c r="F880" s="8" t="inlineStr">
        <is>
          <t>Yes</t>
        </is>
      </c>
      <c r="G880" s="8" t="n">
        <v>8</v>
      </c>
    </row>
    <row r="881">
      <c r="A881" s="8" t="inlineStr">
        <is>
          <t>POST</t>
        </is>
      </c>
      <c r="B881" s="8" t="inlineStr">
        <is>
          <t>/api/v1/hr/grievances/{id}/updates</t>
        </is>
      </c>
      <c r="C881" s="8" t="inlineStr">
        <is>
          <t>READ</t>
        </is>
      </c>
      <c r="D881" s="8" t="inlineStr">
        <is>
          <t>worker/src/routes/hr/concerns.ts</t>
        </is>
      </c>
      <c r="E881" s="8" t="n">
        <v>504</v>
      </c>
      <c r="F881" s="8" t="inlineStr">
        <is>
          <t>Yes</t>
        </is>
      </c>
      <c r="G881" s="8" t="n">
        <v>8</v>
      </c>
    </row>
    <row r="882">
      <c r="A882" s="8" t="inlineStr">
        <is>
          <t>POST</t>
        </is>
      </c>
      <c r="B882" s="8" t="inlineStr">
        <is>
          <t>/api/v1/hr/grievances/{id}/acknowledge</t>
        </is>
      </c>
      <c r="C882" s="8" t="inlineStr">
        <is>
          <t>READ</t>
        </is>
      </c>
      <c r="D882" s="8" t="inlineStr">
        <is>
          <t>worker/src/routes/hr/concerns.ts</t>
        </is>
      </c>
      <c r="E882" s="8" t="n">
        <v>505</v>
      </c>
      <c r="F882" s="8" t="inlineStr">
        <is>
          <t>Yes</t>
        </is>
      </c>
      <c r="G882" s="8" t="n">
        <v>8</v>
      </c>
    </row>
    <row r="883">
      <c r="A883" s="8" t="inlineStr">
        <is>
          <t>POST</t>
        </is>
      </c>
      <c r="B883" s="8" t="inlineStr">
        <is>
          <t>/api/v1/hr/grievances/{id}/start</t>
        </is>
      </c>
      <c r="C883" s="8" t="inlineStr">
        <is>
          <t>READ</t>
        </is>
      </c>
      <c r="D883" s="8" t="inlineStr">
        <is>
          <t>worker/src/routes/hr/concerns.ts</t>
        </is>
      </c>
      <c r="E883" s="8" t="n">
        <v>506</v>
      </c>
      <c r="F883" s="8" t="inlineStr">
        <is>
          <t>Yes</t>
        </is>
      </c>
      <c r="G883" s="8" t="n">
        <v>8</v>
      </c>
    </row>
    <row r="884">
      <c r="A884" s="8" t="inlineStr">
        <is>
          <t>PUT</t>
        </is>
      </c>
      <c r="B884" s="8" t="inlineStr">
        <is>
          <t>/api/v1/hr/grievances/{id}/assign</t>
        </is>
      </c>
      <c r="C884" s="8" t="inlineStr">
        <is>
          <t>READ</t>
        </is>
      </c>
      <c r="D884" s="8" t="inlineStr">
        <is>
          <t>worker/src/routes/hr/concerns.ts</t>
        </is>
      </c>
      <c r="E884" s="8" t="n">
        <v>507</v>
      </c>
      <c r="F884" s="8" t="inlineStr">
        <is>
          <t>Yes</t>
        </is>
      </c>
      <c r="G884" s="8" t="n">
        <v>8</v>
      </c>
    </row>
    <row r="885">
      <c r="A885" s="8" t="inlineStr">
        <is>
          <t>POST</t>
        </is>
      </c>
      <c r="B885" s="8" t="inlineStr">
        <is>
          <t>/api/v1/hr/grievances/{id}/escalate</t>
        </is>
      </c>
      <c r="C885" s="8" t="inlineStr">
        <is>
          <t>READ</t>
        </is>
      </c>
      <c r="D885" s="8" t="inlineStr">
        <is>
          <t>worker/src/routes/hr/concerns.ts</t>
        </is>
      </c>
      <c r="E885" s="8" t="n">
        <v>508</v>
      </c>
      <c r="F885" s="8" t="inlineStr">
        <is>
          <t>Yes</t>
        </is>
      </c>
      <c r="G885" s="8" t="n">
        <v>8</v>
      </c>
    </row>
    <row r="886">
      <c r="A886" s="8" t="inlineStr">
        <is>
          <t>POST</t>
        </is>
      </c>
      <c r="B886" s="8" t="inlineStr">
        <is>
          <t>/api/v1/hr/grievances/{id}/decide</t>
        </is>
      </c>
      <c r="C886" s="8" t="inlineStr">
        <is>
          <t>READ</t>
        </is>
      </c>
      <c r="D886" s="8" t="inlineStr">
        <is>
          <t>worker/src/routes/hr/concerns.ts</t>
        </is>
      </c>
      <c r="E886" s="8" t="n">
        <v>509</v>
      </c>
      <c r="F886" s="8" t="inlineStr">
        <is>
          <t>Yes</t>
        </is>
      </c>
      <c r="G886" s="8" t="n">
        <v>8</v>
      </c>
    </row>
    <row r="887">
      <c r="A887" s="8" t="inlineStr">
        <is>
          <t>GET</t>
        </is>
      </c>
      <c r="B887" s="8" t="inlineStr">
        <is>
          <t>/api/v1/hr/onboarding</t>
        </is>
      </c>
      <c r="C887" s="8" t="inlineStr">
        <is>
          <t>READ</t>
        </is>
      </c>
      <c r="D887" s="8" t="inlineStr">
        <is>
          <t>worker/src/routes/hr/lifecycle.ts</t>
        </is>
      </c>
      <c r="E887" s="8" t="n">
        <v>31</v>
      </c>
      <c r="F887" s="8" t="inlineStr">
        <is>
          <t>Yes</t>
        </is>
      </c>
      <c r="G887" s="8" t="n">
        <v>21</v>
      </c>
    </row>
    <row r="888">
      <c r="A888" s="8" t="inlineStr">
        <is>
          <t>POST</t>
        </is>
      </c>
      <c r="B888" s="8" t="inlineStr">
        <is>
          <t>/api/v1/hr/onboarding</t>
        </is>
      </c>
      <c r="C888" s="8" t="inlineStr">
        <is>
          <t>WRITE</t>
        </is>
      </c>
      <c r="D888" s="8" t="inlineStr">
        <is>
          <t>worker/src/routes/hr/lifecycle.ts</t>
        </is>
      </c>
      <c r="E888" s="8" t="n">
        <v>52</v>
      </c>
      <c r="F888" s="8" t="inlineStr">
        <is>
          <t>Yes</t>
        </is>
      </c>
      <c r="G888" s="8" t="n">
        <v>21</v>
      </c>
    </row>
    <row r="889">
      <c r="A889" s="8" t="inlineStr">
        <is>
          <t>GET</t>
        </is>
      </c>
      <c r="B889" s="8" t="inlineStr">
        <is>
          <t>/api/v1/hr/exits</t>
        </is>
      </c>
      <c r="C889" s="8" t="inlineStr">
        <is>
          <t>READ</t>
        </is>
      </c>
      <c r="D889" s="8" t="inlineStr">
        <is>
          <t>worker/src/routes/hr/lifecycle.ts</t>
        </is>
      </c>
      <c r="E889" s="8" t="n">
        <v>92</v>
      </c>
      <c r="F889" s="8" t="inlineStr">
        <is>
          <t>Yes</t>
        </is>
      </c>
      <c r="G889" s="8" t="n">
        <v>21</v>
      </c>
    </row>
    <row r="890">
      <c r="A890" s="8" t="inlineStr">
        <is>
          <t>POST</t>
        </is>
      </c>
      <c r="B890" s="8" t="inlineStr">
        <is>
          <t>/api/v1/hr/exits</t>
        </is>
      </c>
      <c r="C890" s="8" t="inlineStr">
        <is>
          <t>WRITE</t>
        </is>
      </c>
      <c r="D890" s="8" t="inlineStr">
        <is>
          <t>worker/src/routes/hr/lifecycle.ts</t>
        </is>
      </c>
      <c r="E890" s="8" t="n">
        <v>106</v>
      </c>
      <c r="F890" s="8" t="inlineStr">
        <is>
          <t>Yes</t>
        </is>
      </c>
      <c r="G890" s="8" t="n">
        <v>21</v>
      </c>
    </row>
    <row r="891">
      <c r="A891" s="8" t="inlineStr">
        <is>
          <t>POST</t>
        </is>
      </c>
      <c r="B891" s="8" t="inlineStr">
        <is>
          <t>/api/v1/hr/exits/{id}/interview</t>
        </is>
      </c>
      <c r="C891" s="8" t="inlineStr">
        <is>
          <t>WRITE</t>
        </is>
      </c>
      <c r="D891" s="8" t="inlineStr">
        <is>
          <t>worker/src/routes/hr/lifecycle.ts</t>
        </is>
      </c>
      <c r="E891" s="8" t="n">
        <v>124</v>
      </c>
      <c r="F891" s="8" t="inlineStr">
        <is>
          <t>Yes</t>
        </is>
      </c>
      <c r="G891" s="8" t="n">
        <v>21</v>
      </c>
    </row>
    <row r="892">
      <c r="A892" s="8" t="inlineStr">
        <is>
          <t>GET</t>
        </is>
      </c>
      <c r="B892" s="8" t="inlineStr">
        <is>
          <t>/api/v1/hr/exits/{id}/clearances</t>
        </is>
      </c>
      <c r="C892" s="8" t="inlineStr">
        <is>
          <t>READ</t>
        </is>
      </c>
      <c r="D892" s="8" t="inlineStr">
        <is>
          <t>worker/src/routes/hr/lifecycle.ts</t>
        </is>
      </c>
      <c r="E892" s="8" t="n">
        <v>138</v>
      </c>
      <c r="F892" s="8" t="inlineStr">
        <is>
          <t>Yes</t>
        </is>
      </c>
      <c r="G892" s="8" t="n">
        <v>21</v>
      </c>
    </row>
    <row r="893">
      <c r="A893" s="8" t="inlineStr">
        <is>
          <t>POST</t>
        </is>
      </c>
      <c r="B893" s="8" t="inlineStr">
        <is>
          <t>/api/v1/hr/exits/{id}/clearances</t>
        </is>
      </c>
      <c r="C893" s="8" t="inlineStr">
        <is>
          <t>WRITE</t>
        </is>
      </c>
      <c r="D893" s="8" t="inlineStr">
        <is>
          <t>worker/src/routes/hr/lifecycle.ts</t>
        </is>
      </c>
      <c r="E893" s="8" t="n">
        <v>148</v>
      </c>
      <c r="F893" s="8" t="inlineStr">
        <is>
          <t>Yes</t>
        </is>
      </c>
      <c r="G893" s="8" t="n">
        <v>21</v>
      </c>
    </row>
    <row r="894">
      <c r="A894" s="8" t="inlineStr">
        <is>
          <t>GET</t>
        </is>
      </c>
      <c r="B894" s="8" t="inlineStr">
        <is>
          <t>/api/v1/hr/clearance-departments</t>
        </is>
      </c>
      <c r="C894" s="8" t="inlineStr">
        <is>
          <t>READ</t>
        </is>
      </c>
      <c r="D894" s="8" t="inlineStr">
        <is>
          <t>worker/src/routes/hr/lifecycle.ts</t>
        </is>
      </c>
      <c r="E894" s="8" t="n">
        <v>165</v>
      </c>
      <c r="F894" s="8" t="inlineStr">
        <is>
          <t>No</t>
        </is>
      </c>
      <c r="G894" s="8" t="n">
        <v>21</v>
      </c>
    </row>
    <row r="895">
      <c r="A895" s="8" t="inlineStr">
        <is>
          <t>POST</t>
        </is>
      </c>
      <c r="B895" s="8" t="inlineStr">
        <is>
          <t>/api/v1/hr/exits/{id}/relieve</t>
        </is>
      </c>
      <c r="C895" s="8" t="inlineStr">
        <is>
          <t>WRITE</t>
        </is>
      </c>
      <c r="D895" s="8" t="inlineStr">
        <is>
          <t>worker/src/routes/hr/lifecycle.ts</t>
        </is>
      </c>
      <c r="E895" s="8" t="n">
        <v>170</v>
      </c>
      <c r="F895" s="8" t="inlineStr">
        <is>
          <t>Yes</t>
        </is>
      </c>
      <c r="G895" s="8" t="n">
        <v>21</v>
      </c>
    </row>
    <row r="896">
      <c r="A896" s="8" t="inlineStr">
        <is>
          <t>POST</t>
        </is>
      </c>
      <c r="B896" s="8" t="inlineStr">
        <is>
          <t>/api/v1/hr/exits/{id}/settle</t>
        </is>
      </c>
      <c r="C896" s="8" t="inlineStr">
        <is>
          <t>WRITE</t>
        </is>
      </c>
      <c r="D896" s="8" t="inlineStr">
        <is>
          <t>worker/src/routes/hr/lifecycle.ts</t>
        </is>
      </c>
      <c r="E896" s="8" t="n">
        <v>197</v>
      </c>
      <c r="F896" s="8" t="inlineStr">
        <is>
          <t>Yes</t>
        </is>
      </c>
      <c r="G896" s="8" t="n">
        <v>21</v>
      </c>
    </row>
    <row r="897">
      <c r="A897" s="8" t="inlineStr">
        <is>
          <t>GET</t>
        </is>
      </c>
      <c r="B897" s="8" t="inlineStr">
        <is>
          <t>/api/v1/hr/service-certificates</t>
        </is>
      </c>
      <c r="C897" s="8" t="inlineStr">
        <is>
          <t>READ</t>
        </is>
      </c>
      <c r="D897" s="8" t="inlineStr">
        <is>
          <t>worker/src/routes/hr/lifecycle.ts</t>
        </is>
      </c>
      <c r="E897" s="8" t="n">
        <v>219</v>
      </c>
      <c r="F897" s="8" t="inlineStr">
        <is>
          <t>Yes</t>
        </is>
      </c>
      <c r="G897" s="8" t="n">
        <v>21</v>
      </c>
    </row>
    <row r="898">
      <c r="A898" s="8" t="inlineStr">
        <is>
          <t>GET</t>
        </is>
      </c>
      <c r="B898" s="8" t="inlineStr">
        <is>
          <t>/api/v1/hr/transfers</t>
        </is>
      </c>
      <c r="C898" s="8" t="inlineStr">
        <is>
          <t>READ</t>
        </is>
      </c>
      <c r="D898" s="8" t="inlineStr">
        <is>
          <t>worker/src/routes/hr/lifecycle.ts</t>
        </is>
      </c>
      <c r="E898" s="8" t="n">
        <v>231</v>
      </c>
      <c r="F898" s="8" t="inlineStr">
        <is>
          <t>Yes</t>
        </is>
      </c>
      <c r="G898" s="8" t="n">
        <v>21</v>
      </c>
    </row>
    <row r="899">
      <c r="A899" s="8" t="inlineStr">
        <is>
          <t>POST</t>
        </is>
      </c>
      <c r="B899" s="8" t="inlineStr">
        <is>
          <t>/api/v1/hr/transfers</t>
        </is>
      </c>
      <c r="C899" s="8" t="inlineStr">
        <is>
          <t>WRITE</t>
        </is>
      </c>
      <c r="D899" s="8" t="inlineStr">
        <is>
          <t>worker/src/routes/hr/lifecycle.ts</t>
        </is>
      </c>
      <c r="E899" s="8" t="n">
        <v>244</v>
      </c>
      <c r="F899" s="8" t="inlineStr">
        <is>
          <t>Yes</t>
        </is>
      </c>
      <c r="G899" s="8" t="n">
        <v>21</v>
      </c>
    </row>
    <row r="900">
      <c r="A900" s="8" t="inlineStr">
        <is>
          <t>GET</t>
        </is>
      </c>
      <c r="B900" s="8" t="inlineStr">
        <is>
          <t>/api/v1/hr/seniority</t>
        </is>
      </c>
      <c r="C900" s="8" t="inlineStr">
        <is>
          <t>READ</t>
        </is>
      </c>
      <c r="D900" s="8" t="inlineStr">
        <is>
          <t>worker/src/routes/hr/lifecycle.ts</t>
        </is>
      </c>
      <c r="E900" s="8" t="n">
        <v>275</v>
      </c>
      <c r="F900" s="8" t="inlineStr">
        <is>
          <t>Yes</t>
        </is>
      </c>
      <c r="G900" s="8" t="n">
        <v>21</v>
      </c>
    </row>
    <row r="901">
      <c r="A901" s="8" t="inlineStr">
        <is>
          <t>GET</t>
        </is>
      </c>
      <c r="B901" s="8" t="inlineStr">
        <is>
          <t>/api/v1/hr/service-book</t>
        </is>
      </c>
      <c r="C901" s="8" t="inlineStr">
        <is>
          <t>READ</t>
        </is>
      </c>
      <c r="D901" s="8" t="inlineStr">
        <is>
          <t>worker/src/routes/hr/lifecycle.ts</t>
        </is>
      </c>
      <c r="E901" s="8" t="n">
        <v>291</v>
      </c>
      <c r="F901" s="8" t="inlineStr">
        <is>
          <t>Yes</t>
        </is>
      </c>
      <c r="G901" s="8" t="n">
        <v>21</v>
      </c>
    </row>
    <row r="902">
      <c r="A902" s="8" t="inlineStr">
        <is>
          <t>POST</t>
        </is>
      </c>
      <c r="B902" s="8" t="inlineStr">
        <is>
          <t>/api/v1/hr/service-book</t>
        </is>
      </c>
      <c r="C902" s="8" t="inlineStr">
        <is>
          <t>WRITE</t>
        </is>
      </c>
      <c r="D902" s="8" t="inlineStr">
        <is>
          <t>worker/src/routes/hr/lifecycle.ts</t>
        </is>
      </c>
      <c r="E902" s="8" t="n">
        <v>303</v>
      </c>
      <c r="F902" s="8" t="inlineStr">
        <is>
          <t>Yes</t>
        </is>
      </c>
      <c r="G902" s="8" t="n">
        <v>21</v>
      </c>
    </row>
    <row r="903">
      <c r="A903" s="8" t="inlineStr">
        <is>
          <t>POST</t>
        </is>
      </c>
      <c r="B903" s="8" t="inlineStr">
        <is>
          <t>/api/v1/hr/service-book/{id}/attest</t>
        </is>
      </c>
      <c r="C903" s="8" t="inlineStr">
        <is>
          <t>WRITE</t>
        </is>
      </c>
      <c r="D903" s="8" t="inlineStr">
        <is>
          <t>worker/src/routes/hr/lifecycle.ts</t>
        </is>
      </c>
      <c r="E903" s="8" t="n">
        <v>320</v>
      </c>
      <c r="F903" s="8" t="inlineStr">
        <is>
          <t>Yes</t>
        </is>
      </c>
      <c r="G903" s="8" t="n">
        <v>21</v>
      </c>
    </row>
    <row r="904">
      <c r="A904" s="8" t="inlineStr">
        <is>
          <t>GET</t>
        </is>
      </c>
      <c r="B904" s="8" t="inlineStr">
        <is>
          <t>/api/v1/hr/qualifications</t>
        </is>
      </c>
      <c r="C904" s="8" t="inlineStr">
        <is>
          <t>READ</t>
        </is>
      </c>
      <c r="D904" s="8" t="inlineStr">
        <is>
          <t>worker/src/routes/hr/lifecycle.ts</t>
        </is>
      </c>
      <c r="E904" s="8" t="n">
        <v>329</v>
      </c>
      <c r="F904" s="8" t="inlineStr">
        <is>
          <t>Yes</t>
        </is>
      </c>
      <c r="G904" s="8" t="n">
        <v>21</v>
      </c>
    </row>
    <row r="905">
      <c r="A905" s="8" t="inlineStr">
        <is>
          <t>POST</t>
        </is>
      </c>
      <c r="B905" s="8" t="inlineStr">
        <is>
          <t>/api/v1/hr/qualifications</t>
        </is>
      </c>
      <c r="C905" s="8" t="inlineStr">
        <is>
          <t>WRITE</t>
        </is>
      </c>
      <c r="D905" s="8" t="inlineStr">
        <is>
          <t>worker/src/routes/hr/lifecycle.ts</t>
        </is>
      </c>
      <c r="E905" s="8" t="n">
        <v>345</v>
      </c>
      <c r="F905" s="8" t="inlineStr">
        <is>
          <t>Yes</t>
        </is>
      </c>
      <c r="G905" s="8" t="n">
        <v>21</v>
      </c>
    </row>
    <row r="906">
      <c r="A906" s="8" t="inlineStr">
        <is>
          <t>GET</t>
        </is>
      </c>
      <c r="B906" s="8" t="inlineStr">
        <is>
          <t>/api/v1/hr/medical-fitness</t>
        </is>
      </c>
      <c r="C906" s="8" t="inlineStr">
        <is>
          <t>READ</t>
        </is>
      </c>
      <c r="D906" s="8" t="inlineStr">
        <is>
          <t>worker/src/routes/hr/lifecycle.ts</t>
        </is>
      </c>
      <c r="E906" s="8" t="n">
        <v>377</v>
      </c>
      <c r="F906" s="8" t="inlineStr">
        <is>
          <t>Yes</t>
        </is>
      </c>
      <c r="G906" s="8" t="n">
        <v>21</v>
      </c>
    </row>
    <row r="907">
      <c r="A907" s="8" t="inlineStr">
        <is>
          <t>POST</t>
        </is>
      </c>
      <c r="B907" s="8" t="inlineStr">
        <is>
          <t>/api/v1/hr/medical-fitness</t>
        </is>
      </c>
      <c r="C907" s="8" t="inlineStr">
        <is>
          <t>WRITE</t>
        </is>
      </c>
      <c r="D907" s="8" t="inlineStr">
        <is>
          <t>worker/src/routes/hr/lifecycle.ts</t>
        </is>
      </c>
      <c r="E907" s="8" t="n">
        <v>393</v>
      </c>
      <c r="F907" s="8" t="inlineStr">
        <is>
          <t>Yes</t>
        </is>
      </c>
      <c r="G907" s="8" t="n">
        <v>21</v>
      </c>
    </row>
    <row r="908">
      <c r="A908" s="8" t="inlineStr">
        <is>
          <t>GET</t>
        </is>
      </c>
      <c r="B908" s="8" t="inlineStr">
        <is>
          <t>/api/v1/hr/background-checks</t>
        </is>
      </c>
      <c r="C908" s="8" t="inlineStr">
        <is>
          <t>READ</t>
        </is>
      </c>
      <c r="D908" s="8" t="inlineStr">
        <is>
          <t>worker/src/routes/hr/lifecycle.ts</t>
        </is>
      </c>
      <c r="E908" s="8" t="n">
        <v>417</v>
      </c>
      <c r="F908" s="8" t="inlineStr">
        <is>
          <t>Yes</t>
        </is>
      </c>
      <c r="G908" s="8" t="n">
        <v>21</v>
      </c>
    </row>
    <row r="909">
      <c r="A909" s="8" t="inlineStr">
        <is>
          <t>POST</t>
        </is>
      </c>
      <c r="B909" s="8" t="inlineStr">
        <is>
          <t>/api/v1/hr/background-checks</t>
        </is>
      </c>
      <c r="C909" s="8" t="inlineStr">
        <is>
          <t>WRITE</t>
        </is>
      </c>
      <c r="D909" s="8" t="inlineStr">
        <is>
          <t>worker/src/routes/hr/lifecycle.ts</t>
        </is>
      </c>
      <c r="E909" s="8" t="n">
        <v>432</v>
      </c>
      <c r="F909" s="8" t="inlineStr">
        <is>
          <t>Yes</t>
        </is>
      </c>
      <c r="G909" s="8" t="n">
        <v>21</v>
      </c>
    </row>
    <row r="910">
      <c r="A910" s="8" t="inlineStr">
        <is>
          <t>GET</t>
        </is>
      </c>
      <c r="B910" s="8" t="inlineStr">
        <is>
          <t>/api/v1/hr/celebrations</t>
        </is>
      </c>
      <c r="C910" s="8" t="inlineStr">
        <is>
          <t>READ</t>
        </is>
      </c>
      <c r="D910" s="8" t="inlineStr">
        <is>
          <t>worker/src/routes/hr/lifecycle.ts</t>
        </is>
      </c>
      <c r="E910" s="8" t="n">
        <v>465</v>
      </c>
      <c r="F910" s="8" t="inlineStr">
        <is>
          <t>Yes</t>
        </is>
      </c>
      <c r="G910" s="8" t="n">
        <v>21</v>
      </c>
    </row>
    <row r="911">
      <c r="A911" s="8" t="inlineStr">
        <is>
          <t>POST</t>
        </is>
      </c>
      <c r="B911" s="8" t="inlineStr">
        <is>
          <t>/api/v1/hr/celebrations/greet</t>
        </is>
      </c>
      <c r="C911" s="8" t="inlineStr">
        <is>
          <t>WRITE</t>
        </is>
      </c>
      <c r="D911" s="8" t="inlineStr">
        <is>
          <t>worker/src/routes/hr/lifecycle.ts</t>
        </is>
      </c>
      <c r="E911" s="8" t="n">
        <v>503</v>
      </c>
      <c r="F911" s="8" t="inlineStr">
        <is>
          <t>Yes</t>
        </is>
      </c>
      <c r="G911" s="8" t="n">
        <v>21</v>
      </c>
    </row>
    <row r="912">
      <c r="A912" s="8" t="inlineStr">
        <is>
          <t>GET</t>
        </is>
      </c>
      <c r="B912" s="8" t="inlineStr">
        <is>
          <t>/api/v1/hr/recognitions</t>
        </is>
      </c>
      <c r="C912" s="8" t="inlineStr">
        <is>
          <t>READ</t>
        </is>
      </c>
      <c r="D912" s="8" t="inlineStr">
        <is>
          <t>worker/src/routes/hr/lifecycle.ts</t>
        </is>
      </c>
      <c r="E912" s="8" t="n">
        <v>518</v>
      </c>
      <c r="F912" s="8" t="inlineStr">
        <is>
          <t>Yes</t>
        </is>
      </c>
      <c r="G912" s="8" t="n">
        <v>21</v>
      </c>
    </row>
    <row r="913">
      <c r="A913" s="8" t="inlineStr">
        <is>
          <t>POST</t>
        </is>
      </c>
      <c r="B913" s="8" t="inlineStr">
        <is>
          <t>/api/v1/hr/recognitions</t>
        </is>
      </c>
      <c r="C913" s="8" t="inlineStr">
        <is>
          <t>WRITE</t>
        </is>
      </c>
      <c r="D913" s="8" t="inlineStr">
        <is>
          <t>worker/src/routes/hr/lifecycle.ts</t>
        </is>
      </c>
      <c r="E913" s="8" t="n">
        <v>532</v>
      </c>
      <c r="F913" s="8" t="inlineStr">
        <is>
          <t>Yes</t>
        </is>
      </c>
      <c r="G913" s="8" t="n">
        <v>21</v>
      </c>
    </row>
    <row r="914">
      <c r="A914" s="8" t="inlineStr">
        <is>
          <t>GET</t>
        </is>
      </c>
      <c r="B914" s="8" t="inlineStr">
        <is>
          <t>/api/v1/hr/leave-policy</t>
        </is>
      </c>
      <c r="C914" s="8" t="inlineStr">
        <is>
          <t>READ</t>
        </is>
      </c>
      <c r="D914" s="8" t="inlineStr">
        <is>
          <t>worker/src/routes/hr/lifecycle.ts</t>
        </is>
      </c>
      <c r="E914" s="8" t="n">
        <v>561</v>
      </c>
      <c r="F914" s="8" t="inlineStr">
        <is>
          <t>Yes</t>
        </is>
      </c>
      <c r="G914" s="8" t="n">
        <v>21</v>
      </c>
    </row>
    <row r="915">
      <c r="A915" s="8" t="inlineStr">
        <is>
          <t>POST</t>
        </is>
      </c>
      <c r="B915" s="8" t="inlineStr">
        <is>
          <t>/api/v1/hr/leave-policy</t>
        </is>
      </c>
      <c r="C915" s="8" t="inlineStr">
        <is>
          <t>WRITE</t>
        </is>
      </c>
      <c r="D915" s="8" t="inlineStr">
        <is>
          <t>worker/src/routes/hr/lifecycle.ts</t>
        </is>
      </c>
      <c r="E915" s="8" t="n">
        <v>586</v>
      </c>
      <c r="F915" s="8" t="inlineStr">
        <is>
          <t>Yes</t>
        </is>
      </c>
      <c r="G915" s="8" t="n">
        <v>21</v>
      </c>
    </row>
    <row r="916">
      <c r="A916" s="8" t="inlineStr">
        <is>
          <t>GET</t>
        </is>
      </c>
      <c r="B916" s="8" t="inlineStr">
        <is>
          <t>/api/v1/hr/lop</t>
        </is>
      </c>
      <c r="C916" s="8" t="inlineStr">
        <is>
          <t>READ</t>
        </is>
      </c>
      <c r="D916" s="8" t="inlineStr">
        <is>
          <t>worker/src/routes/hr/lifecycle.ts</t>
        </is>
      </c>
      <c r="E916" s="8" t="n">
        <v>618</v>
      </c>
      <c r="F916" s="8" t="inlineStr">
        <is>
          <t>Yes</t>
        </is>
      </c>
      <c r="G916" s="8" t="n">
        <v>21</v>
      </c>
    </row>
    <row r="917">
      <c r="A917" s="8" t="inlineStr">
        <is>
          <t>GET</t>
        </is>
      </c>
      <c r="B917" s="8" t="inlineStr">
        <is>
          <t>/api/v1/office/visitors</t>
        </is>
      </c>
      <c r="C917" s="8" t="inlineStr">
        <is>
          <t>READ</t>
        </is>
      </c>
      <c r="D917" s="8" t="inlineStr">
        <is>
          <t>worker/src/routes/hr/office.ts</t>
        </is>
      </c>
      <c r="E917" s="8" t="n">
        <v>19</v>
      </c>
      <c r="F917" s="8" t="inlineStr">
        <is>
          <t>Yes</t>
        </is>
      </c>
      <c r="G917" s="8" t="n">
        <v>9</v>
      </c>
    </row>
    <row r="918">
      <c r="A918" s="8" t="inlineStr">
        <is>
          <t>POST</t>
        </is>
      </c>
      <c r="B918" s="8" t="inlineStr">
        <is>
          <t>/api/v1/office/visitors</t>
        </is>
      </c>
      <c r="C918" s="8" t="inlineStr">
        <is>
          <t>WRITE</t>
        </is>
      </c>
      <c r="D918" s="8" t="inlineStr">
        <is>
          <t>worker/src/routes/hr/office.ts</t>
        </is>
      </c>
      <c r="E918" s="8" t="n">
        <v>33</v>
      </c>
      <c r="F918" s="8" t="inlineStr">
        <is>
          <t>Yes</t>
        </is>
      </c>
      <c r="G918" s="8" t="n">
        <v>9</v>
      </c>
    </row>
    <row r="919">
      <c r="A919" s="8" t="inlineStr">
        <is>
          <t>POST</t>
        </is>
      </c>
      <c r="B919" s="8" t="inlineStr">
        <is>
          <t>/api/v1/office/visitors/{id}/out</t>
        </is>
      </c>
      <c r="C919" s="8" t="inlineStr">
        <is>
          <t>WRITE</t>
        </is>
      </c>
      <c r="D919" s="8" t="inlineStr">
        <is>
          <t>worker/src/routes/hr/office.ts</t>
        </is>
      </c>
      <c r="E919" s="8" t="n">
        <v>55</v>
      </c>
      <c r="F919" s="8" t="inlineStr">
        <is>
          <t>Yes</t>
        </is>
      </c>
      <c r="G919" s="8" t="n">
        <v>9</v>
      </c>
    </row>
    <row r="920">
      <c r="A920" s="8" t="inlineStr">
        <is>
          <t>GET</t>
        </is>
      </c>
      <c r="B920" s="8" t="inlineStr">
        <is>
          <t>/api/v1/office/blocklist</t>
        </is>
      </c>
      <c r="C920" s="8" t="inlineStr">
        <is>
          <t>READ</t>
        </is>
      </c>
      <c r="D920" s="8" t="inlineStr">
        <is>
          <t>worker/src/routes/hr/office.ts</t>
        </is>
      </c>
      <c r="E920" s="8" t="n">
        <v>64</v>
      </c>
      <c r="F920" s="8" t="inlineStr">
        <is>
          <t>Yes</t>
        </is>
      </c>
      <c r="G920" s="8" t="n">
        <v>9</v>
      </c>
    </row>
    <row r="921">
      <c r="A921" s="8" t="inlineStr">
        <is>
          <t>POST</t>
        </is>
      </c>
      <c r="B921" s="8" t="inlineStr">
        <is>
          <t>/api/v1/office/blocklist</t>
        </is>
      </c>
      <c r="C921" s="8" t="inlineStr">
        <is>
          <t>WRITE</t>
        </is>
      </c>
      <c r="D921" s="8" t="inlineStr">
        <is>
          <t>worker/src/routes/hr/office.ts</t>
        </is>
      </c>
      <c r="E921" s="8" t="n">
        <v>73</v>
      </c>
      <c r="F921" s="8" t="inlineStr">
        <is>
          <t>Yes</t>
        </is>
      </c>
      <c r="G921" s="8" t="n">
        <v>9</v>
      </c>
    </row>
    <row r="922">
      <c r="A922" s="8" t="inlineStr">
        <is>
          <t>GET</t>
        </is>
      </c>
      <c r="B922" s="8" t="inlineStr">
        <is>
          <t>/api/v1/office/staff</t>
        </is>
      </c>
      <c r="C922" s="8" t="inlineStr">
        <is>
          <t>READ</t>
        </is>
      </c>
      <c r="D922" s="8" t="inlineStr">
        <is>
          <t>worker/src/routes/hr/office.ts</t>
        </is>
      </c>
      <c r="E922" s="8" t="n">
        <v>85</v>
      </c>
      <c r="F922" s="8" t="inlineStr">
        <is>
          <t>Yes</t>
        </is>
      </c>
      <c r="G922" s="8" t="n">
        <v>9</v>
      </c>
    </row>
    <row r="923">
      <c r="A923" s="8" t="inlineStr">
        <is>
          <t>GET</t>
        </is>
      </c>
      <c r="B923" s="8" t="inlineStr">
        <is>
          <t>/api/v1/office/appointments</t>
        </is>
      </c>
      <c r="C923" s="8" t="inlineStr">
        <is>
          <t>READ</t>
        </is>
      </c>
      <c r="D923" s="8" t="inlineStr">
        <is>
          <t>worker/src/routes/hr/office.ts</t>
        </is>
      </c>
      <c r="E923" s="8" t="n">
        <v>91</v>
      </c>
      <c r="F923" s="8" t="inlineStr">
        <is>
          <t>Yes</t>
        </is>
      </c>
      <c r="G923" s="8" t="n">
        <v>9</v>
      </c>
    </row>
    <row r="924">
      <c r="A924" s="8" t="inlineStr">
        <is>
          <t>POST</t>
        </is>
      </c>
      <c r="B924" s="8" t="inlineStr">
        <is>
          <t>/api/v1/office/appointments</t>
        </is>
      </c>
      <c r="C924" s="8" t="inlineStr">
        <is>
          <t>WRITE</t>
        </is>
      </c>
      <c r="D924" s="8" t="inlineStr">
        <is>
          <t>worker/src/routes/hr/office.ts</t>
        </is>
      </c>
      <c r="E924" s="8" t="n">
        <v>106</v>
      </c>
      <c r="F924" s="8" t="inlineStr">
        <is>
          <t>Yes</t>
        </is>
      </c>
      <c r="G924" s="8" t="n">
        <v>9</v>
      </c>
    </row>
    <row r="925">
      <c r="A925" s="8" t="inlineStr">
        <is>
          <t>GET</t>
        </is>
      </c>
      <c r="B925" s="8" t="inlineStr">
        <is>
          <t>/api/v1/office/calls</t>
        </is>
      </c>
      <c r="C925" s="8" t="inlineStr">
        <is>
          <t>READ</t>
        </is>
      </c>
      <c r="D925" s="8" t="inlineStr">
        <is>
          <t>worker/src/routes/hr/office.ts</t>
        </is>
      </c>
      <c r="E925" s="8" t="n">
        <v>135</v>
      </c>
      <c r="F925" s="8" t="inlineStr">
        <is>
          <t>Yes</t>
        </is>
      </c>
      <c r="G925" s="8" t="n">
        <v>9</v>
      </c>
    </row>
    <row r="926">
      <c r="A926" s="8" t="inlineStr">
        <is>
          <t>POST</t>
        </is>
      </c>
      <c r="B926" s="8" t="inlineStr">
        <is>
          <t>/api/v1/office/calls</t>
        </is>
      </c>
      <c r="C926" s="8" t="inlineStr">
        <is>
          <t>WRITE</t>
        </is>
      </c>
      <c r="D926" s="8" t="inlineStr">
        <is>
          <t>worker/src/routes/hr/office.ts</t>
        </is>
      </c>
      <c r="E926" s="8" t="n">
        <v>147</v>
      </c>
      <c r="F926" s="8" t="inlineStr">
        <is>
          <t>Yes</t>
        </is>
      </c>
      <c r="G926" s="8" t="n">
        <v>9</v>
      </c>
    </row>
    <row r="927">
      <c r="A927" s="8" t="inlineStr">
        <is>
          <t>GET</t>
        </is>
      </c>
      <c r="B927" s="8" t="inlineStr">
        <is>
          <t>/api/v1/office/courier</t>
        </is>
      </c>
      <c r="C927" s="8" t="inlineStr">
        <is>
          <t>READ</t>
        </is>
      </c>
      <c r="D927" s="8" t="inlineStr">
        <is>
          <t>worker/src/routes/hr/office.ts</t>
        </is>
      </c>
      <c r="E927" s="8" t="n">
        <v>169</v>
      </c>
      <c r="F927" s="8" t="inlineStr">
        <is>
          <t>Yes</t>
        </is>
      </c>
      <c r="G927" s="8" t="n">
        <v>9</v>
      </c>
    </row>
    <row r="928">
      <c r="A928" s="8" t="inlineStr">
        <is>
          <t>POST</t>
        </is>
      </c>
      <c r="B928" s="8" t="inlineStr">
        <is>
          <t>/api/v1/office/courier</t>
        </is>
      </c>
      <c r="C928" s="8" t="inlineStr">
        <is>
          <t>WRITE</t>
        </is>
      </c>
      <c r="D928" s="8" t="inlineStr">
        <is>
          <t>worker/src/routes/hr/office.ts</t>
        </is>
      </c>
      <c r="E928" s="8" t="n">
        <v>178</v>
      </c>
      <c r="F928" s="8" t="inlineStr">
        <is>
          <t>Yes</t>
        </is>
      </c>
      <c r="G928" s="8" t="n">
        <v>9</v>
      </c>
    </row>
    <row r="929">
      <c r="A929" s="8" t="inlineStr">
        <is>
          <t>GET</t>
        </is>
      </c>
      <c r="B929" s="8" t="inlineStr">
        <is>
          <t>/api/v1/hr/leave</t>
        </is>
      </c>
      <c r="C929" s="8" t="inlineStr">
        <is>
          <t>auth</t>
        </is>
      </c>
      <c r="D929" s="8" t="inlineStr">
        <is>
          <t>worker/src/routes/hr/staff.ts</t>
        </is>
      </c>
      <c r="E929" s="8" t="n">
        <v>260</v>
      </c>
      <c r="F929" s="8" t="inlineStr">
        <is>
          <t>Yes</t>
        </is>
      </c>
      <c r="G929" s="8" t="n">
        <v>33</v>
      </c>
    </row>
    <row r="930">
      <c r="A930" s="8" t="inlineStr">
        <is>
          <t>GET</t>
        </is>
      </c>
      <c r="B930" s="8" t="inlineStr">
        <is>
          <t>/api/v1/hr/leave-types</t>
        </is>
      </c>
      <c r="C930" s="8" t="inlineStr">
        <is>
          <t>auth</t>
        </is>
      </c>
      <c r="D930" s="8" t="inlineStr">
        <is>
          <t>worker/src/routes/hr/staff.ts</t>
        </is>
      </c>
      <c r="E930" s="8" t="n">
        <v>273</v>
      </c>
      <c r="F930" s="8" t="inlineStr">
        <is>
          <t>Yes</t>
        </is>
      </c>
      <c r="G930" s="8" t="n">
        <v>33</v>
      </c>
    </row>
    <row r="931">
      <c r="A931" s="8" t="inlineStr">
        <is>
          <t>POST</t>
        </is>
      </c>
      <c r="B931" s="8" t="inlineStr">
        <is>
          <t>/api/v1/hr/leave-types</t>
        </is>
      </c>
      <c r="C931" s="8" t="inlineStr">
        <is>
          <t>WRITE</t>
        </is>
      </c>
      <c r="D931" s="8" t="inlineStr">
        <is>
          <t>worker/src/routes/hr/staff.ts</t>
        </is>
      </c>
      <c r="E931" s="8" t="n">
        <v>281</v>
      </c>
      <c r="F931" s="8" t="inlineStr">
        <is>
          <t>Yes</t>
        </is>
      </c>
      <c r="G931" s="8" t="n">
        <v>33</v>
      </c>
    </row>
    <row r="932">
      <c r="A932" s="8" t="inlineStr">
        <is>
          <t>DELETE</t>
        </is>
      </c>
      <c r="B932" s="8" t="inlineStr">
        <is>
          <t>/api/v1/hr/leave-types/{id}</t>
        </is>
      </c>
      <c r="C932" s="8" t="inlineStr">
        <is>
          <t>WRITE</t>
        </is>
      </c>
      <c r="D932" s="8" t="inlineStr">
        <is>
          <t>worker/src/routes/hr/staff.ts</t>
        </is>
      </c>
      <c r="E932" s="8" t="n">
        <v>296</v>
      </c>
      <c r="F932" s="8" t="inlineStr">
        <is>
          <t>Yes</t>
        </is>
      </c>
      <c r="G932" s="8" t="n">
        <v>33</v>
      </c>
    </row>
    <row r="933">
      <c r="A933" s="8" t="inlineStr">
        <is>
          <t>GET</t>
        </is>
      </c>
      <c r="B933" s="8" t="inlineStr">
        <is>
          <t>/api/v1/hr/dashboard</t>
        </is>
      </c>
      <c r="C933" s="8" t="inlineStr">
        <is>
          <t>READ</t>
        </is>
      </c>
      <c r="D933" s="8" t="inlineStr">
        <is>
          <t>worker/src/routes/hr/staff.ts</t>
        </is>
      </c>
      <c r="E933" s="8" t="n">
        <v>314</v>
      </c>
      <c r="F933" s="8" t="inlineStr">
        <is>
          <t>Yes</t>
        </is>
      </c>
      <c r="G933" s="8" t="n">
        <v>33</v>
      </c>
    </row>
    <row r="934">
      <c r="A934" s="8" t="inlineStr">
        <is>
          <t>GET</t>
        </is>
      </c>
      <c r="B934" s="8" t="inlineStr">
        <is>
          <t>/api/v1/hr/employees</t>
        </is>
      </c>
      <c r="C934" s="8" t="inlineStr">
        <is>
          <t>READ</t>
        </is>
      </c>
      <c r="D934" s="8" t="inlineStr">
        <is>
          <t>worker/src/routes/hr/staff.ts</t>
        </is>
      </c>
      <c r="E934" s="8" t="n">
        <v>349</v>
      </c>
      <c r="F934" s="8" t="inlineStr">
        <is>
          <t>Yes</t>
        </is>
      </c>
      <c r="G934" s="8" t="n">
        <v>33</v>
      </c>
    </row>
    <row r="935">
      <c r="A935" s="8" t="inlineStr">
        <is>
          <t>GET</t>
        </is>
      </c>
      <c r="B935" s="8" t="inlineStr">
        <is>
          <t>/api/v1/hr/employees/unlinked</t>
        </is>
      </c>
      <c r="C935" s="8" t="inlineStr">
        <is>
          <t>READ</t>
        </is>
      </c>
      <c r="D935" s="8" t="inlineStr">
        <is>
          <t>worker/src/routes/hr/staff.ts</t>
        </is>
      </c>
      <c r="E935" s="8" t="n">
        <v>381</v>
      </c>
      <c r="F935" s="8" t="inlineStr">
        <is>
          <t>Yes</t>
        </is>
      </c>
      <c r="G935" s="8" t="n">
        <v>33</v>
      </c>
    </row>
    <row r="936">
      <c r="A936" s="8" t="inlineStr">
        <is>
          <t>GET</t>
        </is>
      </c>
      <c r="B936" s="8" t="inlineStr">
        <is>
          <t>/api/v1/hr/staff/overview/report</t>
        </is>
      </c>
      <c r="C936" s="8" t="inlineStr">
        <is>
          <t>READ</t>
        </is>
      </c>
      <c r="D936" s="8" t="inlineStr">
        <is>
          <t>worker/src/routes/hr/staff.ts</t>
        </is>
      </c>
      <c r="E936" s="8" t="n">
        <v>393</v>
      </c>
      <c r="F936" s="8" t="inlineStr">
        <is>
          <t>Yes</t>
        </is>
      </c>
      <c r="G936" s="8" t="n">
        <v>33</v>
      </c>
    </row>
    <row r="937">
      <c r="A937" s="8" t="inlineStr">
        <is>
          <t>GET</t>
        </is>
      </c>
      <c r="B937" s="8" t="inlineStr">
        <is>
          <t>/api/v1/hr/employees/{id}/detail</t>
        </is>
      </c>
      <c r="C937" s="8" t="inlineStr">
        <is>
          <t>READ</t>
        </is>
      </c>
      <c r="D937" s="8" t="inlineStr">
        <is>
          <t>worker/src/routes/hr/staff.ts</t>
        </is>
      </c>
      <c r="E937" s="8" t="n">
        <v>408</v>
      </c>
      <c r="F937" s="8" t="inlineStr">
        <is>
          <t>Yes</t>
        </is>
      </c>
      <c r="G937" s="8" t="n">
        <v>33</v>
      </c>
    </row>
    <row r="938">
      <c r="A938" s="8" t="inlineStr">
        <is>
          <t>GET</t>
        </is>
      </c>
      <c r="B938" s="8" t="inlineStr">
        <is>
          <t>/api/v1/hr/employees/{id}/overview</t>
        </is>
      </c>
      <c r="C938" s="8" t="inlineStr">
        <is>
          <t>READ</t>
        </is>
      </c>
      <c r="D938" s="8" t="inlineStr">
        <is>
          <t>worker/src/routes/hr/staff.ts</t>
        </is>
      </c>
      <c r="E938" s="8" t="n">
        <v>445</v>
      </c>
      <c r="F938" s="8" t="inlineStr">
        <is>
          <t>Yes</t>
        </is>
      </c>
      <c r="G938" s="8" t="n">
        <v>33</v>
      </c>
    </row>
    <row r="939">
      <c r="A939" s="8" t="inlineStr">
        <is>
          <t>GET</t>
        </is>
      </c>
      <c r="B939" s="8" t="inlineStr">
        <is>
          <t>/api/v1/hr/employees/{id}/overview/report</t>
        </is>
      </c>
      <c r="C939" s="8" t="inlineStr">
        <is>
          <t>READ</t>
        </is>
      </c>
      <c r="D939" s="8" t="inlineStr">
        <is>
          <t>worker/src/routes/hr/staff.ts</t>
        </is>
      </c>
      <c r="E939" s="8" t="n">
        <v>452</v>
      </c>
      <c r="F939" s="8" t="inlineStr">
        <is>
          <t>Yes</t>
        </is>
      </c>
      <c r="G939" s="8" t="n">
        <v>33</v>
      </c>
    </row>
    <row r="940">
      <c r="A940" s="8" t="inlineStr">
        <is>
          <t>GET</t>
        </is>
      </c>
      <c r="B940" s="8" t="inlineStr">
        <is>
          <t>/api/v1/hr/documents</t>
        </is>
      </c>
      <c r="C940" s="8" t="inlineStr">
        <is>
          <t>READ</t>
        </is>
      </c>
      <c r="D940" s="8" t="inlineStr">
        <is>
          <t>worker/src/routes/hr/staff.ts</t>
        </is>
      </c>
      <c r="E940" s="8" t="n">
        <v>460</v>
      </c>
      <c r="F940" s="8" t="inlineStr">
        <is>
          <t>Yes</t>
        </is>
      </c>
      <c r="G940" s="8" t="n">
        <v>33</v>
      </c>
    </row>
    <row r="941">
      <c r="A941" s="8" t="inlineStr">
        <is>
          <t>POST</t>
        </is>
      </c>
      <c r="B941" s="8" t="inlineStr">
        <is>
          <t>/api/v1/hr/letters</t>
        </is>
      </c>
      <c r="C941" s="8" t="inlineStr">
        <is>
          <t>WRITE</t>
        </is>
      </c>
      <c r="D941" s="8" t="inlineStr">
        <is>
          <t>worker/src/routes/hr/staff.ts</t>
        </is>
      </c>
      <c r="E941" s="8" t="n">
        <v>474</v>
      </c>
      <c r="F941" s="8" t="inlineStr">
        <is>
          <t>Yes</t>
        </is>
      </c>
      <c r="G941" s="8" t="n">
        <v>33</v>
      </c>
    </row>
    <row r="942">
      <c r="A942" s="8" t="inlineStr">
        <is>
          <t>POST</t>
        </is>
      </c>
      <c r="B942" s="8" t="inlineStr">
        <is>
          <t>/api/v1/hr/letters/printed</t>
        </is>
      </c>
      <c r="C942" s="8" t="inlineStr">
        <is>
          <t>READ</t>
        </is>
      </c>
      <c r="D942" s="8" t="inlineStr">
        <is>
          <t>worker/src/routes/hr/staff.ts</t>
        </is>
      </c>
      <c r="E942" s="8" t="n">
        <v>494</v>
      </c>
      <c r="F942" s="8" t="inlineStr">
        <is>
          <t>Yes</t>
        </is>
      </c>
      <c r="G942" s="8" t="n">
        <v>33</v>
      </c>
    </row>
    <row r="943">
      <c r="A943" s="8" t="inlineStr">
        <is>
          <t>GET</t>
        </is>
      </c>
      <c r="B943" s="8" t="inlineStr">
        <is>
          <t>/api/v1/hr/letters/prints</t>
        </is>
      </c>
      <c r="C943" s="8" t="inlineStr">
        <is>
          <t>READ</t>
        </is>
      </c>
      <c r="D943" s="8" t="inlineStr">
        <is>
          <t>worker/src/routes/hr/staff.ts</t>
        </is>
      </c>
      <c r="E943" s="8" t="n">
        <v>507</v>
      </c>
      <c r="F943" s="8" t="inlineStr">
        <is>
          <t>Yes</t>
        </is>
      </c>
      <c r="G943" s="8" t="n">
        <v>33</v>
      </c>
    </row>
    <row r="944">
      <c r="A944" s="8" t="inlineStr">
        <is>
          <t>GET</t>
        </is>
      </c>
      <c r="B944" s="8" t="inlineStr">
        <is>
          <t>/api/v1/hr/id-card-template</t>
        </is>
      </c>
      <c r="C944" s="8" t="inlineStr">
        <is>
          <t>READ</t>
        </is>
      </c>
      <c r="D944" s="8" t="inlineStr">
        <is>
          <t>worker/src/routes/hr/staff.ts</t>
        </is>
      </c>
      <c r="E944" s="8" t="n">
        <v>515</v>
      </c>
      <c r="F944" s="8" t="inlineStr">
        <is>
          <t>Yes</t>
        </is>
      </c>
      <c r="G944" s="8" t="n">
        <v>33</v>
      </c>
    </row>
    <row r="945">
      <c r="A945" s="8" t="inlineStr">
        <is>
          <t>PUT</t>
        </is>
      </c>
      <c r="B945" s="8" t="inlineStr">
        <is>
          <t>/api/v1/hr/id-card-template</t>
        </is>
      </c>
      <c r="C945" s="8" t="inlineStr">
        <is>
          <t>WRITE</t>
        </is>
      </c>
      <c r="D945" s="8" t="inlineStr">
        <is>
          <t>worker/src/routes/hr/staff.ts</t>
        </is>
      </c>
      <c r="E945" s="8" t="n">
        <v>521</v>
      </c>
      <c r="F945" s="8" t="inlineStr">
        <is>
          <t>Yes</t>
        </is>
      </c>
      <c r="G945" s="8" t="n">
        <v>33</v>
      </c>
    </row>
    <row r="946">
      <c r="A946" s="8" t="inlineStr">
        <is>
          <t>GET</t>
        </is>
      </c>
      <c r="B946" s="8" t="inlineStr">
        <is>
          <t>/api/v1/hr/punch-grace</t>
        </is>
      </c>
      <c r="C946" s="8" t="inlineStr">
        <is>
          <t>READ</t>
        </is>
      </c>
      <c r="D946" s="8" t="inlineStr">
        <is>
          <t>worker/src/routes/hr/staff.ts</t>
        </is>
      </c>
      <c r="E946" s="8" t="n">
        <v>536</v>
      </c>
      <c r="F946" s="8" t="inlineStr">
        <is>
          <t>Yes</t>
        </is>
      </c>
      <c r="G946" s="8" t="n">
        <v>33</v>
      </c>
    </row>
    <row r="947">
      <c r="A947" s="8" t="inlineStr">
        <is>
          <t>PUT</t>
        </is>
      </c>
      <c r="B947" s="8" t="inlineStr">
        <is>
          <t>/api/v1/hr/punch-grace</t>
        </is>
      </c>
      <c r="C947" s="8" t="inlineStr">
        <is>
          <t>WRITE</t>
        </is>
      </c>
      <c r="D947" s="8" t="inlineStr">
        <is>
          <t>worker/src/routes/hr/staff.ts</t>
        </is>
      </c>
      <c r="E947" s="8" t="n">
        <v>560</v>
      </c>
      <c r="F947" s="8" t="inlineStr">
        <is>
          <t>Yes</t>
        </is>
      </c>
      <c r="G947" s="8" t="n">
        <v>33</v>
      </c>
    </row>
    <row r="948">
      <c r="A948" s="8" t="inlineStr">
        <is>
          <t>POST</t>
        </is>
      </c>
      <c r="B948" s="8" t="inlineStr">
        <is>
          <t>/api/v1/assistant/ask</t>
        </is>
      </c>
      <c r="C948" s="8" t="inlineStr">
        <is>
          <t>auth</t>
        </is>
      </c>
      <c r="D948" s="8" t="inlineStr">
        <is>
          <t>worker/src/routes/misc/assistant.ts</t>
        </is>
      </c>
      <c r="E948" s="8" t="n">
        <v>468</v>
      </c>
      <c r="F948" s="8" t="inlineStr">
        <is>
          <t>Yes</t>
        </is>
      </c>
      <c r="G948" s="8" t="n">
        <v>11</v>
      </c>
    </row>
    <row r="949">
      <c r="A949" s="8" t="inlineStr">
        <is>
          <t>POST</t>
        </is>
      </c>
      <c r="B949" s="8" t="inlineStr">
        <is>
          <t>/api/v1/assistant/chat</t>
        </is>
      </c>
      <c r="C949" s="8" t="inlineStr">
        <is>
          <t>auth</t>
        </is>
      </c>
      <c r="D949" s="8" t="inlineStr">
        <is>
          <t>worker/src/routes/misc/assistant.ts</t>
        </is>
      </c>
      <c r="E949" s="8" t="n">
        <v>469</v>
      </c>
      <c r="F949" s="8" t="inlineStr">
        <is>
          <t>No</t>
        </is>
      </c>
      <c r="G949" s="8" t="n">
        <v>11</v>
      </c>
    </row>
    <row r="950">
      <c r="A950" s="8" t="inlineStr">
        <is>
          <t>POST</t>
        </is>
      </c>
      <c r="B950" s="8" t="inlineStr">
        <is>
          <t>/api/v1/assistant/tts</t>
        </is>
      </c>
      <c r="C950" s="8" t="inlineStr">
        <is>
          <t>auth</t>
        </is>
      </c>
      <c r="D950" s="8" t="inlineStr">
        <is>
          <t>worker/src/routes/misc/assistant.ts</t>
        </is>
      </c>
      <c r="E950" s="8" t="n">
        <v>470</v>
      </c>
      <c r="F950" s="8" t="inlineStr">
        <is>
          <t>Yes</t>
        </is>
      </c>
      <c r="G950" s="8" t="n">
        <v>11</v>
      </c>
    </row>
    <row r="951">
      <c r="A951" s="8" t="inlineStr">
        <is>
          <t>POST</t>
        </is>
      </c>
      <c r="B951" s="8" t="inlineStr">
        <is>
          <t>/api/v1/assistant/action</t>
        </is>
      </c>
      <c r="C951" s="8" t="inlineStr">
        <is>
          <t>auth</t>
        </is>
      </c>
      <c r="D951" s="8" t="inlineStr">
        <is>
          <t>worker/src/routes/misc/assistant.ts</t>
        </is>
      </c>
      <c r="E951" s="8" t="n">
        <v>471</v>
      </c>
      <c r="F951" s="8" t="inlineStr">
        <is>
          <t>Yes</t>
        </is>
      </c>
      <c r="G951" s="8" t="n">
        <v>11</v>
      </c>
    </row>
    <row r="952">
      <c r="A952" s="8" t="inlineStr">
        <is>
          <t>POST</t>
        </is>
      </c>
      <c r="B952" s="8" t="inlineStr">
        <is>
          <t>/api/v1/assistant/import/preview</t>
        </is>
      </c>
      <c r="C952" s="8" t="inlineStr">
        <is>
          <t>auth</t>
        </is>
      </c>
      <c r="D952" s="8" t="inlineStr">
        <is>
          <t>worker/src/routes/misc/assistant.ts</t>
        </is>
      </c>
      <c r="E952" s="8" t="n">
        <v>472</v>
      </c>
      <c r="F952" s="8" t="inlineStr">
        <is>
          <t>Yes</t>
        </is>
      </c>
      <c r="G952" s="8" t="n">
        <v>11</v>
      </c>
    </row>
    <row r="953">
      <c r="A953" s="8" t="inlineStr">
        <is>
          <t>POST</t>
        </is>
      </c>
      <c r="B953" s="8" t="inlineStr">
        <is>
          <t>/api/v1/assistant/import/commit</t>
        </is>
      </c>
      <c r="C953" s="8" t="inlineStr">
        <is>
          <t>auth</t>
        </is>
      </c>
      <c r="D953" s="8" t="inlineStr">
        <is>
          <t>worker/src/routes/misc/assistant.ts</t>
        </is>
      </c>
      <c r="E953" s="8" t="n">
        <v>473</v>
      </c>
      <c r="F953" s="8" t="inlineStr">
        <is>
          <t>Yes</t>
        </is>
      </c>
      <c r="G953" s="8" t="n">
        <v>11</v>
      </c>
    </row>
    <row r="954">
      <c r="A954" s="8" t="inlineStr">
        <is>
          <t>POST</t>
        </is>
      </c>
      <c r="B954" s="8" t="inlineStr">
        <is>
          <t>/api/v1/assistant/agent</t>
        </is>
      </c>
      <c r="C954" s="8" t="inlineStr">
        <is>
          <t>auth</t>
        </is>
      </c>
      <c r="D954" s="8" t="inlineStr">
        <is>
          <t>worker/src/routes/misc/assistant/agent.ts</t>
        </is>
      </c>
      <c r="E954" s="8" t="n">
        <v>277</v>
      </c>
      <c r="F954" s="8" t="inlineStr">
        <is>
          <t>Yes</t>
        </is>
      </c>
      <c r="G954" s="8" t="n">
        <v>0</v>
      </c>
    </row>
    <row r="955">
      <c r="A955" s="8" t="inlineStr">
        <is>
          <t>POST</t>
        </is>
      </c>
      <c r="B955" s="8" t="inlineStr">
        <is>
          <t>/api/v1/assistant/confirm</t>
        </is>
      </c>
      <c r="C955" s="8" t="inlineStr">
        <is>
          <t>auth</t>
        </is>
      </c>
      <c r="D955" s="8" t="inlineStr">
        <is>
          <t>worker/src/routes/misc/assistant/agent.ts</t>
        </is>
      </c>
      <c r="E955" s="8" t="n">
        <v>278</v>
      </c>
      <c r="F955" s="8" t="inlineStr">
        <is>
          <t>Yes</t>
        </is>
      </c>
      <c r="G955" s="8" t="n">
        <v>0</v>
      </c>
    </row>
    <row r="956">
      <c r="A956" s="8" t="inlineStr">
        <is>
          <t>PUT</t>
        </is>
      </c>
      <c r="B956" s="8" t="inlineStr">
        <is>
          <t>/api/v1/chat/messages/{id}</t>
        </is>
      </c>
      <c r="C956" s="8" t="inlineStr">
        <is>
          <t>auth</t>
        </is>
      </c>
      <c r="D956" s="8" t="inlineStr">
        <is>
          <t>worker/src/routes/misc/chat.ts</t>
        </is>
      </c>
      <c r="E956" s="8" t="n">
        <v>94</v>
      </c>
      <c r="F956" s="8" t="inlineStr">
        <is>
          <t>Yes</t>
        </is>
      </c>
      <c r="G956" s="8" t="n">
        <v>17</v>
      </c>
    </row>
    <row r="957">
      <c r="A957" s="8" t="inlineStr">
        <is>
          <t>DELETE</t>
        </is>
      </c>
      <c r="B957" s="8" t="inlineStr">
        <is>
          <t>/api/v1/chat/messages/{id}</t>
        </is>
      </c>
      <c r="C957" s="8" t="inlineStr">
        <is>
          <t>auth</t>
        </is>
      </c>
      <c r="D957" s="8" t="inlineStr">
        <is>
          <t>worker/src/routes/misc/chat.ts</t>
        </is>
      </c>
      <c r="E957" s="8" t="n">
        <v>95</v>
      </c>
      <c r="F957" s="8" t="inlineStr">
        <is>
          <t>Yes</t>
        </is>
      </c>
      <c r="G957" s="8" t="n">
        <v>17</v>
      </c>
    </row>
    <row r="958">
      <c r="A958" s="8" t="inlineStr">
        <is>
          <t>POST</t>
        </is>
      </c>
      <c r="B958" s="8" t="inlineStr">
        <is>
          <t>/api/v1/chat/parent-thread/read</t>
        </is>
      </c>
      <c r="C958" s="8" t="inlineStr">
        <is>
          <t>auth</t>
        </is>
      </c>
      <c r="D958" s="8" t="inlineStr">
        <is>
          <t>worker/src/routes/misc/chat.ts</t>
        </is>
      </c>
      <c r="E958" s="8" t="n">
        <v>97</v>
      </c>
      <c r="F958" s="8" t="inlineStr">
        <is>
          <t>Yes</t>
        </is>
      </c>
      <c r="G958" s="8" t="n">
        <v>17</v>
      </c>
    </row>
    <row r="959">
      <c r="A959" s="8" t="inlineStr">
        <is>
          <t>POST</t>
        </is>
      </c>
      <c r="B959" s="8" t="inlineStr">
        <is>
          <t>/api/v1/chat/staff-thread/read</t>
        </is>
      </c>
      <c r="C959" s="8" t="inlineStr">
        <is>
          <t>auth</t>
        </is>
      </c>
      <c r="D959" s="8" t="inlineStr">
        <is>
          <t>worker/src/routes/misc/chat.ts</t>
        </is>
      </c>
      <c r="E959" s="8" t="n">
        <v>111</v>
      </c>
      <c r="F959" s="8" t="inlineStr">
        <is>
          <t>Yes</t>
        </is>
      </c>
      <c r="G959" s="8" t="n">
        <v>17</v>
      </c>
    </row>
    <row r="960">
      <c r="A960" s="8" t="inlineStr">
        <is>
          <t>GET</t>
        </is>
      </c>
      <c r="B960" s="8" t="inlineStr">
        <is>
          <t>/api/v1/staff-messages/threads</t>
        </is>
      </c>
      <c r="C960" s="8" t="inlineStr">
        <is>
          <t>auth</t>
        </is>
      </c>
      <c r="D960" s="8" t="inlineStr">
        <is>
          <t>worker/src/routes/misc/chat.ts</t>
        </is>
      </c>
      <c r="E960" s="8" t="n">
        <v>122</v>
      </c>
      <c r="F960" s="8" t="inlineStr">
        <is>
          <t>Yes</t>
        </is>
      </c>
      <c r="G960" s="8" t="n">
        <v>17</v>
      </c>
    </row>
    <row r="961">
      <c r="A961" s="8" t="inlineStr">
        <is>
          <t>GET</t>
        </is>
      </c>
      <c r="B961" s="8" t="inlineStr">
        <is>
          <t>/api/v1/staff-messages</t>
        </is>
      </c>
      <c r="C961" s="8" t="inlineStr">
        <is>
          <t>auth</t>
        </is>
      </c>
      <c r="D961" s="8" t="inlineStr">
        <is>
          <t>worker/src/routes/misc/chat.ts</t>
        </is>
      </c>
      <c r="E961" s="8" t="n">
        <v>141</v>
      </c>
      <c r="F961" s="8" t="inlineStr">
        <is>
          <t>Yes</t>
        </is>
      </c>
      <c r="G961" s="8" t="n">
        <v>17</v>
      </c>
    </row>
    <row r="962">
      <c r="A962" s="8" t="inlineStr">
        <is>
          <t>POST</t>
        </is>
      </c>
      <c r="B962" s="8" t="inlineStr">
        <is>
          <t>/api/v1/staff-messages</t>
        </is>
      </c>
      <c r="C962" s="8" t="inlineStr">
        <is>
          <t>auth</t>
        </is>
      </c>
      <c r="D962" s="8" t="inlineStr">
        <is>
          <t>worker/src/routes/misc/chat.ts</t>
        </is>
      </c>
      <c r="E962" s="8" t="n">
        <v>170</v>
      </c>
      <c r="F962" s="8" t="inlineStr">
        <is>
          <t>Yes</t>
        </is>
      </c>
      <c r="G962" s="8" t="n">
        <v>17</v>
      </c>
    </row>
    <row r="963">
      <c r="A963" s="8" t="inlineStr">
        <is>
          <t>GET</t>
        </is>
      </c>
      <c r="B963" s="8" t="inlineStr">
        <is>
          <t>/api/v1/staff-remarks/teachers</t>
        </is>
      </c>
      <c r="C963" s="8" t="inlineStr">
        <is>
          <t>auth</t>
        </is>
      </c>
      <c r="D963" s="8" t="inlineStr">
        <is>
          <t>worker/src/routes/misc/chat.ts</t>
        </is>
      </c>
      <c r="E963" s="8" t="n">
        <v>202</v>
      </c>
      <c r="F963" s="8" t="inlineStr">
        <is>
          <t>Yes</t>
        </is>
      </c>
      <c r="G963" s="8" t="n">
        <v>17</v>
      </c>
    </row>
    <row r="964">
      <c r="A964" s="8" t="inlineStr">
        <is>
          <t>GET</t>
        </is>
      </c>
      <c r="B964" s="8" t="inlineStr">
        <is>
          <t>/api/v1/staff-remarks</t>
        </is>
      </c>
      <c r="C964" s="8" t="inlineStr">
        <is>
          <t>auth</t>
        </is>
      </c>
      <c r="D964" s="8" t="inlineStr">
        <is>
          <t>worker/src/routes/misc/chat.ts</t>
        </is>
      </c>
      <c r="E964" s="8" t="n">
        <v>235</v>
      </c>
      <c r="F964" s="8" t="inlineStr">
        <is>
          <t>Yes</t>
        </is>
      </c>
      <c r="G964" s="8" t="n">
        <v>17</v>
      </c>
    </row>
    <row r="965">
      <c r="A965" s="8" t="inlineStr">
        <is>
          <t>POST</t>
        </is>
      </c>
      <c r="B965" s="8" t="inlineStr">
        <is>
          <t>/api/v1/staff-remarks</t>
        </is>
      </c>
      <c r="C965" s="8" t="inlineStr">
        <is>
          <t>auth</t>
        </is>
      </c>
      <c r="D965" s="8" t="inlineStr">
        <is>
          <t>worker/src/routes/misc/chat.ts</t>
        </is>
      </c>
      <c r="E965" s="8" t="n">
        <v>253</v>
      </c>
      <c r="F965" s="8" t="inlineStr">
        <is>
          <t>Yes</t>
        </is>
      </c>
      <c r="G965" s="8" t="n">
        <v>17</v>
      </c>
    </row>
    <row r="966">
      <c r="A966" s="8" t="inlineStr">
        <is>
          <t>POST</t>
        </is>
      </c>
      <c r="B966" s="8" t="inlineStr">
        <is>
          <t>/api/v1/files/presign</t>
        </is>
      </c>
      <c r="C966" s="8" t="inlineStr">
        <is>
          <t>auth</t>
        </is>
      </c>
      <c r="D966" s="8" t="inlineStr">
        <is>
          <t>worker/src/routes/misc/files.ts</t>
        </is>
      </c>
      <c r="E966" s="8" t="n">
        <v>17</v>
      </c>
      <c r="F966" s="8" t="inlineStr">
        <is>
          <t>Yes</t>
        </is>
      </c>
      <c r="G966" s="8" t="n">
        <v>10</v>
      </c>
    </row>
    <row r="967">
      <c r="A967" s="8" t="inlineStr">
        <is>
          <t>POST</t>
        </is>
      </c>
      <c r="B967" s="8" t="inlineStr">
        <is>
          <t>/api/v1/files</t>
        </is>
      </c>
      <c r="C967" s="8" t="inlineStr">
        <is>
          <t>auth</t>
        </is>
      </c>
      <c r="D967" s="8" t="inlineStr">
        <is>
          <t>worker/src/routes/misc/files.ts</t>
        </is>
      </c>
      <c r="E967" s="8" t="n">
        <v>30</v>
      </c>
      <c r="F967" s="8" t="inlineStr">
        <is>
          <t>Yes</t>
        </is>
      </c>
      <c r="G967" s="8" t="n">
        <v>10</v>
      </c>
    </row>
    <row r="968">
      <c r="A968" s="8" t="inlineStr">
        <is>
          <t>GET</t>
        </is>
      </c>
      <c r="B968" s="8" t="inlineStr">
        <is>
          <t>/api/v1/files/{id}</t>
        </is>
      </c>
      <c r="C968" s="8" t="inlineStr">
        <is>
          <t>auth</t>
        </is>
      </c>
      <c r="D968" s="8" t="inlineStr">
        <is>
          <t>worker/src/routes/misc/files.ts</t>
        </is>
      </c>
      <c r="E968" s="8" t="n">
        <v>63</v>
      </c>
      <c r="F968" s="8" t="inlineStr">
        <is>
          <t>Yes</t>
        </is>
      </c>
      <c r="G968" s="8" t="n">
        <v>10</v>
      </c>
    </row>
    <row r="969">
      <c r="A969" s="8" t="inlineStr">
        <is>
          <t>GET</t>
        </is>
      </c>
      <c r="B969" s="8" t="inlineStr">
        <is>
          <t>/api/v1/profile</t>
        </is>
      </c>
      <c r="C969" s="8" t="inlineStr">
        <is>
          <t>self.profile.read</t>
        </is>
      </c>
      <c r="D969" s="8" t="inlineStr">
        <is>
          <t>worker/src/routes/misc/profile.ts</t>
        </is>
      </c>
      <c r="E969" s="8" t="n">
        <v>144</v>
      </c>
      <c r="F969" s="8" t="inlineStr">
        <is>
          <t>Yes</t>
        </is>
      </c>
      <c r="G969" s="8" t="n">
        <v>11</v>
      </c>
    </row>
    <row r="970">
      <c r="A970" s="8" t="inlineStr">
        <is>
          <t>PUT</t>
        </is>
      </c>
      <c r="B970" s="8" t="inlineStr">
        <is>
          <t>/api/v1/profile</t>
        </is>
      </c>
      <c r="C970" s="8" t="inlineStr">
        <is>
          <t>self.profile.write</t>
        </is>
      </c>
      <c r="D970" s="8" t="inlineStr">
        <is>
          <t>worker/src/routes/misc/profile.ts</t>
        </is>
      </c>
      <c r="E970" s="8" t="n">
        <v>146</v>
      </c>
      <c r="F970" s="8" t="inlineStr">
        <is>
          <t>Yes</t>
        </is>
      </c>
      <c r="G970" s="8" t="n">
        <v>11</v>
      </c>
    </row>
    <row r="971">
      <c r="A971" s="8" t="inlineStr">
        <is>
          <t>POST</t>
        </is>
      </c>
      <c r="B971" s="8" t="inlineStr">
        <is>
          <t>/api/v1/profile/password</t>
        </is>
      </c>
      <c r="C971" s="8" t="inlineStr">
        <is>
          <t>self.profile.write</t>
        </is>
      </c>
      <c r="D971" s="8" t="inlineStr">
        <is>
          <t>worker/src/routes/misc/profile.ts</t>
        </is>
      </c>
      <c r="E971" s="8" t="n">
        <v>198</v>
      </c>
      <c r="F971" s="8" t="inlineStr">
        <is>
          <t>Yes</t>
        </is>
      </c>
      <c r="G971" s="8" t="n">
        <v>11</v>
      </c>
    </row>
    <row r="972">
      <c r="A972" s="8" t="inlineStr">
        <is>
          <t>POST</t>
        </is>
      </c>
      <c r="B972" s="8" t="inlineStr">
        <is>
          <t>/api/v1/profile/password/skip</t>
        </is>
      </c>
      <c r="C972" s="8" t="inlineStr">
        <is>
          <t>self.profile.write</t>
        </is>
      </c>
      <c r="D972" s="8" t="inlineStr">
        <is>
          <t>worker/src/routes/misc/profile.ts</t>
        </is>
      </c>
      <c r="E972" s="8" t="n">
        <v>219</v>
      </c>
      <c r="F972" s="8" t="inlineStr">
        <is>
          <t>Yes</t>
        </is>
      </c>
      <c r="G972" s="8" t="n">
        <v>11</v>
      </c>
    </row>
    <row r="973">
      <c r="A973" s="8" t="inlineStr">
        <is>
          <t>POST</t>
        </is>
      </c>
      <c r="B973" s="8" t="inlineStr">
        <is>
          <t>/api/v1/profile/mfa/setup</t>
        </is>
      </c>
      <c r="C973" s="8" t="inlineStr">
        <is>
          <t>auth</t>
        </is>
      </c>
      <c r="D973" s="8" t="inlineStr">
        <is>
          <t>worker/src/routes/misc/profile.ts</t>
        </is>
      </c>
      <c r="E973" s="8" t="n">
        <v>230</v>
      </c>
      <c r="F973" s="8" t="inlineStr">
        <is>
          <t>Yes</t>
        </is>
      </c>
      <c r="G973" s="8" t="n">
        <v>11</v>
      </c>
    </row>
    <row r="974">
      <c r="A974" s="8" t="inlineStr">
        <is>
          <t>POST</t>
        </is>
      </c>
      <c r="B974" s="8" t="inlineStr">
        <is>
          <t>/api/v1/profile/mfa/enable</t>
        </is>
      </c>
      <c r="C974" s="8" t="inlineStr">
        <is>
          <t>auth</t>
        </is>
      </c>
      <c r="D974" s="8" t="inlineStr">
        <is>
          <t>worker/src/routes/misc/profile.ts</t>
        </is>
      </c>
      <c r="E974" s="8" t="n">
        <v>248</v>
      </c>
      <c r="F974" s="8" t="inlineStr">
        <is>
          <t>Yes</t>
        </is>
      </c>
      <c r="G974" s="8" t="n">
        <v>11</v>
      </c>
    </row>
    <row r="975">
      <c r="A975" s="8" t="inlineStr">
        <is>
          <t>POST</t>
        </is>
      </c>
      <c r="B975" s="8" t="inlineStr">
        <is>
          <t>/api/v1/profile/mfa/disable</t>
        </is>
      </c>
      <c r="C975" s="8" t="inlineStr">
        <is>
          <t>auth</t>
        </is>
      </c>
      <c r="D975" s="8" t="inlineStr">
        <is>
          <t>worker/src/routes/misc/profile.ts</t>
        </is>
      </c>
      <c r="E975" s="8" t="n">
        <v>265</v>
      </c>
      <c r="F975" s="8" t="inlineStr">
        <is>
          <t>Yes</t>
        </is>
      </c>
      <c r="G975" s="8" t="n">
        <v>11</v>
      </c>
    </row>
    <row r="976">
      <c r="A976" s="8" t="inlineStr">
        <is>
          <t>GET</t>
        </is>
      </c>
      <c r="B976" s="8" t="inlineStr">
        <is>
          <t>/api/v1/profile/sessions</t>
        </is>
      </c>
      <c r="C976" s="8" t="inlineStr">
        <is>
          <t>auth</t>
        </is>
      </c>
      <c r="D976" s="8" t="inlineStr">
        <is>
          <t>worker/src/routes/misc/profile.ts</t>
        </is>
      </c>
      <c r="E976" s="8" t="n">
        <v>275</v>
      </c>
      <c r="F976" s="8" t="inlineStr">
        <is>
          <t>Yes</t>
        </is>
      </c>
      <c r="G976" s="8" t="n">
        <v>11</v>
      </c>
    </row>
    <row r="977">
      <c r="A977" s="8" t="inlineStr">
        <is>
          <t>POST</t>
        </is>
      </c>
      <c r="B977" s="8" t="inlineStr">
        <is>
          <t>/api/v1/profile/sessions/sign-out-others</t>
        </is>
      </c>
      <c r="C977" s="8" t="inlineStr">
        <is>
          <t>auth</t>
        </is>
      </c>
      <c r="D977" s="8" t="inlineStr">
        <is>
          <t>worker/src/routes/misc/profile.ts</t>
        </is>
      </c>
      <c r="E977" s="8" t="n">
        <v>282</v>
      </c>
      <c r="F977" s="8" t="inlineStr">
        <is>
          <t>Yes</t>
        </is>
      </c>
      <c r="G977" s="8" t="n">
        <v>11</v>
      </c>
    </row>
    <row r="978">
      <c r="A978" s="8" t="inlineStr">
        <is>
          <t>POST</t>
        </is>
      </c>
      <c r="B978" s="8" t="inlineStr">
        <is>
          <t>/api/v1/session/activity</t>
        </is>
      </c>
      <c r="C978" s="8" t="inlineStr">
        <is>
          <t>auth</t>
        </is>
      </c>
      <c r="D978" s="8" t="inlineStr">
        <is>
          <t>worker/src/routes/misc/profile.ts</t>
        </is>
      </c>
      <c r="E978" s="8" t="n">
        <v>291</v>
      </c>
      <c r="F978" s="8" t="inlineStr">
        <is>
          <t>Yes</t>
        </is>
      </c>
      <c r="G978" s="8" t="n">
        <v>11</v>
      </c>
    </row>
    <row r="979">
      <c r="A979" s="8" t="inlineStr">
        <is>
          <t>POST</t>
        </is>
      </c>
      <c r="B979" s="8" t="inlineStr">
        <is>
          <t>/api/v1/session/activity/batch</t>
        </is>
      </c>
      <c r="C979" s="8" t="inlineStr">
        <is>
          <t>auth</t>
        </is>
      </c>
      <c r="D979" s="8" t="inlineStr">
        <is>
          <t>worker/src/routes/misc/profile.ts</t>
        </is>
      </c>
      <c r="E979" s="8" t="n">
        <v>310</v>
      </c>
      <c r="F979" s="8" t="inlineStr">
        <is>
          <t>Yes</t>
        </is>
      </c>
      <c r="G979" s="8" t="n">
        <v>11</v>
      </c>
    </row>
    <row r="980">
      <c r="A980" s="8" t="inlineStr">
        <is>
          <t>GET</t>
        </is>
      </c>
      <c r="B980" s="8" t="inlineStr">
        <is>
          <t>/api/v1/profile/session-activity</t>
        </is>
      </c>
      <c r="C980" s="8" t="inlineStr">
        <is>
          <t>auth</t>
        </is>
      </c>
      <c r="D980" s="8" t="inlineStr">
        <is>
          <t>worker/src/routes/misc/profile.ts</t>
        </is>
      </c>
      <c r="E980" s="8" t="n">
        <v>324</v>
      </c>
      <c r="F980" s="8" t="inlineStr">
        <is>
          <t>Yes</t>
        </is>
      </c>
      <c r="G980" s="8" t="n">
        <v>11</v>
      </c>
    </row>
    <row r="981">
      <c r="A981" s="8" t="inlineStr">
        <is>
          <t>POST</t>
        </is>
      </c>
      <c r="B981" s="8" t="inlineStr">
        <is>
          <t>/api/v1/session/reauth</t>
        </is>
      </c>
      <c r="C981" s="8" t="inlineStr">
        <is>
          <t>auth</t>
        </is>
      </c>
      <c r="D981" s="8" t="inlineStr">
        <is>
          <t>worker/src/routes/misc/profile.ts</t>
        </is>
      </c>
      <c r="E981" s="8" t="n">
        <v>336</v>
      </c>
      <c r="F981" s="8" t="inlineStr">
        <is>
          <t>Yes</t>
        </is>
      </c>
      <c r="G981" s="8" t="n">
        <v>11</v>
      </c>
    </row>
    <row r="982">
      <c r="A982" s="8" t="inlineStr">
        <is>
          <t>GET</t>
        </is>
      </c>
      <c r="B982" s="8" t="inlineStr">
        <is>
          <t>/api/v1/ref-data</t>
        </is>
      </c>
      <c r="C982" s="8" t="inlineStr">
        <is>
          <t>auth</t>
        </is>
      </c>
      <c r="D982" s="8" t="inlineStr">
        <is>
          <t>worker/src/routes/misc/shell.ts</t>
        </is>
      </c>
      <c r="E982" s="8" t="n">
        <v>431</v>
      </c>
      <c r="F982" s="8" t="inlineStr">
        <is>
          <t>No</t>
        </is>
      </c>
      <c r="G982" s="8" t="n">
        <v>17</v>
      </c>
    </row>
    <row r="983">
      <c r="A983" s="8" t="inlineStr">
        <is>
          <t>GET</t>
        </is>
      </c>
      <c r="B983" s="8" t="inlineStr">
        <is>
          <t>/api/v1/working-year</t>
        </is>
      </c>
      <c r="C983" s="8" t="inlineStr">
        <is>
          <t>auth</t>
        </is>
      </c>
      <c r="D983" s="8" t="inlineStr">
        <is>
          <t>worker/src/routes/misc/shell.ts</t>
        </is>
      </c>
      <c r="E983" s="8" t="n">
        <v>432</v>
      </c>
      <c r="F983" s="8" t="inlineStr">
        <is>
          <t>Yes</t>
        </is>
      </c>
      <c r="G983" s="8" t="n">
        <v>17</v>
      </c>
    </row>
    <row r="984">
      <c r="A984" s="8" t="inlineStr">
        <is>
          <t>PUT</t>
        </is>
      </c>
      <c r="B984" s="8" t="inlineStr">
        <is>
          <t>/api/v1/working-year</t>
        </is>
      </c>
      <c r="C984" s="8" t="inlineStr">
        <is>
          <t>auth</t>
        </is>
      </c>
      <c r="D984" s="8" t="inlineStr">
        <is>
          <t>worker/src/routes/misc/shell.ts</t>
        </is>
      </c>
      <c r="E984" s="8" t="n">
        <v>433</v>
      </c>
      <c r="F984" s="8" t="inlineStr">
        <is>
          <t>Yes</t>
        </is>
      </c>
      <c r="G984" s="8" t="n">
        <v>17</v>
      </c>
    </row>
    <row r="985">
      <c r="A985" s="8" t="inlineStr">
        <is>
          <t>GET</t>
        </is>
      </c>
      <c r="B985" s="8" t="inlineStr">
        <is>
          <t>/api/v1/date-ranges</t>
        </is>
      </c>
      <c r="C985" s="8" t="inlineStr">
        <is>
          <t>auth</t>
        </is>
      </c>
      <c r="D985" s="8" t="inlineStr">
        <is>
          <t>worker/src/routes/misc/shell.ts</t>
        </is>
      </c>
      <c r="E985" s="8" t="n">
        <v>447</v>
      </c>
      <c r="F985" s="8" t="inlineStr">
        <is>
          <t>Yes</t>
        </is>
      </c>
      <c r="G985" s="8" t="n">
        <v>17</v>
      </c>
    </row>
    <row r="986">
      <c r="A986" s="8" t="inlineStr">
        <is>
          <t>GET</t>
        </is>
      </c>
      <c r="B986" s="8" t="inlineStr">
        <is>
          <t>/api/v1/catalog</t>
        </is>
      </c>
      <c r="C986" s="8" t="inlineStr">
        <is>
          <t>auth</t>
        </is>
      </c>
      <c r="D986" s="8" t="inlineStr">
        <is>
          <t>worker/src/routes/misc/shell.ts</t>
        </is>
      </c>
      <c r="E986" s="8" t="n">
        <v>448</v>
      </c>
      <c r="F986" s="8" t="inlineStr">
        <is>
          <t>Yes</t>
        </is>
      </c>
      <c r="G986" s="8" t="n">
        <v>17</v>
      </c>
    </row>
    <row r="987">
      <c r="A987" s="8" t="inlineStr">
        <is>
          <t>GET</t>
        </is>
      </c>
      <c r="B987" s="8" t="inlineStr">
        <is>
          <t>/api/v1/store/catalogue</t>
        </is>
      </c>
      <c r="C987" s="8" t="inlineStr">
        <is>
          <t>auth</t>
        </is>
      </c>
      <c r="D987" s="8" t="inlineStr">
        <is>
          <t>worker/src/routes/misc/shell.ts</t>
        </is>
      </c>
      <c r="E987" s="8" t="n">
        <v>449</v>
      </c>
      <c r="F987" s="8" t="inlineStr">
        <is>
          <t>Yes</t>
        </is>
      </c>
      <c r="G987" s="8" t="n">
        <v>17</v>
      </c>
    </row>
    <row r="988">
      <c r="A988" s="8" t="inlineStr">
        <is>
          <t>GET</t>
        </is>
      </c>
      <c r="B988" s="8" t="inlineStr">
        <is>
          <t>/api/v1/ops/digital-library/catalogue</t>
        </is>
      </c>
      <c r="C988" s="8" t="inlineStr">
        <is>
          <t>READ</t>
        </is>
      </c>
      <c r="D988" s="8" t="inlineStr">
        <is>
          <t>worker/src/routes/ops/digital_library.ts</t>
        </is>
      </c>
      <c r="E988" s="8" t="n">
        <v>203</v>
      </c>
      <c r="F988" s="8" t="inlineStr">
        <is>
          <t>Yes</t>
        </is>
      </c>
      <c r="G988" s="8" t="n">
        <v>18</v>
      </c>
    </row>
    <row r="989">
      <c r="A989" s="8" t="inlineStr">
        <is>
          <t>GET</t>
        </is>
      </c>
      <c r="B989" s="8" t="inlineStr">
        <is>
          <t>/api/v1/ops/digital-library/usage</t>
        </is>
      </c>
      <c r="C989" s="8" t="inlineStr">
        <is>
          <t>READ</t>
        </is>
      </c>
      <c r="D989" s="8" t="inlineStr">
        <is>
          <t>worker/src/routes/ops/digital_library.ts</t>
        </is>
      </c>
      <c r="E989" s="8" t="n">
        <v>232</v>
      </c>
      <c r="F989" s="8" t="inlineStr">
        <is>
          <t>Yes</t>
        </is>
      </c>
      <c r="G989" s="8" t="n">
        <v>18</v>
      </c>
    </row>
    <row r="990">
      <c r="A990" s="8" t="inlineStr">
        <is>
          <t>GET</t>
        </is>
      </c>
      <c r="B990" s="8" t="inlineStr">
        <is>
          <t>/api/v1/ops/digital-library/holdings/{id}/access</t>
        </is>
      </c>
      <c r="C990" s="8" t="inlineStr">
        <is>
          <t>READ</t>
        </is>
      </c>
      <c r="D990" s="8" t="inlineStr">
        <is>
          <t>worker/src/routes/ops/digital_library.ts</t>
        </is>
      </c>
      <c r="E990" s="8" t="n">
        <v>281</v>
      </c>
      <c r="F990" s="8" t="inlineStr">
        <is>
          <t>Yes</t>
        </is>
      </c>
      <c r="G990" s="8" t="n">
        <v>18</v>
      </c>
    </row>
    <row r="991">
      <c r="A991" s="8" t="inlineStr">
        <is>
          <t>POST</t>
        </is>
      </c>
      <c r="B991" s="8" t="inlineStr">
        <is>
          <t>/api/v1/ops/digital-library/holdings/{id}/borrow</t>
        </is>
      </c>
      <c r="C991" s="8" t="inlineStr">
        <is>
          <t>READ</t>
        </is>
      </c>
      <c r="D991" s="8" t="inlineStr">
        <is>
          <t>worker/src/routes/ops/digital_library.ts</t>
        </is>
      </c>
      <c r="E991" s="8" t="n">
        <v>319</v>
      </c>
      <c r="F991" s="8" t="inlineStr">
        <is>
          <t>Yes</t>
        </is>
      </c>
      <c r="G991" s="8" t="n">
        <v>18</v>
      </c>
    </row>
    <row r="992">
      <c r="A992" s="8" t="inlineStr">
        <is>
          <t>GET</t>
        </is>
      </c>
      <c r="B992" s="8" t="inlineStr">
        <is>
          <t>/api/v1/ops/digital-library/audiences</t>
        </is>
      </c>
      <c r="C992" s="8" t="inlineStr">
        <is>
          <t>WRITE</t>
        </is>
      </c>
      <c r="D992" s="8" t="inlineStr">
        <is>
          <t>worker/src/routes/ops/digital_library.ts</t>
        </is>
      </c>
      <c r="E992" s="8" t="n">
        <v>377</v>
      </c>
      <c r="F992" s="8" t="inlineStr">
        <is>
          <t>Yes</t>
        </is>
      </c>
      <c r="G992" s="8" t="n">
        <v>18</v>
      </c>
    </row>
    <row r="993">
      <c r="A993" s="8" t="inlineStr">
        <is>
          <t>POST</t>
        </is>
      </c>
      <c r="B993" s="8" t="inlineStr">
        <is>
          <t>/api/v1/ops/digital-library/holdings</t>
        </is>
      </c>
      <c r="C993" s="8" t="inlineStr">
        <is>
          <t>WRITE</t>
        </is>
      </c>
      <c r="D993" s="8" t="inlineStr">
        <is>
          <t>worker/src/routes/ops/digital_library.ts</t>
        </is>
      </c>
      <c r="E993" s="8" t="n">
        <v>386</v>
      </c>
      <c r="F993" s="8" t="inlineStr">
        <is>
          <t>Yes</t>
        </is>
      </c>
      <c r="G993" s="8" t="n">
        <v>18</v>
      </c>
    </row>
    <row r="994">
      <c r="A994" s="8" t="inlineStr">
        <is>
          <t>DELETE</t>
        </is>
      </c>
      <c r="B994" s="8" t="inlineStr">
        <is>
          <t>/api/v1/ops/digital-library/holdings/{id}</t>
        </is>
      </c>
      <c r="C994" s="8" t="inlineStr">
        <is>
          <t>WRITE</t>
        </is>
      </c>
      <c r="D994" s="8" t="inlineStr">
        <is>
          <t>worker/src/routes/ops/digital_library.ts</t>
        </is>
      </c>
      <c r="E994" s="8" t="n">
        <v>478</v>
      </c>
      <c r="F994" s="8" t="inlineStr">
        <is>
          <t>Yes</t>
        </is>
      </c>
      <c r="G994" s="8" t="n">
        <v>18</v>
      </c>
    </row>
    <row r="995">
      <c r="A995" s="8" t="inlineStr">
        <is>
          <t>PUT</t>
        </is>
      </c>
      <c r="B995" s="8" t="inlineStr">
        <is>
          <t>/api/v1/ops/digital-library/holdings/{id}/visibility</t>
        </is>
      </c>
      <c r="C995" s="8" t="inlineStr">
        <is>
          <t>WRITE</t>
        </is>
      </c>
      <c r="D995" s="8" t="inlineStr">
        <is>
          <t>worker/src/routes/ops/digital_library.ts</t>
        </is>
      </c>
      <c r="E995" s="8" t="n">
        <v>491</v>
      </c>
      <c r="F995" s="8" t="inlineStr">
        <is>
          <t>Yes</t>
        </is>
      </c>
      <c r="G995" s="8" t="n">
        <v>18</v>
      </c>
    </row>
    <row r="996">
      <c r="A996" s="8" t="inlineStr">
        <is>
          <t>GET</t>
        </is>
      </c>
      <c r="B996" s="8" t="inlineStr">
        <is>
          <t>/api/v1/ops/digital-library/providers</t>
        </is>
      </c>
      <c r="C996" s="8" t="inlineStr">
        <is>
          <t>READ</t>
        </is>
      </c>
      <c r="D996" s="8" t="inlineStr">
        <is>
          <t>worker/src/routes/ops/digital_library.ts</t>
        </is>
      </c>
      <c r="E996" s="8" t="n">
        <v>521</v>
      </c>
      <c r="F996" s="8" t="inlineStr">
        <is>
          <t>Yes</t>
        </is>
      </c>
      <c r="G996" s="8" t="n">
        <v>18</v>
      </c>
    </row>
    <row r="997">
      <c r="A997" s="8" t="inlineStr">
        <is>
          <t>POST</t>
        </is>
      </c>
      <c r="B997" s="8" t="inlineStr">
        <is>
          <t>/api/v1/ops/digital-library/providers</t>
        </is>
      </c>
      <c r="C997" s="8" t="inlineStr">
        <is>
          <t>WRITE</t>
        </is>
      </c>
      <c r="D997" s="8" t="inlineStr">
        <is>
          <t>worker/src/routes/ops/digital_library.ts</t>
        </is>
      </c>
      <c r="E997" s="8" t="n">
        <v>533</v>
      </c>
      <c r="F997" s="8" t="inlineStr">
        <is>
          <t>Yes</t>
        </is>
      </c>
      <c r="G997" s="8" t="n">
        <v>18</v>
      </c>
    </row>
    <row r="998">
      <c r="A998" s="8" t="inlineStr">
        <is>
          <t>DELETE</t>
        </is>
      </c>
      <c r="B998" s="8" t="inlineStr">
        <is>
          <t>/api/v1/ops/digital-library/providers/{id}</t>
        </is>
      </c>
      <c r="C998" s="8" t="inlineStr">
        <is>
          <t>WRITE</t>
        </is>
      </c>
      <c r="D998" s="8" t="inlineStr">
        <is>
          <t>worker/src/routes/ops/digital_library.ts</t>
        </is>
      </c>
      <c r="E998" s="8" t="n">
        <v>571</v>
      </c>
      <c r="F998" s="8" t="inlineStr">
        <is>
          <t>Yes</t>
        </is>
      </c>
      <c r="G998" s="8" t="n">
        <v>18</v>
      </c>
    </row>
    <row r="999">
      <c r="A999" s="8" t="inlineStr">
        <is>
          <t>GET</t>
        </is>
      </c>
      <c r="B999" s="8" t="inlineStr">
        <is>
          <t>/api/v1/ops/hostel/occupancy</t>
        </is>
      </c>
      <c r="C999" s="8" t="inlineStr">
        <is>
          <t>HOSTEL_READ</t>
        </is>
      </c>
      <c r="D999" s="8" t="inlineStr">
        <is>
          <t>worker/src/routes/ops/hostel.ts</t>
        </is>
      </c>
      <c r="E999" s="8" t="n">
        <v>38</v>
      </c>
      <c r="F999" s="8" t="inlineStr">
        <is>
          <t>Yes</t>
        </is>
      </c>
      <c r="G999" s="8" t="n">
        <v>11</v>
      </c>
    </row>
    <row r="1000">
      <c r="A1000" s="8" t="inlineStr">
        <is>
          <t>GET</t>
        </is>
      </c>
      <c r="B1000" s="8" t="inlineStr">
        <is>
          <t>/api/v1/ops/hostel/rooms/{id}/boarders</t>
        </is>
      </c>
      <c r="C1000" s="8" t="inlineStr">
        <is>
          <t>HOSTEL_READ</t>
        </is>
      </c>
      <c r="D1000" s="8" t="inlineStr">
        <is>
          <t>worker/src/routes/ops/hostel.ts</t>
        </is>
      </c>
      <c r="E1000" s="8" t="n">
        <v>51</v>
      </c>
      <c r="F1000" s="8" t="inlineStr">
        <is>
          <t>Yes</t>
        </is>
      </c>
      <c r="G1000" s="8" t="n">
        <v>11</v>
      </c>
    </row>
    <row r="1001">
      <c r="A1001" s="8" t="inlineStr">
        <is>
          <t>POST</t>
        </is>
      </c>
      <c r="B1001" s="8" t="inlineStr">
        <is>
          <t>/api/v1/ops/hostel/allocate</t>
        </is>
      </c>
      <c r="C1001" s="8" t="inlineStr">
        <is>
          <t>HOSTEL_WRITE</t>
        </is>
      </c>
      <c r="D1001" s="8" t="inlineStr">
        <is>
          <t>worker/src/routes/ops/hostel.ts</t>
        </is>
      </c>
      <c r="E1001" s="8" t="n">
        <v>66</v>
      </c>
      <c r="F1001" s="8" t="inlineStr">
        <is>
          <t>Yes</t>
        </is>
      </c>
      <c r="G1001" s="8" t="n">
        <v>11</v>
      </c>
    </row>
    <row r="1002">
      <c r="A1002" s="8" t="inlineStr">
        <is>
          <t>GET</t>
        </is>
      </c>
      <c r="B1002" s="8" t="inlineStr">
        <is>
          <t>/api/v1/ops/hostel/outpasses</t>
        </is>
      </c>
      <c r="C1002" s="8" t="inlineStr">
        <is>
          <t>auth</t>
        </is>
      </c>
      <c r="D1002" s="8" t="inlineStr">
        <is>
          <t>worker/src/routes/ops/hostel.ts</t>
        </is>
      </c>
      <c r="E1002" s="8" t="n">
        <v>93</v>
      </c>
      <c r="F1002" s="8" t="inlineStr">
        <is>
          <t>Yes</t>
        </is>
      </c>
      <c r="G1002" s="8" t="n">
        <v>11</v>
      </c>
    </row>
    <row r="1003">
      <c r="A1003" s="8" t="inlineStr">
        <is>
          <t>POST</t>
        </is>
      </c>
      <c r="B1003" s="8" t="inlineStr">
        <is>
          <t>/api/v1/ops/hostel/outpasses</t>
        </is>
      </c>
      <c r="C1003" s="8" t="inlineStr">
        <is>
          <t>auth</t>
        </is>
      </c>
      <c r="D1003" s="8" t="inlineStr">
        <is>
          <t>worker/src/routes/ops/hostel.ts</t>
        </is>
      </c>
      <c r="E1003" s="8" t="n">
        <v>151</v>
      </c>
      <c r="F1003" s="8" t="inlineStr">
        <is>
          <t>Yes</t>
        </is>
      </c>
      <c r="G1003" s="8" t="n">
        <v>11</v>
      </c>
    </row>
    <row r="1004">
      <c r="A1004" s="8" t="inlineStr">
        <is>
          <t>POST</t>
        </is>
      </c>
      <c r="B1004" s="8" t="inlineStr">
        <is>
          <t>/api/v1/ops/hostel/outpasses/{id}/decide</t>
        </is>
      </c>
      <c r="C1004" s="8" t="inlineStr">
        <is>
          <t>auth</t>
        </is>
      </c>
      <c r="D1004" s="8" t="inlineStr">
        <is>
          <t>worker/src/routes/ops/hostel.ts</t>
        </is>
      </c>
      <c r="E1004" s="8" t="n">
        <v>176</v>
      </c>
      <c r="F1004" s="8" t="inlineStr">
        <is>
          <t>Yes</t>
        </is>
      </c>
      <c r="G1004" s="8" t="n">
        <v>11</v>
      </c>
    </row>
    <row r="1005">
      <c r="A1005" s="8" t="inlineStr">
        <is>
          <t>GET</t>
        </is>
      </c>
      <c r="B1005" s="8" t="inlineStr">
        <is>
          <t>/api/v1/ops/hostel/complaints</t>
        </is>
      </c>
      <c r="C1005" s="8" t="inlineStr">
        <is>
          <t>HOSTEL_READ</t>
        </is>
      </c>
      <c r="D1005" s="8" t="inlineStr">
        <is>
          <t>worker/src/routes/ops/hostel.ts</t>
        </is>
      </c>
      <c r="E1005" s="8" t="n">
        <v>225</v>
      </c>
      <c r="F1005" s="8" t="inlineStr">
        <is>
          <t>Yes</t>
        </is>
      </c>
      <c r="G1005" s="8" t="n">
        <v>11</v>
      </c>
    </row>
    <row r="1006">
      <c r="A1006" s="8" t="inlineStr">
        <is>
          <t>POST</t>
        </is>
      </c>
      <c r="B1006" s="8" t="inlineStr">
        <is>
          <t>/api/v1/ops/hostel/complaints</t>
        </is>
      </c>
      <c r="C1006" s="8" t="inlineStr">
        <is>
          <t>auth</t>
        </is>
      </c>
      <c r="D1006" s="8" t="inlineStr">
        <is>
          <t>worker/src/routes/ops/hostel.ts</t>
        </is>
      </c>
      <c r="E1006" s="8" t="n">
        <v>248</v>
      </c>
      <c r="F1006" s="8" t="inlineStr">
        <is>
          <t>Yes</t>
        </is>
      </c>
      <c r="G1006" s="8" t="n">
        <v>11</v>
      </c>
    </row>
    <row r="1007">
      <c r="A1007" s="8" t="inlineStr">
        <is>
          <t>POST</t>
        </is>
      </c>
      <c r="B1007" s="8" t="inlineStr">
        <is>
          <t>/api/v1/ops/hostel/complaints/{id}/resolve</t>
        </is>
      </c>
      <c r="C1007" s="8" t="inlineStr">
        <is>
          <t>HOSTEL_WRITE</t>
        </is>
      </c>
      <c r="D1007" s="8" t="inlineStr">
        <is>
          <t>worker/src/routes/ops/hostel.ts</t>
        </is>
      </c>
      <c r="E1007" s="8" t="n">
        <v>263</v>
      </c>
      <c r="F1007" s="8" t="inlineStr">
        <is>
          <t>Yes</t>
        </is>
      </c>
      <c r="G1007" s="8" t="n">
        <v>11</v>
      </c>
    </row>
    <row r="1008">
      <c r="A1008" s="8" t="inlineStr">
        <is>
          <t>GET</t>
        </is>
      </c>
      <c r="B1008" s="8" t="inlineStr">
        <is>
          <t>/api/v1/ops/hostel/mess</t>
        </is>
      </c>
      <c r="C1008" s="8" t="inlineStr">
        <is>
          <t>auth</t>
        </is>
      </c>
      <c r="D1008" s="8" t="inlineStr">
        <is>
          <t>worker/src/routes/ops/hostel.ts</t>
        </is>
      </c>
      <c r="E1008" s="8" t="n">
        <v>282</v>
      </c>
      <c r="F1008" s="8" t="inlineStr">
        <is>
          <t>Yes</t>
        </is>
      </c>
      <c r="G1008" s="8" t="n">
        <v>11</v>
      </c>
    </row>
    <row r="1009">
      <c r="A1009" s="8" t="inlineStr">
        <is>
          <t>PUT</t>
        </is>
      </c>
      <c r="B1009" s="8" t="inlineStr">
        <is>
          <t>/api/v1/ops/hostel/mess</t>
        </is>
      </c>
      <c r="C1009" s="8" t="inlineStr">
        <is>
          <t>HOSTEL_WRITE</t>
        </is>
      </c>
      <c r="D1009" s="8" t="inlineStr">
        <is>
          <t>worker/src/routes/ops/hostel.ts</t>
        </is>
      </c>
      <c r="E1009" s="8" t="n">
        <v>296</v>
      </c>
      <c r="F1009" s="8" t="inlineStr">
        <is>
          <t>Yes</t>
        </is>
      </c>
      <c r="G1009" s="8" t="n">
        <v>11</v>
      </c>
    </row>
    <row r="1010">
      <c r="A1010" s="8" t="inlineStr">
        <is>
          <t>GET</t>
        </is>
      </c>
      <c r="B1010" s="8" t="inlineStr">
        <is>
          <t>/api/v1/ops/health/students</t>
        </is>
      </c>
      <c r="C1010" s="8" t="inlineStr">
        <is>
          <t>welfare.health.read</t>
        </is>
      </c>
      <c r="D1010" s="8" t="inlineStr">
        <is>
          <t>worker/src/routes/ops/infirmary.ts</t>
        </is>
      </c>
      <c r="E1010" s="8" t="n">
        <v>90</v>
      </c>
      <c r="F1010" s="8" t="inlineStr">
        <is>
          <t>Yes</t>
        </is>
      </c>
      <c r="G1010" s="8" t="n">
        <v>23</v>
      </c>
    </row>
    <row r="1011">
      <c r="A1011" s="8" t="inlineStr">
        <is>
          <t>GET</t>
        </is>
      </c>
      <c r="B1011" s="8" t="inlineStr">
        <is>
          <t>/api/v1/ops/infirmary/visits</t>
        </is>
      </c>
      <c r="C1011" s="8" t="inlineStr">
        <is>
          <t>welfare.health.read</t>
        </is>
      </c>
      <c r="D1011" s="8" t="inlineStr">
        <is>
          <t>worker/src/routes/ops/infirmary.ts</t>
        </is>
      </c>
      <c r="E1011" s="8" t="n">
        <v>113</v>
      </c>
      <c r="F1011" s="8" t="inlineStr">
        <is>
          <t>Yes</t>
        </is>
      </c>
      <c r="G1011" s="8" t="n">
        <v>23</v>
      </c>
    </row>
    <row r="1012">
      <c r="A1012" s="8" t="inlineStr">
        <is>
          <t>POST</t>
        </is>
      </c>
      <c r="B1012" s="8" t="inlineStr">
        <is>
          <t>/api/v1/ops/infirmary/visits</t>
        </is>
      </c>
      <c r="C1012" s="8" t="inlineStr">
        <is>
          <t>welfare.health.write</t>
        </is>
      </c>
      <c r="D1012" s="8" t="inlineStr">
        <is>
          <t>worker/src/routes/ops/infirmary.ts</t>
        </is>
      </c>
      <c r="E1012" s="8" t="n">
        <v>141</v>
      </c>
      <c r="F1012" s="8" t="inlineStr">
        <is>
          <t>Yes</t>
        </is>
      </c>
      <c r="G1012" s="8" t="n">
        <v>23</v>
      </c>
    </row>
    <row r="1013">
      <c r="A1013" s="8" t="inlineStr">
        <is>
          <t>GET</t>
        </is>
      </c>
      <c r="B1013" s="8" t="inlineStr">
        <is>
          <t>/api/v1/ops/infirmary/medications</t>
        </is>
      </c>
      <c r="C1013" s="8" t="inlineStr">
        <is>
          <t>welfare.health.read</t>
        </is>
      </c>
      <c r="D1013" s="8" t="inlineStr">
        <is>
          <t>worker/src/routes/ops/infirmary.ts</t>
        </is>
      </c>
      <c r="E1013" s="8" t="n">
        <v>167</v>
      </c>
      <c r="F1013" s="8" t="inlineStr">
        <is>
          <t>Yes</t>
        </is>
      </c>
      <c r="G1013" s="8" t="n">
        <v>23</v>
      </c>
    </row>
    <row r="1014">
      <c r="A1014" s="8" t="inlineStr">
        <is>
          <t>POST</t>
        </is>
      </c>
      <c r="B1014" s="8" t="inlineStr">
        <is>
          <t>/api/v1/ops/infirmary/medications</t>
        </is>
      </c>
      <c r="C1014" s="8" t="inlineStr">
        <is>
          <t>welfare.health.write</t>
        </is>
      </c>
      <c r="D1014" s="8" t="inlineStr">
        <is>
          <t>worker/src/routes/ops/infirmary.ts</t>
        </is>
      </c>
      <c r="E1014" s="8" t="n">
        <v>195</v>
      </c>
      <c r="F1014" s="8" t="inlineStr">
        <is>
          <t>Yes</t>
        </is>
      </c>
      <c r="G1014" s="8" t="n">
        <v>23</v>
      </c>
    </row>
    <row r="1015">
      <c r="A1015" s="8" t="inlineStr">
        <is>
          <t>GET</t>
        </is>
      </c>
      <c r="B1015" s="8" t="inlineStr">
        <is>
          <t>/api/v1/ops/infirmary/checkups</t>
        </is>
      </c>
      <c r="C1015" s="8" t="inlineStr">
        <is>
          <t>welfare.health.read</t>
        </is>
      </c>
      <c r="D1015" s="8" t="inlineStr">
        <is>
          <t>worker/src/routes/ops/infirmary.ts</t>
        </is>
      </c>
      <c r="E1015" s="8" t="n">
        <v>234</v>
      </c>
      <c r="F1015" s="8" t="inlineStr">
        <is>
          <t>Yes</t>
        </is>
      </c>
      <c r="G1015" s="8" t="n">
        <v>23</v>
      </c>
    </row>
    <row r="1016">
      <c r="A1016" s="8" t="inlineStr">
        <is>
          <t>POST</t>
        </is>
      </c>
      <c r="B1016" s="8" t="inlineStr">
        <is>
          <t>/api/v1/ops/infirmary/checkups</t>
        </is>
      </c>
      <c r="C1016" s="8" t="inlineStr">
        <is>
          <t>welfare.health.write</t>
        </is>
      </c>
      <c r="D1016" s="8" t="inlineStr">
        <is>
          <t>worker/src/routes/ops/infirmary.ts</t>
        </is>
      </c>
      <c r="E1016" s="8" t="n">
        <v>265</v>
      </c>
      <c r="F1016" s="8" t="inlineStr">
        <is>
          <t>Yes</t>
        </is>
      </c>
      <c r="G1016" s="8" t="n">
        <v>23</v>
      </c>
    </row>
    <row r="1017">
      <c r="A1017" s="8" t="inlineStr">
        <is>
          <t>GET</t>
        </is>
      </c>
      <c r="B1017" s="8" t="inlineStr">
        <is>
          <t>/api/v1/ops/infirmary/camps</t>
        </is>
      </c>
      <c r="C1017" s="8" t="inlineStr">
        <is>
          <t>welfare.health.read</t>
        </is>
      </c>
      <c r="D1017" s="8" t="inlineStr">
        <is>
          <t>worker/src/routes/ops/infirmary.ts</t>
        </is>
      </c>
      <c r="E1017" s="8" t="n">
        <v>332</v>
      </c>
      <c r="F1017" s="8" t="inlineStr">
        <is>
          <t>Yes</t>
        </is>
      </c>
      <c r="G1017" s="8" t="n">
        <v>23</v>
      </c>
    </row>
    <row r="1018">
      <c r="A1018" s="8" t="inlineStr">
        <is>
          <t>POST</t>
        </is>
      </c>
      <c r="B1018" s="8" t="inlineStr">
        <is>
          <t>/api/v1/ops/infirmary/camps</t>
        </is>
      </c>
      <c r="C1018" s="8" t="inlineStr">
        <is>
          <t>welfare.health.write</t>
        </is>
      </c>
      <c r="D1018" s="8" t="inlineStr">
        <is>
          <t>worker/src/routes/ops/infirmary.ts</t>
        </is>
      </c>
      <c r="E1018" s="8" t="n">
        <v>351</v>
      </c>
      <c r="F1018" s="8" t="inlineStr">
        <is>
          <t>Yes</t>
        </is>
      </c>
      <c r="G1018" s="8" t="n">
        <v>23</v>
      </c>
    </row>
    <row r="1019">
      <c r="A1019" s="8" t="inlineStr">
        <is>
          <t>GET</t>
        </is>
      </c>
      <c r="B1019" s="8" t="inlineStr">
        <is>
          <t>/api/v1/ops/infirmary/camps/{id}/seen</t>
        </is>
      </c>
      <c r="C1019" s="8" t="inlineStr">
        <is>
          <t>welfare.health.read</t>
        </is>
      </c>
      <c r="D1019" s="8" t="inlineStr">
        <is>
          <t>worker/src/routes/ops/infirmary.ts</t>
        </is>
      </c>
      <c r="E1019" s="8" t="n">
        <v>367</v>
      </c>
      <c r="F1019" s="8" t="inlineStr">
        <is>
          <t>Yes</t>
        </is>
      </c>
      <c r="G1019" s="8" t="n">
        <v>23</v>
      </c>
    </row>
    <row r="1020">
      <c r="A1020" s="8" t="inlineStr">
        <is>
          <t>POST</t>
        </is>
      </c>
      <c r="B1020" s="8" t="inlineStr">
        <is>
          <t>/api/v1/ops/infirmary/camps/{id}/seen</t>
        </is>
      </c>
      <c r="C1020" s="8" t="inlineStr">
        <is>
          <t>welfare.health.write</t>
        </is>
      </c>
      <c r="D1020" s="8" t="inlineStr">
        <is>
          <t>worker/src/routes/ops/infirmary.ts</t>
        </is>
      </c>
      <c r="E1020" s="8" t="n">
        <v>393</v>
      </c>
      <c r="F1020" s="8" t="inlineStr">
        <is>
          <t>Yes</t>
        </is>
      </c>
      <c r="G1020" s="8" t="n">
        <v>23</v>
      </c>
    </row>
    <row r="1021">
      <c r="A1021" s="8" t="inlineStr">
        <is>
          <t>GET</t>
        </is>
      </c>
      <c r="B1021" s="8" t="inlineStr">
        <is>
          <t>/api/v1/ops/hostel/night-study</t>
        </is>
      </c>
      <c r="C1021" s="8" t="inlineStr">
        <is>
          <t>operations.hostel.read</t>
        </is>
      </c>
      <c r="D1021" s="8" t="inlineStr">
        <is>
          <t>worker/src/routes/ops/infirmary.ts</t>
        </is>
      </c>
      <c r="E1021" s="8" t="n">
        <v>430</v>
      </c>
      <c r="F1021" s="8" t="inlineStr">
        <is>
          <t>Yes</t>
        </is>
      </c>
      <c r="G1021" s="8" t="n">
        <v>23</v>
      </c>
    </row>
    <row r="1022">
      <c r="A1022" s="8" t="inlineStr">
        <is>
          <t>POST</t>
        </is>
      </c>
      <c r="B1022" s="8" t="inlineStr">
        <is>
          <t>/api/v1/ops/hostel/night-study</t>
        </is>
      </c>
      <c r="C1022" s="8" t="inlineStr">
        <is>
          <t>operations.hostel.write</t>
        </is>
      </c>
      <c r="D1022" s="8" t="inlineStr">
        <is>
          <t>worker/src/routes/ops/infirmary.ts</t>
        </is>
      </c>
      <c r="E1022" s="8" t="n">
        <v>454</v>
      </c>
      <c r="F1022" s="8" t="inlineStr">
        <is>
          <t>Yes</t>
        </is>
      </c>
      <c r="G1022" s="8" t="n">
        <v>23</v>
      </c>
    </row>
    <row r="1023">
      <c r="A1023" s="8" t="inlineStr">
        <is>
          <t>GET</t>
        </is>
      </c>
      <c r="B1023" s="8" t="inlineStr">
        <is>
          <t>/api/v1/ops/hostel/room-checks</t>
        </is>
      </c>
      <c r="C1023" s="8" t="inlineStr">
        <is>
          <t>operations.hostel.read</t>
        </is>
      </c>
      <c r="D1023" s="8" t="inlineStr">
        <is>
          <t>worker/src/routes/ops/infirmary.ts</t>
        </is>
      </c>
      <c r="E1023" s="8" t="n">
        <v>480</v>
      </c>
      <c r="F1023" s="8" t="inlineStr">
        <is>
          <t>Yes</t>
        </is>
      </c>
      <c r="G1023" s="8" t="n">
        <v>23</v>
      </c>
    </row>
    <row r="1024">
      <c r="A1024" s="8" t="inlineStr">
        <is>
          <t>GET</t>
        </is>
      </c>
      <c r="B1024" s="8" t="inlineStr">
        <is>
          <t>/api/v1/ops/hostel/room-checks/{id}/items</t>
        </is>
      </c>
      <c r="C1024" s="8" t="inlineStr">
        <is>
          <t>operations.hostel.read</t>
        </is>
      </c>
      <c r="D1024" s="8" t="inlineStr">
        <is>
          <t>worker/src/routes/ops/infirmary.ts</t>
        </is>
      </c>
      <c r="E1024" s="8" t="n">
        <v>506</v>
      </c>
      <c r="F1024" s="8" t="inlineStr">
        <is>
          <t>Yes</t>
        </is>
      </c>
      <c r="G1024" s="8" t="n">
        <v>23</v>
      </c>
    </row>
    <row r="1025">
      <c r="A1025" s="8" t="inlineStr">
        <is>
          <t>POST</t>
        </is>
      </c>
      <c r="B1025" s="8" t="inlineStr">
        <is>
          <t>/api/v1/ops/hostel/room-checks</t>
        </is>
      </c>
      <c r="C1025" s="8" t="inlineStr">
        <is>
          <t>operations.hostel.write</t>
        </is>
      </c>
      <c r="D1025" s="8" t="inlineStr">
        <is>
          <t>worker/src/routes/ops/infirmary.ts</t>
        </is>
      </c>
      <c r="E1025" s="8" t="n">
        <v>520</v>
      </c>
      <c r="F1025" s="8" t="inlineStr">
        <is>
          <t>Yes</t>
        </is>
      </c>
      <c r="G1025" s="8" t="n">
        <v>23</v>
      </c>
    </row>
    <row r="1026">
      <c r="A1026" s="8" t="inlineStr">
        <is>
          <t>GET</t>
        </is>
      </c>
      <c r="B1026" s="8" t="inlineStr">
        <is>
          <t>/api/v1/ops/hostel/visits</t>
        </is>
      </c>
      <c r="C1026" s="8" t="inlineStr">
        <is>
          <t>operations.hostel.read</t>
        </is>
      </c>
      <c r="D1026" s="8" t="inlineStr">
        <is>
          <t>worker/src/routes/ops/infirmary.ts</t>
        </is>
      </c>
      <c r="E1026" s="8" t="n">
        <v>568</v>
      </c>
      <c r="F1026" s="8" t="inlineStr">
        <is>
          <t>Yes</t>
        </is>
      </c>
      <c r="G1026" s="8" t="n">
        <v>23</v>
      </c>
    </row>
    <row r="1027">
      <c r="A1027" s="8" t="inlineStr">
        <is>
          <t>POST</t>
        </is>
      </c>
      <c r="B1027" s="8" t="inlineStr">
        <is>
          <t>/api/v1/ops/hostel/visits</t>
        </is>
      </c>
      <c r="C1027" s="8" t="inlineStr">
        <is>
          <t>operations.hostel.write</t>
        </is>
      </c>
      <c r="D1027" s="8" t="inlineStr">
        <is>
          <t>worker/src/routes/ops/infirmary.ts</t>
        </is>
      </c>
      <c r="E1027" s="8" t="n">
        <v>599</v>
      </c>
      <c r="F1027" s="8" t="inlineStr">
        <is>
          <t>Yes</t>
        </is>
      </c>
      <c r="G1027" s="8" t="n">
        <v>23</v>
      </c>
    </row>
    <row r="1028">
      <c r="A1028" s="8" t="inlineStr">
        <is>
          <t>POST</t>
        </is>
      </c>
      <c r="B1028" s="8" t="inlineStr">
        <is>
          <t>/api/v1/ops/hostel/visits/{id}/out</t>
        </is>
      </c>
      <c r="C1028" s="8" t="inlineStr">
        <is>
          <t>operations.hostel.write</t>
        </is>
      </c>
      <c r="D1028" s="8" t="inlineStr">
        <is>
          <t>worker/src/routes/ops/infirmary.ts</t>
        </is>
      </c>
      <c r="E1028" s="8" t="n">
        <v>644</v>
      </c>
      <c r="F1028" s="8" t="inlineStr">
        <is>
          <t>Yes</t>
        </is>
      </c>
      <c r="G1028" s="8" t="n">
        <v>23</v>
      </c>
    </row>
    <row r="1029">
      <c r="A1029" s="8" t="inlineStr">
        <is>
          <t>GET</t>
        </is>
      </c>
      <c r="B1029" s="8" t="inlineStr">
        <is>
          <t>/api/v1/ops/hostel/laundry</t>
        </is>
      </c>
      <c r="C1029" s="8" t="inlineStr">
        <is>
          <t>operations.hostel.read</t>
        </is>
      </c>
      <c r="D1029" s="8" t="inlineStr">
        <is>
          <t>worker/src/routes/ops/infirmary.ts</t>
        </is>
      </c>
      <c r="E1029" s="8" t="n">
        <v>660</v>
      </c>
      <c r="F1029" s="8" t="inlineStr">
        <is>
          <t>Yes</t>
        </is>
      </c>
      <c r="G1029" s="8" t="n">
        <v>23</v>
      </c>
    </row>
    <row r="1030">
      <c r="A1030" s="8" t="inlineStr">
        <is>
          <t>POST</t>
        </is>
      </c>
      <c r="B1030" s="8" t="inlineStr">
        <is>
          <t>/api/v1/ops/hostel/laundry</t>
        </is>
      </c>
      <c r="C1030" s="8" t="inlineStr">
        <is>
          <t>operations.hostel.write</t>
        </is>
      </c>
      <c r="D1030" s="8" t="inlineStr">
        <is>
          <t>worker/src/routes/ops/infirmary.ts</t>
        </is>
      </c>
      <c r="E1030" s="8" t="n">
        <v>685</v>
      </c>
      <c r="F1030" s="8" t="inlineStr">
        <is>
          <t>Yes</t>
        </is>
      </c>
      <c r="G1030" s="8" t="n">
        <v>23</v>
      </c>
    </row>
    <row r="1031">
      <c r="A1031" s="8" t="inlineStr">
        <is>
          <t>POST</t>
        </is>
      </c>
      <c r="B1031" s="8" t="inlineStr">
        <is>
          <t>/api/v1/ops/hostel/laundry/{id}/return</t>
        </is>
      </c>
      <c r="C1031" s="8" t="inlineStr">
        <is>
          <t>operations.hostel.write</t>
        </is>
      </c>
      <c r="D1031" s="8" t="inlineStr">
        <is>
          <t>worker/src/routes/ops/infirmary.ts</t>
        </is>
      </c>
      <c r="E1031" s="8" t="n">
        <v>710</v>
      </c>
      <c r="F1031" s="8" t="inlineStr">
        <is>
          <t>Yes</t>
        </is>
      </c>
      <c r="G1031" s="8" t="n">
        <v>23</v>
      </c>
    </row>
    <row r="1032">
      <c r="A1032" s="8" t="inlineStr">
        <is>
          <t>GET</t>
        </is>
      </c>
      <c r="B1032" s="8" t="inlineStr">
        <is>
          <t>/api/v1/ops/inventory/stock</t>
        </is>
      </c>
      <c r="C1032" s="8" t="inlineStr">
        <is>
          <t>operations.inventory.read</t>
        </is>
      </c>
      <c r="D1032" s="8" t="inlineStr">
        <is>
          <t>worker/src/routes/ops/inventory.ts</t>
        </is>
      </c>
      <c r="E1032" s="8" t="n">
        <v>10</v>
      </c>
      <c r="F1032" s="8" t="inlineStr">
        <is>
          <t>Yes</t>
        </is>
      </c>
      <c r="G1032" s="8" t="n">
        <v>2</v>
      </c>
    </row>
    <row r="1033">
      <c r="A1033" s="8" t="inlineStr">
        <is>
          <t>POST</t>
        </is>
      </c>
      <c r="B1033" s="8" t="inlineStr">
        <is>
          <t>/api/v1/ops/inventory/items</t>
        </is>
      </c>
      <c r="C1033" s="8" t="inlineStr">
        <is>
          <t>operations.inventory.write</t>
        </is>
      </c>
      <c r="D1033" s="8" t="inlineStr">
        <is>
          <t>worker/src/routes/ops/inventory.ts</t>
        </is>
      </c>
      <c r="E1033" s="8" t="n">
        <v>33</v>
      </c>
      <c r="F1033" s="8" t="inlineStr">
        <is>
          <t>Yes</t>
        </is>
      </c>
      <c r="G1033" s="8" t="n">
        <v>2</v>
      </c>
    </row>
    <row r="1034">
      <c r="A1034" s="8" t="inlineStr">
        <is>
          <t>POST</t>
        </is>
      </c>
      <c r="B1034" s="8" t="inlineStr">
        <is>
          <t>/api/v1/ops/inventory/movements</t>
        </is>
      </c>
      <c r="C1034" s="8" t="inlineStr">
        <is>
          <t>operations.inventory.write</t>
        </is>
      </c>
      <c r="D1034" s="8" t="inlineStr">
        <is>
          <t>worker/src/routes/ops/inventory.ts</t>
        </is>
      </c>
      <c r="E1034" s="8" t="n">
        <v>56</v>
      </c>
      <c r="F1034" s="8" t="inlineStr">
        <is>
          <t>Yes</t>
        </is>
      </c>
      <c r="G1034" s="8" t="n">
        <v>2</v>
      </c>
    </row>
    <row r="1035">
      <c r="A1035" s="8" t="inlineStr">
        <is>
          <t>GET</t>
        </is>
      </c>
      <c r="B1035" s="8" t="inlineStr">
        <is>
          <t>/api/v1/ops/library/titles</t>
        </is>
      </c>
      <c r="C1035" s="8" t="inlineStr">
        <is>
          <t>operations.library.read</t>
        </is>
      </c>
      <c r="D1035" s="8" t="inlineStr">
        <is>
          <t>worker/src/routes/ops/library.ts</t>
        </is>
      </c>
      <c r="E1035" s="8" t="n">
        <v>73</v>
      </c>
      <c r="F1035" s="8" t="inlineStr">
        <is>
          <t>Yes</t>
        </is>
      </c>
      <c r="G1035" s="8" t="n">
        <v>16</v>
      </c>
    </row>
    <row r="1036">
      <c r="A1036" s="8" t="inlineStr">
        <is>
          <t>GET</t>
        </is>
      </c>
      <c r="B1036" s="8" t="inlineStr">
        <is>
          <t>/api/v1/ops/library/titles/{id}/copies</t>
        </is>
      </c>
      <c r="C1036" s="8" t="inlineStr">
        <is>
          <t>operations.library.read</t>
        </is>
      </c>
      <c r="D1036" s="8" t="inlineStr">
        <is>
          <t>worker/src/routes/ops/library.ts</t>
        </is>
      </c>
      <c r="E1036" s="8" t="n">
        <v>96</v>
      </c>
      <c r="F1036" s="8" t="inlineStr">
        <is>
          <t>Yes</t>
        </is>
      </c>
      <c r="G1036" s="8" t="n">
        <v>16</v>
      </c>
    </row>
    <row r="1037">
      <c r="A1037" s="8" t="inlineStr">
        <is>
          <t>POST</t>
        </is>
      </c>
      <c r="B1037" s="8" t="inlineStr">
        <is>
          <t>/api/v1/ops/library/issue</t>
        </is>
      </c>
      <c r="C1037" s="8" t="inlineStr">
        <is>
          <t>operations.library.write</t>
        </is>
      </c>
      <c r="D1037" s="8" t="inlineStr">
        <is>
          <t>worker/src/routes/ops/library.ts</t>
        </is>
      </c>
      <c r="E1037" s="8" t="n">
        <v>118</v>
      </c>
      <c r="F1037" s="8" t="inlineStr">
        <is>
          <t>Yes</t>
        </is>
      </c>
      <c r="G1037" s="8" t="n">
        <v>16</v>
      </c>
    </row>
    <row r="1038">
      <c r="A1038" s="8" t="inlineStr">
        <is>
          <t>GET</t>
        </is>
      </c>
      <c r="B1038" s="8" t="inlineStr">
        <is>
          <t>/api/v1/ops/library/loans</t>
        </is>
      </c>
      <c r="C1038" s="8" t="inlineStr">
        <is>
          <t>operations.library.read</t>
        </is>
      </c>
      <c r="D1038" s="8" t="inlineStr">
        <is>
          <t>worker/src/routes/ops/library.ts</t>
        </is>
      </c>
      <c r="E1038" s="8" t="n">
        <v>145</v>
      </c>
      <c r="F1038" s="8" t="inlineStr">
        <is>
          <t>Yes</t>
        </is>
      </c>
      <c r="G1038" s="8" t="n">
        <v>16</v>
      </c>
    </row>
    <row r="1039">
      <c r="A1039" s="8" t="inlineStr">
        <is>
          <t>GET</t>
        </is>
      </c>
      <c r="B1039" s="8" t="inlineStr">
        <is>
          <t>/api/v1/ops/library/fines/summary</t>
        </is>
      </c>
      <c r="C1039" s="8" t="inlineStr">
        <is>
          <t>operations.library.read</t>
        </is>
      </c>
      <c r="D1039" s="8" t="inlineStr">
        <is>
          <t>worker/src/routes/ops/library.ts</t>
        </is>
      </c>
      <c r="E1039" s="8" t="n">
        <v>184</v>
      </c>
      <c r="F1039" s="8" t="inlineStr">
        <is>
          <t>Yes</t>
        </is>
      </c>
      <c r="G1039" s="8" t="n">
        <v>16</v>
      </c>
    </row>
    <row r="1040">
      <c r="A1040" s="8" t="inlineStr">
        <is>
          <t>POST</t>
        </is>
      </c>
      <c r="B1040" s="8" t="inlineStr">
        <is>
          <t>/api/v1/ops/library/loans/{id}/fine/collect</t>
        </is>
      </c>
      <c r="C1040" s="8" t="inlineStr">
        <is>
          <t>operations.library.write</t>
        </is>
      </c>
      <c r="D1040" s="8" t="inlineStr">
        <is>
          <t>worker/src/routes/ops/library.ts</t>
        </is>
      </c>
      <c r="E1040" s="8" t="n">
        <v>211</v>
      </c>
      <c r="F1040" s="8" t="inlineStr">
        <is>
          <t>Yes</t>
        </is>
      </c>
      <c r="G1040" s="8" t="n">
        <v>16</v>
      </c>
    </row>
    <row r="1041">
      <c r="A1041" s="8" t="inlineStr">
        <is>
          <t>POST</t>
        </is>
      </c>
      <c r="B1041" s="8" t="inlineStr">
        <is>
          <t>/api/v1/ops/library/loans/{id}/fine/waive</t>
        </is>
      </c>
      <c r="C1041" s="8" t="inlineStr">
        <is>
          <t>operations.library.write</t>
        </is>
      </c>
      <c r="D1041" s="8" t="inlineStr">
        <is>
          <t>worker/src/routes/ops/library.ts</t>
        </is>
      </c>
      <c r="E1041" s="8" t="n">
        <v>220</v>
      </c>
      <c r="F1041" s="8" t="inlineStr">
        <is>
          <t>Yes</t>
        </is>
      </c>
      <c r="G1041" s="8" t="n">
        <v>16</v>
      </c>
    </row>
    <row r="1042">
      <c r="A1042" s="8" t="inlineStr">
        <is>
          <t>GET</t>
        </is>
      </c>
      <c r="B1042" s="8" t="inlineStr">
        <is>
          <t>/api/v1/ops/library/fines/settings</t>
        </is>
      </c>
      <c r="C1042" s="8" t="inlineStr">
        <is>
          <t>operations.library.read</t>
        </is>
      </c>
      <c r="D1042" s="8" t="inlineStr">
        <is>
          <t>worker/src/routes/ops/library.ts</t>
        </is>
      </c>
      <c r="E1042" s="8" t="n">
        <v>232</v>
      </c>
      <c r="F1042" s="8" t="inlineStr">
        <is>
          <t>Yes</t>
        </is>
      </c>
      <c r="G1042" s="8" t="n">
        <v>16</v>
      </c>
    </row>
    <row r="1043">
      <c r="A1043" s="8" t="inlineStr">
        <is>
          <t>PUT</t>
        </is>
      </c>
      <c r="B1043" s="8" t="inlineStr">
        <is>
          <t>/api/v1/ops/library/fines/settings</t>
        </is>
      </c>
      <c r="C1043" s="8" t="inlineStr">
        <is>
          <t>operations.library.write</t>
        </is>
      </c>
      <c r="D1043" s="8" t="inlineStr">
        <is>
          <t>worker/src/routes/ops/library.ts</t>
        </is>
      </c>
      <c r="E1043" s="8" t="n">
        <v>233</v>
      </c>
      <c r="F1043" s="8" t="inlineStr">
        <is>
          <t>Yes</t>
        </is>
      </c>
      <c r="G1043" s="8" t="n">
        <v>16</v>
      </c>
    </row>
    <row r="1044">
      <c r="A1044" s="8" t="inlineStr">
        <is>
          <t>POST</t>
        </is>
      </c>
      <c r="B1044" s="8" t="inlineStr">
        <is>
          <t>/api/v1/ops/library/loans/{id}/return</t>
        </is>
      </c>
      <c r="C1044" s="8" t="inlineStr">
        <is>
          <t>operations.library.write</t>
        </is>
      </c>
      <c r="D1044" s="8" t="inlineStr">
        <is>
          <t>worker/src/routes/ops/library.ts</t>
        </is>
      </c>
      <c r="E1044" s="8" t="n">
        <v>244</v>
      </c>
      <c r="F1044" s="8" t="inlineStr">
        <is>
          <t>Yes</t>
        </is>
      </c>
      <c r="G1044" s="8" t="n">
        <v>16</v>
      </c>
    </row>
    <row r="1045">
      <c r="A1045" s="8" t="inlineStr">
        <is>
          <t>GET</t>
        </is>
      </c>
      <c r="B1045" s="8" t="inlineStr">
        <is>
          <t>/api/v1/ops/library/reservations</t>
        </is>
      </c>
      <c r="C1045" s="8" t="inlineStr">
        <is>
          <t>operations.library.read</t>
        </is>
      </c>
      <c r="D1045" s="8" t="inlineStr">
        <is>
          <t>worker/src/routes/ops/library.ts</t>
        </is>
      </c>
      <c r="E1045" s="8" t="n">
        <v>276</v>
      </c>
      <c r="F1045" s="8" t="inlineStr">
        <is>
          <t>Yes</t>
        </is>
      </c>
      <c r="G1045" s="8" t="n">
        <v>16</v>
      </c>
    </row>
    <row r="1046">
      <c r="A1046" s="8" t="inlineStr">
        <is>
          <t>POST</t>
        </is>
      </c>
      <c r="B1046" s="8" t="inlineStr">
        <is>
          <t>/api/v1/ops/library/reservations</t>
        </is>
      </c>
      <c r="C1046" s="8" t="inlineStr">
        <is>
          <t>operations.library.write</t>
        </is>
      </c>
      <c r="D1046" s="8" t="inlineStr">
        <is>
          <t>worker/src/routes/ops/library.ts</t>
        </is>
      </c>
      <c r="E1046" s="8" t="n">
        <v>303</v>
      </c>
      <c r="F1046" s="8" t="inlineStr">
        <is>
          <t>Yes</t>
        </is>
      </c>
      <c r="G1046" s="8" t="n">
        <v>16</v>
      </c>
    </row>
    <row r="1047">
      <c r="A1047" s="8" t="inlineStr">
        <is>
          <t>POST</t>
        </is>
      </c>
      <c r="B1047" s="8" t="inlineStr">
        <is>
          <t>/api/v1/ops/library/reservations/{id}/decide</t>
        </is>
      </c>
      <c r="C1047" s="8" t="inlineStr">
        <is>
          <t>operations.library.write</t>
        </is>
      </c>
      <c r="D1047" s="8" t="inlineStr">
        <is>
          <t>worker/src/routes/ops/library.ts</t>
        </is>
      </c>
      <c r="E1047" s="8" t="n">
        <v>335</v>
      </c>
      <c r="F1047" s="8" t="inlineStr">
        <is>
          <t>Yes</t>
        </is>
      </c>
      <c r="G1047" s="8" t="n">
        <v>16</v>
      </c>
    </row>
    <row r="1048">
      <c r="A1048" s="8" t="inlineStr">
        <is>
          <t>GET</t>
        </is>
      </c>
      <c r="B1048" s="8" t="inlineStr">
        <is>
          <t>/api/v1/ops/library/audits</t>
        </is>
      </c>
      <c r="C1048" s="8" t="inlineStr">
        <is>
          <t>operations.library.read</t>
        </is>
      </c>
      <c r="D1048" s="8" t="inlineStr">
        <is>
          <t>worker/src/routes/ops/library.ts</t>
        </is>
      </c>
      <c r="E1048" s="8" t="n">
        <v>371</v>
      </c>
      <c r="F1048" s="8" t="inlineStr">
        <is>
          <t>Yes</t>
        </is>
      </c>
      <c r="G1048" s="8" t="n">
        <v>16</v>
      </c>
    </row>
    <row r="1049">
      <c r="A1049" s="8" t="inlineStr">
        <is>
          <t>POST</t>
        </is>
      </c>
      <c r="B1049" s="8" t="inlineStr">
        <is>
          <t>/api/v1/ops/library/audits</t>
        </is>
      </c>
      <c r="C1049" s="8" t="inlineStr">
        <is>
          <t>operations.library.write</t>
        </is>
      </c>
      <c r="D1049" s="8" t="inlineStr">
        <is>
          <t>worker/src/routes/ops/library.ts</t>
        </is>
      </c>
      <c r="E1049" s="8" t="n">
        <v>389</v>
      </c>
      <c r="F1049" s="8" t="inlineStr">
        <is>
          <t>Yes</t>
        </is>
      </c>
      <c r="G1049" s="8" t="n">
        <v>16</v>
      </c>
    </row>
    <row r="1050">
      <c r="A1050" s="8" t="inlineStr">
        <is>
          <t>POST</t>
        </is>
      </c>
      <c r="B1050" s="8" t="inlineStr">
        <is>
          <t>/api/v1/ops/library/audits/{id}/scan</t>
        </is>
      </c>
      <c r="C1050" s="8" t="inlineStr">
        <is>
          <t>operations.library.write</t>
        </is>
      </c>
      <c r="D1050" s="8" t="inlineStr">
        <is>
          <t>worker/src/routes/ops/library.ts</t>
        </is>
      </c>
      <c r="E1050" s="8" t="n">
        <v>411</v>
      </c>
      <c r="F1050" s="8" t="inlineStr">
        <is>
          <t>Yes</t>
        </is>
      </c>
      <c r="G1050" s="8" t="n">
        <v>16</v>
      </c>
    </row>
    <row r="1051">
      <c r="A1051" s="8" t="inlineStr">
        <is>
          <t>GET</t>
        </is>
      </c>
      <c r="B1051" s="8" t="inlineStr">
        <is>
          <t>/api/v1/ops/library/audits/{id}/missing</t>
        </is>
      </c>
      <c r="C1051" s="8" t="inlineStr">
        <is>
          <t>operations.library.read</t>
        </is>
      </c>
      <c r="D1051" s="8" t="inlineStr">
        <is>
          <t>worker/src/routes/ops/library.ts</t>
        </is>
      </c>
      <c r="E1051" s="8" t="n">
        <v>435</v>
      </c>
      <c r="F1051" s="8" t="inlineStr">
        <is>
          <t>Yes</t>
        </is>
      </c>
      <c r="G1051" s="8" t="n">
        <v>16</v>
      </c>
    </row>
    <row r="1052">
      <c r="A1052" s="8" t="inlineStr">
        <is>
          <t>GET</t>
        </is>
      </c>
      <c r="B1052" s="8" t="inlineStr">
        <is>
          <t>/api/v1/ops/library/indents</t>
        </is>
      </c>
      <c r="C1052" s="8" t="inlineStr">
        <is>
          <t>operations.library.read</t>
        </is>
      </c>
      <c r="D1052" s="8" t="inlineStr">
        <is>
          <t>worker/src/routes/ops/library.ts</t>
        </is>
      </c>
      <c r="E1052" s="8" t="n">
        <v>449</v>
      </c>
      <c r="F1052" s="8" t="inlineStr">
        <is>
          <t>Yes</t>
        </is>
      </c>
      <c r="G1052" s="8" t="n">
        <v>16</v>
      </c>
    </row>
    <row r="1053">
      <c r="A1053" s="8" t="inlineStr">
        <is>
          <t>POST</t>
        </is>
      </c>
      <c r="B1053" s="8" t="inlineStr">
        <is>
          <t>/api/v1/ops/library/indents</t>
        </is>
      </c>
      <c r="C1053" s="8" t="inlineStr">
        <is>
          <t>operations.library.write</t>
        </is>
      </c>
      <c r="D1053" s="8" t="inlineStr">
        <is>
          <t>worker/src/routes/ops/library.ts</t>
        </is>
      </c>
      <c r="E1053" s="8" t="n">
        <v>466</v>
      </c>
      <c r="F1053" s="8" t="inlineStr">
        <is>
          <t>Yes</t>
        </is>
      </c>
      <c r="G1053" s="8" t="n">
        <v>16</v>
      </c>
    </row>
    <row r="1054">
      <c r="A1054" s="8" t="inlineStr">
        <is>
          <t>GET</t>
        </is>
      </c>
      <c r="B1054" s="8" t="inlineStr">
        <is>
          <t>/api/v1/ops/transport/my-bus</t>
        </is>
      </c>
      <c r="C1054" s="8" t="inlineStr">
        <is>
          <t>operations.transport.read</t>
        </is>
      </c>
      <c r="D1054" s="8" t="inlineStr">
        <is>
          <t>worker/src/routes/ops/transport.ts</t>
        </is>
      </c>
      <c r="E1054" s="8" t="n">
        <v>208</v>
      </c>
      <c r="F1054" s="8" t="inlineStr">
        <is>
          <t>Yes</t>
        </is>
      </c>
      <c r="G1054" s="8" t="n">
        <v>10</v>
      </c>
    </row>
    <row r="1055">
      <c r="A1055" s="8" t="inlineStr">
        <is>
          <t>GET</t>
        </is>
      </c>
      <c r="B1055" s="8" t="inlineStr">
        <is>
          <t>/api/v1/ops/transport/assignable-staff</t>
        </is>
      </c>
      <c r="C1055" s="8" t="inlineStr">
        <is>
          <t>operations.transport.read</t>
        </is>
      </c>
      <c r="D1055" s="8" t="inlineStr">
        <is>
          <t>worker/src/routes/ops/transport.ts</t>
        </is>
      </c>
      <c r="E1055" s="8" t="n">
        <v>276</v>
      </c>
      <c r="F1055" s="8" t="inlineStr">
        <is>
          <t>Yes</t>
        </is>
      </c>
      <c r="G1055" s="8" t="n">
        <v>10</v>
      </c>
    </row>
    <row r="1056">
      <c r="A1056" s="8" t="inlineStr">
        <is>
          <t>GET</t>
        </is>
      </c>
      <c r="B1056" s="8" t="inlineStr">
        <is>
          <t>/api/v1/ops/transport/policy</t>
        </is>
      </c>
      <c r="C1056" s="8" t="inlineStr">
        <is>
          <t>operations.transport.read</t>
        </is>
      </c>
      <c r="D1056" s="8" t="inlineStr">
        <is>
          <t>worker/src/routes/ops/transport.ts</t>
        </is>
      </c>
      <c r="E1056" s="8" t="n">
        <v>282</v>
      </c>
      <c r="F1056" s="8" t="inlineStr">
        <is>
          <t>No</t>
        </is>
      </c>
      <c r="G1056" s="8" t="n">
        <v>10</v>
      </c>
    </row>
    <row r="1057">
      <c r="A1057" s="8" t="inlineStr">
        <is>
          <t>PUT</t>
        </is>
      </c>
      <c r="B1057" s="8" t="inlineStr">
        <is>
          <t>/api/v1/ops/transport/policy</t>
        </is>
      </c>
      <c r="C1057" s="8" t="inlineStr">
        <is>
          <t>operations.transport.write</t>
        </is>
      </c>
      <c r="D1057" s="8" t="inlineStr">
        <is>
          <t>worker/src/routes/ops/transport.ts</t>
        </is>
      </c>
      <c r="E1057" s="8" t="n">
        <v>288</v>
      </c>
      <c r="F1057" s="8" t="inlineStr">
        <is>
          <t>No</t>
        </is>
      </c>
      <c r="G1057" s="8" t="n">
        <v>10</v>
      </c>
    </row>
    <row r="1058">
      <c r="A1058" s="8" t="inlineStr">
        <is>
          <t>GET</t>
        </is>
      </c>
      <c r="B1058" s="8" t="inlineStr">
        <is>
          <t>/api/v1/ops/transport/vehicles</t>
        </is>
      </c>
      <c r="C1058" s="8" t="inlineStr">
        <is>
          <t>operations.transport.read</t>
        </is>
      </c>
      <c r="D1058" s="8" t="inlineStr">
        <is>
          <t>worker/src/routes/ops/transport.ts</t>
        </is>
      </c>
      <c r="E1058" s="8" t="n">
        <v>316</v>
      </c>
      <c r="F1058" s="8" t="inlineStr">
        <is>
          <t>Yes</t>
        </is>
      </c>
      <c r="G1058" s="8" t="n">
        <v>10</v>
      </c>
    </row>
    <row r="1059">
      <c r="A1059" s="8" t="inlineStr">
        <is>
          <t>POST</t>
        </is>
      </c>
      <c r="B1059" s="8" t="inlineStr">
        <is>
          <t>/api/v1/ops/transport/vehicles</t>
        </is>
      </c>
      <c r="C1059" s="8" t="inlineStr">
        <is>
          <t>operations.transport.write</t>
        </is>
      </c>
      <c r="D1059" s="8" t="inlineStr">
        <is>
          <t>worker/src/routes/ops/transport.ts</t>
        </is>
      </c>
      <c r="E1059" s="8" t="n">
        <v>327</v>
      </c>
      <c r="F1059" s="8" t="inlineStr">
        <is>
          <t>Yes</t>
        </is>
      </c>
      <c r="G1059" s="8" t="n">
        <v>10</v>
      </c>
    </row>
    <row r="1060">
      <c r="A1060" s="8" t="inlineStr">
        <is>
          <t>PUT</t>
        </is>
      </c>
      <c r="B1060" s="8" t="inlineStr">
        <is>
          <t>/api/v1/ops/transport/vehicles/{id}</t>
        </is>
      </c>
      <c r="C1060" s="8" t="inlineStr">
        <is>
          <t>operations.transport.write</t>
        </is>
      </c>
      <c r="D1060" s="8" t="inlineStr">
        <is>
          <t>worker/src/routes/ops/transport.ts</t>
        </is>
      </c>
      <c r="E1060" s="8" t="n">
        <v>352</v>
      </c>
      <c r="F1060" s="8" t="inlineStr">
        <is>
          <t>Yes</t>
        </is>
      </c>
      <c r="G1060" s="8" t="n">
        <v>10</v>
      </c>
    </row>
    <row r="1061">
      <c r="A1061" s="8" t="inlineStr">
        <is>
          <t>PUT</t>
        </is>
      </c>
      <c r="B1061" s="8" t="inlineStr">
        <is>
          <t>/api/v1/ops/transport/vehicles/{id}/route</t>
        </is>
      </c>
      <c r="C1061" s="8" t="inlineStr">
        <is>
          <t>operations.transport.write</t>
        </is>
      </c>
      <c r="D1061" s="8" t="inlineStr">
        <is>
          <t>worker/src/routes/ops/transport.ts</t>
        </is>
      </c>
      <c r="E1061" s="8" t="n">
        <v>372</v>
      </c>
      <c r="F1061" s="8" t="inlineStr">
        <is>
          <t>Yes</t>
        </is>
      </c>
      <c r="G1061" s="8" t="n">
        <v>10</v>
      </c>
    </row>
    <row r="1062">
      <c r="A1062" s="8" t="inlineStr">
        <is>
          <t>GET</t>
        </is>
      </c>
      <c r="B1062" s="8" t="inlineStr">
        <is>
          <t>/api/v1/ops/transport/routes</t>
        </is>
      </c>
      <c r="C1062" s="8" t="inlineStr">
        <is>
          <t>operations.transport.read</t>
        </is>
      </c>
      <c r="D1062" s="8" t="inlineStr">
        <is>
          <t>worker/src/routes/ops/transport.ts</t>
        </is>
      </c>
      <c r="E1062" s="8" t="n">
        <v>392</v>
      </c>
      <c r="F1062" s="8" t="inlineStr">
        <is>
          <t>Yes</t>
        </is>
      </c>
      <c r="G1062" s="8" t="n">
        <v>10</v>
      </c>
    </row>
    <row r="1063">
      <c r="A1063" s="8" t="inlineStr">
        <is>
          <t>GET</t>
        </is>
      </c>
      <c r="B1063" s="8" t="inlineStr">
        <is>
          <t>/api/v1/ops/transport/routes/{id}/stops</t>
        </is>
      </c>
      <c r="C1063" s="8" t="inlineStr">
        <is>
          <t>operations.transport.read</t>
        </is>
      </c>
      <c r="D1063" s="8" t="inlineStr">
        <is>
          <t>worker/src/routes/ops/transport.ts</t>
        </is>
      </c>
      <c r="E1063" s="8" t="n">
        <v>400</v>
      </c>
      <c r="F1063" s="8" t="inlineStr">
        <is>
          <t>Yes</t>
        </is>
      </c>
      <c r="G1063" s="8" t="n">
        <v>10</v>
      </c>
    </row>
    <row r="1064">
      <c r="A1064" s="8" t="inlineStr">
        <is>
          <t>POST</t>
        </is>
      </c>
      <c r="B1064" s="8" t="inlineStr">
        <is>
          <t>/api/v1/ops/transport/routes</t>
        </is>
      </c>
      <c r="C1064" s="8" t="inlineStr">
        <is>
          <t>operations.transport.write</t>
        </is>
      </c>
      <c r="D1064" s="8" t="inlineStr">
        <is>
          <t>worker/src/routes/ops/transport.ts</t>
        </is>
      </c>
      <c r="E1064" s="8" t="n">
        <v>511</v>
      </c>
      <c r="F1064" s="8" t="inlineStr">
        <is>
          <t>Yes</t>
        </is>
      </c>
      <c r="G1064" s="8" t="n">
        <v>10</v>
      </c>
    </row>
    <row r="1065">
      <c r="A1065" s="8" t="inlineStr">
        <is>
          <t>PUT</t>
        </is>
      </c>
      <c r="B1065" s="8" t="inlineStr">
        <is>
          <t>/api/v1/ops/transport/routes/{id}</t>
        </is>
      </c>
      <c r="C1065" s="8" t="inlineStr">
        <is>
          <t>operations.transport.write</t>
        </is>
      </c>
      <c r="D1065" s="8" t="inlineStr">
        <is>
          <t>worker/src/routes/ops/transport.ts</t>
        </is>
      </c>
      <c r="E1065" s="8" t="n">
        <v>512</v>
      </c>
      <c r="F1065" s="8" t="inlineStr">
        <is>
          <t>Yes</t>
        </is>
      </c>
      <c r="G1065" s="8" t="n">
        <v>10</v>
      </c>
    </row>
    <row r="1066">
      <c r="A1066" s="8" t="inlineStr">
        <is>
          <t>DELETE</t>
        </is>
      </c>
      <c r="B1066" s="8" t="inlineStr">
        <is>
          <t>/api/v1/ops/transport/routes/{id}</t>
        </is>
      </c>
      <c r="C1066" s="8" t="inlineStr">
        <is>
          <t>operations.transport.write</t>
        </is>
      </c>
      <c r="D1066" s="8" t="inlineStr">
        <is>
          <t>worker/src/routes/ops/transport.ts</t>
        </is>
      </c>
      <c r="E1066" s="8" t="n">
        <v>514</v>
      </c>
      <c r="F1066" s="8" t="inlineStr">
        <is>
          <t>Yes</t>
        </is>
      </c>
      <c r="G1066" s="8" t="n">
        <v>10</v>
      </c>
    </row>
    <row r="1067">
      <c r="A1067" s="8" t="inlineStr">
        <is>
          <t>GET</t>
        </is>
      </c>
      <c r="B1067" s="8" t="inlineStr">
        <is>
          <t>/api/v1/ops/transport/staff</t>
        </is>
      </c>
      <c r="C1067" s="8" t="inlineStr">
        <is>
          <t>READ</t>
        </is>
      </c>
      <c r="D1067" s="8" t="inlineStr">
        <is>
          <t>worker/src/routes/ops/transport_office.ts</t>
        </is>
      </c>
      <c r="E1067" s="8" t="n">
        <v>27</v>
      </c>
      <c r="F1067" s="8" t="inlineStr">
        <is>
          <t>Yes</t>
        </is>
      </c>
      <c r="G1067" s="8" t="n">
        <v>18</v>
      </c>
    </row>
    <row r="1068">
      <c r="A1068" s="8" t="inlineStr">
        <is>
          <t>POST</t>
        </is>
      </c>
      <c r="B1068" s="8" t="inlineStr">
        <is>
          <t>/api/v1/ops/transport/staff</t>
        </is>
      </c>
      <c r="C1068" s="8" t="inlineStr">
        <is>
          <t>WRITE</t>
        </is>
      </c>
      <c r="D1068" s="8" t="inlineStr">
        <is>
          <t>worker/src/routes/ops/transport_office.ts</t>
        </is>
      </c>
      <c r="E1068" s="8" t="n">
        <v>67</v>
      </c>
      <c r="F1068" s="8" t="inlineStr">
        <is>
          <t>Yes</t>
        </is>
      </c>
      <c r="G1068" s="8" t="n">
        <v>18</v>
      </c>
    </row>
    <row r="1069">
      <c r="A1069" s="8" t="inlineStr">
        <is>
          <t>GET</t>
        </is>
      </c>
      <c r="B1069" s="8" t="inlineStr">
        <is>
          <t>/api/v1/ops/transport/allocations</t>
        </is>
      </c>
      <c r="C1069" s="8" t="inlineStr">
        <is>
          <t>READ</t>
        </is>
      </c>
      <c r="D1069" s="8" t="inlineStr">
        <is>
          <t>worker/src/routes/ops/transport_office.ts</t>
        </is>
      </c>
      <c r="E1069" s="8" t="n">
        <v>97</v>
      </c>
      <c r="F1069" s="8" t="inlineStr">
        <is>
          <t>Yes</t>
        </is>
      </c>
      <c r="G1069" s="8" t="n">
        <v>18</v>
      </c>
    </row>
    <row r="1070">
      <c r="A1070" s="8" t="inlineStr">
        <is>
          <t>POST</t>
        </is>
      </c>
      <c r="B1070" s="8" t="inlineStr">
        <is>
          <t>/api/v1/ops/transport/allocations</t>
        </is>
      </c>
      <c r="C1070" s="8" t="inlineStr">
        <is>
          <t>WRITE</t>
        </is>
      </c>
      <c r="D1070" s="8" t="inlineStr">
        <is>
          <t>worker/src/routes/ops/transport_office.ts</t>
        </is>
      </c>
      <c r="E1070" s="8" t="n">
        <v>123</v>
      </c>
      <c r="F1070" s="8" t="inlineStr">
        <is>
          <t>Yes</t>
        </is>
      </c>
      <c r="G1070" s="8" t="n">
        <v>18</v>
      </c>
    </row>
    <row r="1071">
      <c r="A1071" s="8" t="inlineStr">
        <is>
          <t>GET</t>
        </is>
      </c>
      <c r="B1071" s="8" t="inlineStr">
        <is>
          <t>/api/v1/ops/transport/attendance</t>
        </is>
      </c>
      <c r="C1071" s="8" t="inlineStr">
        <is>
          <t>READ</t>
        </is>
      </c>
      <c r="D1071" s="8" t="inlineStr">
        <is>
          <t>worker/src/routes/ops/transport_office.ts</t>
        </is>
      </c>
      <c r="E1071" s="8" t="n">
        <v>156</v>
      </c>
      <c r="F1071" s="8" t="inlineStr">
        <is>
          <t>Yes</t>
        </is>
      </c>
      <c r="G1071" s="8" t="n">
        <v>18</v>
      </c>
    </row>
    <row r="1072">
      <c r="A1072" s="8" t="inlineStr">
        <is>
          <t>POST</t>
        </is>
      </c>
      <c r="B1072" s="8" t="inlineStr">
        <is>
          <t>/api/v1/ops/transport/attendance</t>
        </is>
      </c>
      <c r="C1072" s="8" t="inlineStr">
        <is>
          <t>WRITE</t>
        </is>
      </c>
      <c r="D1072" s="8" t="inlineStr">
        <is>
          <t>worker/src/routes/ops/transport_office.ts</t>
        </is>
      </c>
      <c r="E1072" s="8" t="n">
        <v>187</v>
      </c>
      <c r="F1072" s="8" t="inlineStr">
        <is>
          <t>Yes</t>
        </is>
      </c>
      <c r="G1072" s="8" t="n">
        <v>18</v>
      </c>
    </row>
    <row r="1073">
      <c r="A1073" s="8" t="inlineStr">
        <is>
          <t>GET</t>
        </is>
      </c>
      <c r="B1073" s="8" t="inlineStr">
        <is>
          <t>/api/v1/ops/transport/logs</t>
        </is>
      </c>
      <c r="C1073" s="8" t="inlineStr">
        <is>
          <t>READ</t>
        </is>
      </c>
      <c r="D1073" s="8" t="inlineStr">
        <is>
          <t>worker/src/routes/ops/transport_office.ts</t>
        </is>
      </c>
      <c r="E1073" s="8" t="n">
        <v>219</v>
      </c>
      <c r="F1073" s="8" t="inlineStr">
        <is>
          <t>Yes</t>
        </is>
      </c>
      <c r="G1073" s="8" t="n">
        <v>18</v>
      </c>
    </row>
    <row r="1074">
      <c r="A1074" s="8" t="inlineStr">
        <is>
          <t>POST</t>
        </is>
      </c>
      <c r="B1074" s="8" t="inlineStr">
        <is>
          <t>/api/v1/ops/transport/logs</t>
        </is>
      </c>
      <c r="C1074" s="8" t="inlineStr">
        <is>
          <t>WRITE</t>
        </is>
      </c>
      <c r="D1074" s="8" t="inlineStr">
        <is>
          <t>worker/src/routes/ops/transport_office.ts</t>
        </is>
      </c>
      <c r="E1074" s="8" t="n">
        <v>249</v>
      </c>
      <c r="F1074" s="8" t="inlineStr">
        <is>
          <t>Yes</t>
        </is>
      </c>
      <c r="G1074" s="8" t="n">
        <v>18</v>
      </c>
    </row>
    <row r="1075">
      <c r="A1075" s="8" t="inlineStr">
        <is>
          <t>GET</t>
        </is>
      </c>
      <c r="B1075" s="8" t="inlineStr">
        <is>
          <t>/api/v1/ops/transport/checks</t>
        </is>
      </c>
      <c r="C1075" s="8" t="inlineStr">
        <is>
          <t>READ</t>
        </is>
      </c>
      <c r="D1075" s="8" t="inlineStr">
        <is>
          <t>worker/src/routes/ops/transport_office.ts</t>
        </is>
      </c>
      <c r="E1075" s="8" t="n">
        <v>281</v>
      </c>
      <c r="F1075" s="8" t="inlineStr">
        <is>
          <t>Yes</t>
        </is>
      </c>
      <c r="G1075" s="8" t="n">
        <v>18</v>
      </c>
    </row>
    <row r="1076">
      <c r="A1076" s="8" t="inlineStr">
        <is>
          <t>POST</t>
        </is>
      </c>
      <c r="B1076" s="8" t="inlineStr">
        <is>
          <t>/api/v1/ops/transport/checks</t>
        </is>
      </c>
      <c r="C1076" s="8" t="inlineStr">
        <is>
          <t>WRITE</t>
        </is>
      </c>
      <c r="D1076" s="8" t="inlineStr">
        <is>
          <t>worker/src/routes/ops/transport_office.ts</t>
        </is>
      </c>
      <c r="E1076" s="8" t="n">
        <v>317</v>
      </c>
      <c r="F1076" s="8" t="inlineStr">
        <is>
          <t>Yes</t>
        </is>
      </c>
      <c r="G1076" s="8" t="n">
        <v>18</v>
      </c>
    </row>
    <row r="1077">
      <c r="A1077" s="8" t="inlineStr">
        <is>
          <t>GET</t>
        </is>
      </c>
      <c r="B1077" s="8" t="inlineStr">
        <is>
          <t>/api/v1/ops/transport/incidents</t>
        </is>
      </c>
      <c r="C1077" s="8" t="inlineStr">
        <is>
          <t>READ</t>
        </is>
      </c>
      <c r="D1077" s="8" t="inlineStr">
        <is>
          <t>worker/src/routes/ops/transport_office.ts</t>
        </is>
      </c>
      <c r="E1077" s="8" t="n">
        <v>348</v>
      </c>
      <c r="F1077" s="8" t="inlineStr">
        <is>
          <t>Yes</t>
        </is>
      </c>
      <c r="G1077" s="8" t="n">
        <v>18</v>
      </c>
    </row>
    <row r="1078">
      <c r="A1078" s="8" t="inlineStr">
        <is>
          <t>POST</t>
        </is>
      </c>
      <c r="B1078" s="8" t="inlineStr">
        <is>
          <t>/api/v1/ops/transport/incidents</t>
        </is>
      </c>
      <c r="C1078" s="8" t="inlineStr">
        <is>
          <t>WRITE</t>
        </is>
      </c>
      <c r="D1078" s="8" t="inlineStr">
        <is>
          <t>worker/src/routes/ops/transport_office.ts</t>
        </is>
      </c>
      <c r="E1078" s="8" t="n">
        <v>383</v>
      </c>
      <c r="F1078" s="8" t="inlineStr">
        <is>
          <t>Yes</t>
        </is>
      </c>
      <c r="G1078" s="8" t="n">
        <v>18</v>
      </c>
    </row>
    <row r="1079">
      <c r="A1079" s="8" t="inlineStr">
        <is>
          <t>POST</t>
        </is>
      </c>
      <c r="B1079" s="8" t="inlineStr">
        <is>
          <t>/api/v1/timetable-admin/substitutions</t>
        </is>
      </c>
      <c r="C1079" s="8" t="inlineStr">
        <is>
          <t>TIMETABLE_WRITE</t>
        </is>
      </c>
      <c r="D1079" s="8" t="inlineStr">
        <is>
          <t>worker/src/routes/payroll.ts</t>
        </is>
      </c>
      <c r="E1079" s="8" t="n">
        <v>29</v>
      </c>
      <c r="F1079" s="8" t="inlineStr">
        <is>
          <t>Yes</t>
        </is>
      </c>
      <c r="G1079" s="8" t="n">
        <v>35</v>
      </c>
    </row>
    <row r="1080">
      <c r="A1080" s="8" t="inlineStr">
        <is>
          <t>GET</t>
        </is>
      </c>
      <c r="B1080" s="8" t="inlineStr">
        <is>
          <t>/api/v1/communication/circulars</t>
        </is>
      </c>
      <c r="C1080" s="8" t="inlineStr">
        <is>
          <t>auth</t>
        </is>
      </c>
      <c r="D1080" s="8" t="inlineStr">
        <is>
          <t>worker/src/routes/payroll.ts</t>
        </is>
      </c>
      <c r="E1080" s="8" t="n">
        <v>77</v>
      </c>
      <c r="F1080" s="8" t="inlineStr">
        <is>
          <t>Yes</t>
        </is>
      </c>
      <c r="G1080" s="8" t="n">
        <v>35</v>
      </c>
    </row>
    <row r="1081">
      <c r="A1081" s="8" t="inlineStr">
        <is>
          <t>GET</t>
        </is>
      </c>
      <c r="B1081" s="8" t="inlineStr">
        <is>
          <t>/api/v1/communication/circulars/{id}/delivery</t>
        </is>
      </c>
      <c r="C1081" s="8" t="inlineStr">
        <is>
          <t>auth</t>
        </is>
      </c>
      <c r="D1081" s="8" t="inlineStr">
        <is>
          <t>worker/src/routes/payroll.ts</t>
        </is>
      </c>
      <c r="E1081" s="8" t="n">
        <v>114</v>
      </c>
      <c r="F1081" s="8" t="inlineStr">
        <is>
          <t>Yes</t>
        </is>
      </c>
      <c r="G1081" s="8" t="n">
        <v>35</v>
      </c>
    </row>
    <row r="1082">
      <c r="A1082" s="8" t="inlineStr">
        <is>
          <t>POST</t>
        </is>
      </c>
      <c r="B1082" s="8" t="inlineStr">
        <is>
          <t>/api/v1/communication/circulars/{id}/ack</t>
        </is>
      </c>
      <c r="C1082" s="8" t="inlineStr">
        <is>
          <t>auth</t>
        </is>
      </c>
      <c r="D1082" s="8" t="inlineStr">
        <is>
          <t>worker/src/routes/payroll.ts</t>
        </is>
      </c>
      <c r="E1082" s="8" t="n">
        <v>156</v>
      </c>
      <c r="F1082" s="8" t="inlineStr">
        <is>
          <t>Yes</t>
        </is>
      </c>
      <c r="G1082" s="8" t="n">
        <v>35</v>
      </c>
    </row>
    <row r="1083">
      <c r="A1083" s="8" t="inlineStr">
        <is>
          <t>POST</t>
        </is>
      </c>
      <c r="B1083" s="8" t="inlineStr">
        <is>
          <t>/api/v1/communication/circulars</t>
        </is>
      </c>
      <c r="C1083" s="8" t="inlineStr">
        <is>
          <t>ANNOUNCEMENTS_WRITE</t>
        </is>
      </c>
      <c r="D1083" s="8" t="inlineStr">
        <is>
          <t>worker/src/routes/payroll.ts</t>
        </is>
      </c>
      <c r="E1083" s="8" t="n">
        <v>176</v>
      </c>
      <c r="F1083" s="8" t="inlineStr">
        <is>
          <t>Yes</t>
        </is>
      </c>
      <c r="G1083" s="8" t="n">
        <v>35</v>
      </c>
    </row>
    <row r="1084">
      <c r="A1084" s="8" t="inlineStr">
        <is>
          <t>GET</t>
        </is>
      </c>
      <c r="B1084" s="8" t="inlineStr">
        <is>
          <t>/api/v1/compliance/udise</t>
        </is>
      </c>
      <c r="C1084" s="8" t="inlineStr">
        <is>
          <t>REPORTS_READ</t>
        </is>
      </c>
      <c r="D1084" s="8" t="inlineStr">
        <is>
          <t>worker/src/routes/payroll.ts</t>
        </is>
      </c>
      <c r="E1084" s="8" t="n">
        <v>290</v>
      </c>
      <c r="F1084" s="8" t="inlineStr">
        <is>
          <t>Yes</t>
        </is>
      </c>
      <c r="G1084" s="8" t="n">
        <v>35</v>
      </c>
    </row>
    <row r="1085">
      <c r="A1085" s="8" t="inlineStr">
        <is>
          <t>POST</t>
        </is>
      </c>
      <c r="B1085" s="8" t="inlineStr">
        <is>
          <t>/api/v1/compliance/apaar</t>
        </is>
      </c>
      <c r="C1085" s="8" t="inlineStr">
        <is>
          <t>STUDENTS_WRITE</t>
        </is>
      </c>
      <c r="D1085" s="8" t="inlineStr">
        <is>
          <t>worker/src/routes/payroll.ts</t>
        </is>
      </c>
      <c r="E1085" s="8" t="n">
        <v>312</v>
      </c>
      <c r="F1085" s="8" t="inlineStr">
        <is>
          <t>Yes</t>
        </is>
      </c>
      <c r="G1085" s="8" t="n">
        <v>35</v>
      </c>
    </row>
    <row r="1086">
      <c r="A1086" s="8" t="inlineStr">
        <is>
          <t>GET</t>
        </is>
      </c>
      <c r="B1086" s="8" t="inlineStr">
        <is>
          <t>/api/v1/payroll/payslips</t>
        </is>
      </c>
      <c r="C1086" s="8" t="inlineStr">
        <is>
          <t>PAYROLL_READ</t>
        </is>
      </c>
      <c r="D1086" s="8" t="inlineStr">
        <is>
          <t>worker/src/routes/payroll.ts</t>
        </is>
      </c>
      <c r="E1086" s="8" t="n">
        <v>773</v>
      </c>
      <c r="F1086" s="8" t="inlineStr">
        <is>
          <t>Yes</t>
        </is>
      </c>
      <c r="G1086" s="8" t="n">
        <v>35</v>
      </c>
    </row>
    <row r="1087">
      <c r="A1087" s="8" t="inlineStr">
        <is>
          <t>POST</t>
        </is>
      </c>
      <c r="B1087" s="8" t="inlineStr">
        <is>
          <t>/api/v1/payroll/run</t>
        </is>
      </c>
      <c r="C1087" s="8" t="inlineStr">
        <is>
          <t>PAYROLL_WRITE</t>
        </is>
      </c>
      <c r="D1087" s="8" t="inlineStr">
        <is>
          <t>worker/src/routes/payroll.ts</t>
        </is>
      </c>
      <c r="E1087" s="8" t="n">
        <v>790</v>
      </c>
      <c r="F1087" s="8" t="inlineStr">
        <is>
          <t>Yes</t>
        </is>
      </c>
      <c r="G1087" s="8" t="n">
        <v>35</v>
      </c>
    </row>
    <row r="1088">
      <c r="A1088" s="8" t="inlineStr">
        <is>
          <t>POST</t>
        </is>
      </c>
      <c r="B1088" s="8" t="inlineStr">
        <is>
          <t>/api/v1/payroll/state</t>
        </is>
      </c>
      <c r="C1088" s="8" t="inlineStr">
        <is>
          <t>PAYROLL_WRITE</t>
        </is>
      </c>
      <c r="D1088" s="8" t="inlineStr">
        <is>
          <t>worker/src/routes/payroll.ts</t>
        </is>
      </c>
      <c r="E1088" s="8" t="n">
        <v>791</v>
      </c>
      <c r="F1088" s="8" t="inlineStr">
        <is>
          <t>Yes</t>
        </is>
      </c>
      <c r="G1088" s="8" t="n">
        <v>35</v>
      </c>
    </row>
    <row r="1089">
      <c r="A1089" s="8" t="inlineStr">
        <is>
          <t>GET</t>
        </is>
      </c>
      <c r="B1089" s="8" t="inlineStr">
        <is>
          <t>/api/v1/payroll/components</t>
        </is>
      </c>
      <c r="C1089" s="8" t="inlineStr">
        <is>
          <t>PAYROLL_READ</t>
        </is>
      </c>
      <c r="D1089" s="8" t="inlineStr">
        <is>
          <t>worker/src/routes/payroll.ts</t>
        </is>
      </c>
      <c r="E1089" s="8" t="n">
        <v>793</v>
      </c>
      <c r="F1089" s="8" t="inlineStr">
        <is>
          <t>Yes</t>
        </is>
      </c>
      <c r="G1089" s="8" t="n">
        <v>35</v>
      </c>
    </row>
    <row r="1090">
      <c r="A1090" s="8" t="inlineStr">
        <is>
          <t>POST</t>
        </is>
      </c>
      <c r="B1090" s="8" t="inlineStr">
        <is>
          <t>/api/v1/payroll/components</t>
        </is>
      </c>
      <c r="C1090" s="8" t="inlineStr">
        <is>
          <t>PAYROLL_WRITE</t>
        </is>
      </c>
      <c r="D1090" s="8" t="inlineStr">
        <is>
          <t>worker/src/routes/payroll.ts</t>
        </is>
      </c>
      <c r="E1090" s="8" t="n">
        <v>803</v>
      </c>
      <c r="F1090" s="8" t="inlineStr">
        <is>
          <t>Yes</t>
        </is>
      </c>
      <c r="G1090" s="8" t="n">
        <v>35</v>
      </c>
    </row>
    <row r="1091">
      <c r="A1091" s="8" t="inlineStr">
        <is>
          <t>DELETE</t>
        </is>
      </c>
      <c r="B1091" s="8" t="inlineStr">
        <is>
          <t>/api/v1/payroll/components/{id}</t>
        </is>
      </c>
      <c r="C1091" s="8" t="inlineStr">
        <is>
          <t>PAYROLL_WRITE</t>
        </is>
      </c>
      <c r="D1091" s="8" t="inlineStr">
        <is>
          <t>worker/src/routes/payroll.ts</t>
        </is>
      </c>
      <c r="E1091" s="8" t="n">
        <v>821</v>
      </c>
      <c r="F1091" s="8" t="inlineStr">
        <is>
          <t>Yes</t>
        </is>
      </c>
      <c r="G1091" s="8" t="n">
        <v>35</v>
      </c>
    </row>
    <row r="1092">
      <c r="A1092" s="8" t="inlineStr">
        <is>
          <t>GET</t>
        </is>
      </c>
      <c r="B1092" s="8" t="inlineStr">
        <is>
          <t>/api/v1/payroll/structures</t>
        </is>
      </c>
      <c r="C1092" s="8" t="inlineStr">
        <is>
          <t>PAYROLL_READ</t>
        </is>
      </c>
      <c r="D1092" s="8" t="inlineStr">
        <is>
          <t>worker/src/routes/payroll.ts</t>
        </is>
      </c>
      <c r="E1092" s="8" t="n">
        <v>831</v>
      </c>
      <c r="F1092" s="8" t="inlineStr">
        <is>
          <t>Yes</t>
        </is>
      </c>
      <c r="G1092" s="8" t="n">
        <v>35</v>
      </c>
    </row>
    <row r="1093">
      <c r="A1093" s="8" t="inlineStr">
        <is>
          <t>POST</t>
        </is>
      </c>
      <c r="B1093" s="8" t="inlineStr">
        <is>
          <t>/api/v1/payroll/structures</t>
        </is>
      </c>
      <c r="C1093" s="8" t="inlineStr">
        <is>
          <t>PAYROLL_WRITE</t>
        </is>
      </c>
      <c r="D1093" s="8" t="inlineStr">
        <is>
          <t>worker/src/routes/payroll.ts</t>
        </is>
      </c>
      <c r="E1093" s="8" t="n">
        <v>857</v>
      </c>
      <c r="F1093" s="8" t="inlineStr">
        <is>
          <t>Yes</t>
        </is>
      </c>
      <c r="G1093" s="8" t="n">
        <v>35</v>
      </c>
    </row>
    <row r="1094">
      <c r="A1094" s="8" t="inlineStr">
        <is>
          <t>DELETE</t>
        </is>
      </c>
      <c r="B1094" s="8" t="inlineStr">
        <is>
          <t>/api/v1/payroll/structures/{id}</t>
        </is>
      </c>
      <c r="C1094" s="8" t="inlineStr">
        <is>
          <t>PAYROLL_WRITE</t>
        </is>
      </c>
      <c r="D1094" s="8" t="inlineStr">
        <is>
          <t>worker/src/routes/payroll.ts</t>
        </is>
      </c>
      <c r="E1094" s="8" t="n">
        <v>883</v>
      </c>
      <c r="F1094" s="8" t="inlineStr">
        <is>
          <t>Yes</t>
        </is>
      </c>
      <c r="G1094" s="8" t="n">
        <v>35</v>
      </c>
    </row>
    <row r="1095">
      <c r="A1095" s="8" t="inlineStr">
        <is>
          <t>GET</t>
        </is>
      </c>
      <c r="B1095" s="8" t="inlineStr">
        <is>
          <t>/api/v1/payroll/settings</t>
        </is>
      </c>
      <c r="C1095" s="8" t="inlineStr">
        <is>
          <t>PAYROLL_READ</t>
        </is>
      </c>
      <c r="D1095" s="8" t="inlineStr">
        <is>
          <t>worker/src/routes/payroll.ts</t>
        </is>
      </c>
      <c r="E1095" s="8" t="n">
        <v>894</v>
      </c>
      <c r="F1095" s="8" t="inlineStr">
        <is>
          <t>Yes</t>
        </is>
      </c>
      <c r="G1095" s="8" t="n">
        <v>35</v>
      </c>
    </row>
    <row r="1096">
      <c r="A1096" s="8" t="inlineStr">
        <is>
          <t>PUT</t>
        </is>
      </c>
      <c r="B1096" s="8" t="inlineStr">
        <is>
          <t>/api/v1/payroll/settings</t>
        </is>
      </c>
      <c r="C1096" s="8" t="inlineStr">
        <is>
          <t>PAYROLL_WRITE</t>
        </is>
      </c>
      <c r="D1096" s="8" t="inlineStr">
        <is>
          <t>worker/src/routes/payroll.ts</t>
        </is>
      </c>
      <c r="E1096" s="8" t="n">
        <v>895</v>
      </c>
      <c r="F1096" s="8" t="inlineStr">
        <is>
          <t>Yes</t>
        </is>
      </c>
      <c r="G1096" s="8" t="n">
        <v>35</v>
      </c>
    </row>
    <row r="1097">
      <c r="A1097" s="8" t="inlineStr">
        <is>
          <t>GET</t>
        </is>
      </c>
      <c r="B1097" s="8" t="inlineStr">
        <is>
          <t>/api/v1/payroll/statutory</t>
        </is>
      </c>
      <c r="C1097" s="8" t="inlineStr">
        <is>
          <t>PAYROLL_READ</t>
        </is>
      </c>
      <c r="D1097" s="8" t="inlineStr">
        <is>
          <t>worker/src/routes/payroll.ts</t>
        </is>
      </c>
      <c r="E1097" s="8" t="n">
        <v>927</v>
      </c>
      <c r="F1097" s="8" t="inlineStr">
        <is>
          <t>Yes</t>
        </is>
      </c>
      <c r="G1097" s="8" t="n">
        <v>35</v>
      </c>
    </row>
    <row r="1098">
      <c r="A1098" s="8" t="inlineStr">
        <is>
          <t>GET</t>
        </is>
      </c>
      <c r="B1098" s="8" t="inlineStr">
        <is>
          <t>/api/v1/payroll/ecr</t>
        </is>
      </c>
      <c r="C1098" s="8" t="inlineStr">
        <is>
          <t>PAYROLL_READ</t>
        </is>
      </c>
      <c r="D1098" s="8" t="inlineStr">
        <is>
          <t>worker/src/routes/payroll.ts</t>
        </is>
      </c>
      <c r="E1098" s="8" t="n">
        <v>952</v>
      </c>
      <c r="F1098" s="8" t="inlineStr">
        <is>
          <t>Yes</t>
        </is>
      </c>
      <c r="G1098" s="8" t="n">
        <v>35</v>
      </c>
    </row>
    <row r="1099">
      <c r="A1099" s="8" t="inlineStr">
        <is>
          <t>GET</t>
        </is>
      </c>
      <c r="B1099" s="8" t="inlineStr">
        <is>
          <t>/api/v1/payroll/bank-file</t>
        </is>
      </c>
      <c r="C1099" s="8" t="inlineStr">
        <is>
          <t>PAYROLL_READ</t>
        </is>
      </c>
      <c r="D1099" s="8" t="inlineStr">
        <is>
          <t>worker/src/routes/payroll.ts</t>
        </is>
      </c>
      <c r="E1099" s="8" t="n">
        <v>971</v>
      </c>
      <c r="F1099" s="8" t="inlineStr">
        <is>
          <t>Yes</t>
        </is>
      </c>
      <c r="G1099" s="8" t="n">
        <v>35</v>
      </c>
    </row>
    <row r="1100">
      <c r="A1100" s="8" t="inlineStr">
        <is>
          <t>GET</t>
        </is>
      </c>
      <c r="B1100" s="8" t="inlineStr">
        <is>
          <t>/api/v1/payroll/ctc</t>
        </is>
      </c>
      <c r="C1100" s="8" t="inlineStr">
        <is>
          <t>PAYROLL_READ</t>
        </is>
      </c>
      <c r="D1100" s="8" t="inlineStr">
        <is>
          <t>worker/src/routes/payroll.ts</t>
        </is>
      </c>
      <c r="E1100" s="8" t="n">
        <v>993</v>
      </c>
      <c r="F1100" s="8" t="inlineStr">
        <is>
          <t>No</t>
        </is>
      </c>
      <c r="G1100" s="8" t="n">
        <v>35</v>
      </c>
    </row>
    <row r="1101">
      <c r="A1101" s="8" t="inlineStr">
        <is>
          <t>GET</t>
        </is>
      </c>
      <c r="B1101" s="8" t="inlineStr">
        <is>
          <t>/api/v1/payroll/gratuity</t>
        </is>
      </c>
      <c r="C1101" s="8" t="inlineStr">
        <is>
          <t>PAYROLL_READ</t>
        </is>
      </c>
      <c r="D1101" s="8" t="inlineStr">
        <is>
          <t>worker/src/routes/payroll.ts</t>
        </is>
      </c>
      <c r="E1101" s="8" t="n">
        <v>1024</v>
      </c>
      <c r="F1101" s="8" t="inlineStr">
        <is>
          <t>Yes</t>
        </is>
      </c>
      <c r="G1101" s="8" t="n">
        <v>35</v>
      </c>
    </row>
    <row r="1102">
      <c r="A1102" s="8" t="inlineStr">
        <is>
          <t>GET</t>
        </is>
      </c>
      <c r="B1102" s="8" t="inlineStr">
        <is>
          <t>/api/v1/payroll/tax</t>
        </is>
      </c>
      <c r="C1102" s="8" t="inlineStr">
        <is>
          <t>PAYROLL_READ</t>
        </is>
      </c>
      <c r="D1102" s="8" t="inlineStr">
        <is>
          <t>worker/src/routes/payroll.ts</t>
        </is>
      </c>
      <c r="E1102" s="8" t="n">
        <v>1057</v>
      </c>
      <c r="F1102" s="8" t="inlineStr">
        <is>
          <t>Yes</t>
        </is>
      </c>
      <c r="G1102" s="8" t="n">
        <v>35</v>
      </c>
    </row>
    <row r="1103">
      <c r="A1103" s="8" t="inlineStr">
        <is>
          <t>GET</t>
        </is>
      </c>
      <c r="B1103" s="8" t="inlineStr">
        <is>
          <t>/api/v1/payroll/declarations</t>
        </is>
      </c>
      <c r="C1103" s="8" t="inlineStr">
        <is>
          <t>PAYROLL_READ</t>
        </is>
      </c>
      <c r="D1103" s="8" t="inlineStr">
        <is>
          <t>worker/src/routes/payroll.ts</t>
        </is>
      </c>
      <c r="E1103" s="8" t="n">
        <v>1058</v>
      </c>
      <c r="F1103" s="8" t="inlineStr">
        <is>
          <t>Yes</t>
        </is>
      </c>
      <c r="G1103" s="8" t="n">
        <v>35</v>
      </c>
    </row>
    <row r="1104">
      <c r="A1104" s="8" t="inlineStr">
        <is>
          <t>POST</t>
        </is>
      </c>
      <c r="B1104" s="8" t="inlineStr">
        <is>
          <t>/api/v1/payroll/declarations</t>
        </is>
      </c>
      <c r="C1104" s="8" t="inlineStr">
        <is>
          <t>PAYROLL_WRITE</t>
        </is>
      </c>
      <c r="D1104" s="8" t="inlineStr">
        <is>
          <t>worker/src/routes/payroll.ts</t>
        </is>
      </c>
      <c r="E1104" s="8" t="n">
        <v>1068</v>
      </c>
      <c r="F1104" s="8" t="inlineStr">
        <is>
          <t>Yes</t>
        </is>
      </c>
      <c r="G1104" s="8" t="n">
        <v>35</v>
      </c>
    </row>
    <row r="1105">
      <c r="A1105" s="8" t="inlineStr">
        <is>
          <t>GET</t>
        </is>
      </c>
      <c r="B1105" s="8" t="inlineStr">
        <is>
          <t>/api/v1/payroll/loans</t>
        </is>
      </c>
      <c r="C1105" s="8" t="inlineStr">
        <is>
          <t>PAYROLL_READ</t>
        </is>
      </c>
      <c r="D1105" s="8" t="inlineStr">
        <is>
          <t>worker/src/routes/payroll.ts</t>
        </is>
      </c>
      <c r="E1105" s="8" t="n">
        <v>1070</v>
      </c>
      <c r="F1105" s="8" t="inlineStr">
        <is>
          <t>Yes</t>
        </is>
      </c>
      <c r="G1105" s="8" t="n">
        <v>35</v>
      </c>
    </row>
    <row r="1106">
      <c r="A1106" s="8" t="inlineStr">
        <is>
          <t>POST</t>
        </is>
      </c>
      <c r="B1106" s="8" t="inlineStr">
        <is>
          <t>/api/v1/payroll/loans</t>
        </is>
      </c>
      <c r="C1106" s="8" t="inlineStr">
        <is>
          <t>PAYROLL_WRITE</t>
        </is>
      </c>
      <c r="D1106" s="8" t="inlineStr">
        <is>
          <t>worker/src/routes/payroll.ts</t>
        </is>
      </c>
      <c r="E1106" s="8" t="n">
        <v>1086</v>
      </c>
      <c r="F1106" s="8" t="inlineStr">
        <is>
          <t>Yes</t>
        </is>
      </c>
      <c r="G1106" s="8" t="n">
        <v>35</v>
      </c>
    </row>
    <row r="1107">
      <c r="A1107" s="8" t="inlineStr">
        <is>
          <t>GET</t>
        </is>
      </c>
      <c r="B1107" s="8" t="inlineStr">
        <is>
          <t>/api/v1/payroll/contractor-bills</t>
        </is>
      </c>
      <c r="C1107" s="8" t="inlineStr">
        <is>
          <t>PAYROLL_READ</t>
        </is>
      </c>
      <c r="D1107" s="8" t="inlineStr">
        <is>
          <t>worker/src/routes/payroll.ts</t>
        </is>
      </c>
      <c r="E1107" s="8" t="n">
        <v>1113</v>
      </c>
      <c r="F1107" s="8" t="inlineStr">
        <is>
          <t>Yes</t>
        </is>
      </c>
      <c r="G1107" s="8" t="n">
        <v>35</v>
      </c>
    </row>
    <row r="1108">
      <c r="A1108" s="8" t="inlineStr">
        <is>
          <t>POST</t>
        </is>
      </c>
      <c r="B1108" s="8" t="inlineStr">
        <is>
          <t>/api/v1/payroll/contractor-bills</t>
        </is>
      </c>
      <c r="C1108" s="8" t="inlineStr">
        <is>
          <t>PAYROLL_WRITE</t>
        </is>
      </c>
      <c r="D1108" s="8" t="inlineStr">
        <is>
          <t>worker/src/routes/payroll.ts</t>
        </is>
      </c>
      <c r="E1108" s="8" t="n">
        <v>1125</v>
      </c>
      <c r="F1108" s="8" t="inlineStr">
        <is>
          <t>Yes</t>
        </is>
      </c>
      <c r="G1108" s="8" t="n">
        <v>35</v>
      </c>
    </row>
    <row r="1109">
      <c r="A1109" s="8" t="inlineStr">
        <is>
          <t>GET</t>
        </is>
      </c>
      <c r="B1109" s="8" t="inlineStr">
        <is>
          <t>/api/v1/portal/comms/grievances/{id}</t>
        </is>
      </c>
      <c r="C1109" s="8" t="inlineStr">
        <is>
          <t>P</t>
        </is>
      </c>
      <c r="D1109" s="8" t="inlineStr">
        <is>
          <t>worker/src/routes/portal/extra.ts</t>
        </is>
      </c>
      <c r="E1109" s="8" t="n">
        <v>159</v>
      </c>
      <c r="F1109" s="8" t="inlineStr">
        <is>
          <t>No</t>
        </is>
      </c>
      <c r="G1109" s="8" t="n">
        <v>11</v>
      </c>
    </row>
    <row r="1110">
      <c r="A1110" s="8" t="inlineStr">
        <is>
          <t>POST</t>
        </is>
      </c>
      <c r="B1110" s="8" t="inlineStr">
        <is>
          <t>/api/v1/portal/comms/grievances/{id}/satisfaction</t>
        </is>
      </c>
      <c r="C1110" s="8" t="inlineStr">
        <is>
          <t>P</t>
        </is>
      </c>
      <c r="D1110" s="8" t="inlineStr">
        <is>
          <t>worker/src/routes/portal/extra.ts</t>
        </is>
      </c>
      <c r="E1110" s="8" t="n">
        <v>160</v>
      </c>
      <c r="F1110" s="8" t="inlineStr">
        <is>
          <t>No</t>
        </is>
      </c>
      <c r="G1110" s="8" t="n">
        <v>11</v>
      </c>
    </row>
    <row r="1111">
      <c r="A1111" s="8" t="inlineStr">
        <is>
          <t>POST</t>
        </is>
      </c>
      <c r="B1111" s="8" t="inlineStr">
        <is>
          <t>/api/v1/portal/comms/grievances/{id}/reply</t>
        </is>
      </c>
      <c r="C1111" s="8" t="inlineStr">
        <is>
          <t>P</t>
        </is>
      </c>
      <c r="D1111" s="8" t="inlineStr">
        <is>
          <t>worker/src/routes/portal/extra.ts</t>
        </is>
      </c>
      <c r="E1111" s="8" t="n">
        <v>161</v>
      </c>
      <c r="F1111" s="8" t="inlineStr">
        <is>
          <t>No</t>
        </is>
      </c>
      <c r="G1111" s="8" t="n">
        <v>11</v>
      </c>
    </row>
    <row r="1112">
      <c r="A1112" s="8" t="inlineStr">
        <is>
          <t>POST</t>
        </is>
      </c>
      <c r="B1112" s="8" t="inlineStr">
        <is>
          <t>/api/v1/portal/comms/grievances/{id}/reopen</t>
        </is>
      </c>
      <c r="C1112" s="8" t="inlineStr">
        <is>
          <t>P</t>
        </is>
      </c>
      <c r="D1112" s="8" t="inlineStr">
        <is>
          <t>worker/src/routes/portal/extra.ts</t>
        </is>
      </c>
      <c r="E1112" s="8" t="n">
        <v>162</v>
      </c>
      <c r="F1112" s="8" t="inlineStr">
        <is>
          <t>No</t>
        </is>
      </c>
      <c r="G1112" s="8" t="n">
        <v>11</v>
      </c>
    </row>
    <row r="1113">
      <c r="A1113" s="8" t="inlineStr">
        <is>
          <t>GET</t>
        </is>
      </c>
      <c r="B1113" s="8" t="inlineStr">
        <is>
          <t>/api/v1/portal/comms/achievements</t>
        </is>
      </c>
      <c r="C1113" s="8" t="inlineStr">
        <is>
          <t>P</t>
        </is>
      </c>
      <c r="D1113" s="8" t="inlineStr">
        <is>
          <t>worker/src/routes/portal/extra.ts</t>
        </is>
      </c>
      <c r="E1113" s="8" t="n">
        <v>163</v>
      </c>
      <c r="F1113" s="8" t="inlineStr">
        <is>
          <t>No</t>
        </is>
      </c>
      <c r="G1113" s="8" t="n">
        <v>11</v>
      </c>
    </row>
    <row r="1114">
      <c r="A1114" s="8" t="inlineStr">
        <is>
          <t>GET</t>
        </is>
      </c>
      <c r="B1114" s="8" t="inlineStr">
        <is>
          <t>/api/v1/portal/students</t>
        </is>
      </c>
      <c r="C1114" s="8" t="inlineStr">
        <is>
          <t>GROUP</t>
        </is>
      </c>
      <c r="D1114" s="8" t="inlineStr">
        <is>
          <t>worker/src/routes/portal/family.ts</t>
        </is>
      </c>
      <c r="E1114" s="8" t="n">
        <v>996</v>
      </c>
      <c r="F1114" s="8" t="inlineStr">
        <is>
          <t>Yes</t>
        </is>
      </c>
      <c r="G1114" s="8" t="n">
        <v>42</v>
      </c>
    </row>
    <row r="1115">
      <c r="A1115" s="8" t="inlineStr">
        <is>
          <t>GET</t>
        </is>
      </c>
      <c r="B1115" s="8" t="inlineStr">
        <is>
          <t>/api/v1/portal/students/everywhere</t>
        </is>
      </c>
      <c r="C1115" s="8" t="inlineStr">
        <is>
          <t>GROUP</t>
        </is>
      </c>
      <c r="D1115" s="8" t="inlineStr">
        <is>
          <t>worker/src/routes/portal/family.ts</t>
        </is>
      </c>
      <c r="E1115" s="8" t="n">
        <v>997</v>
      </c>
      <c r="F1115" s="8" t="inlineStr">
        <is>
          <t>Yes</t>
        </is>
      </c>
      <c r="G1115" s="8" t="n">
        <v>42</v>
      </c>
    </row>
    <row r="1116">
      <c r="A1116" s="8" t="inlineStr">
        <is>
          <t>GET</t>
        </is>
      </c>
      <c r="B1116" s="8" t="inlineStr">
        <is>
          <t>/api/v1/portal/family-details</t>
        </is>
      </c>
      <c r="C1116" s="8" t="inlineStr">
        <is>
          <t>GROUP</t>
        </is>
      </c>
      <c r="D1116" s="8" t="inlineStr">
        <is>
          <t>worker/src/routes/portal/family.ts</t>
        </is>
      </c>
      <c r="E1116" s="8" t="n">
        <v>998</v>
      </c>
      <c r="F1116" s="8" t="inlineStr">
        <is>
          <t>Yes</t>
        </is>
      </c>
      <c r="G1116" s="8" t="n">
        <v>42</v>
      </c>
    </row>
    <row r="1117">
      <c r="A1117" s="8" t="inlineStr">
        <is>
          <t>PUT</t>
        </is>
      </c>
      <c r="B1117" s="8" t="inlineStr">
        <is>
          <t>/api/v1/portal/family-details</t>
        </is>
      </c>
      <c r="C1117" s="8" t="inlineStr">
        <is>
          <t>GROUP</t>
        </is>
      </c>
      <c r="D1117" s="8" t="inlineStr">
        <is>
          <t>worker/src/routes/portal/family.ts</t>
        </is>
      </c>
      <c r="E1117" s="8" t="n">
        <v>999</v>
      </c>
      <c r="F1117" s="8" t="inlineStr">
        <is>
          <t>Yes</t>
        </is>
      </c>
      <c r="G1117" s="8" t="n">
        <v>42</v>
      </c>
    </row>
    <row r="1118">
      <c r="A1118" s="8" t="inlineStr">
        <is>
          <t>GET</t>
        </is>
      </c>
      <c r="B1118" s="8" t="inlineStr">
        <is>
          <t>/api/v1/portal/summary</t>
        </is>
      </c>
      <c r="C1118" s="8" t="inlineStr">
        <is>
          <t>GROUP</t>
        </is>
      </c>
      <c r="D1118" s="8" t="inlineStr">
        <is>
          <t>worker/src/routes/portal/family.ts</t>
        </is>
      </c>
      <c r="E1118" s="8" t="n">
        <v>1000</v>
      </c>
      <c r="F1118" s="8" t="inlineStr">
        <is>
          <t>Yes</t>
        </is>
      </c>
      <c r="G1118" s="8" t="n">
        <v>42</v>
      </c>
    </row>
    <row r="1119">
      <c r="A1119" s="8" t="inlineStr">
        <is>
          <t>GET</t>
        </is>
      </c>
      <c r="B1119" s="8" t="inlineStr">
        <is>
          <t>/api/v1/portal/attendance</t>
        </is>
      </c>
      <c r="C1119" s="8" t="inlineStr">
        <is>
          <t>GROUP</t>
        </is>
      </c>
      <c r="D1119" s="8" t="inlineStr">
        <is>
          <t>worker/src/routes/portal/family.ts</t>
        </is>
      </c>
      <c r="E1119" s="8" t="n">
        <v>1001</v>
      </c>
      <c r="F1119" s="8" t="inlineStr">
        <is>
          <t>Yes</t>
        </is>
      </c>
      <c r="G1119" s="8" t="n">
        <v>42</v>
      </c>
    </row>
    <row r="1120">
      <c r="A1120" s="8" t="inlineStr">
        <is>
          <t>GET</t>
        </is>
      </c>
      <c r="B1120" s="8" t="inlineStr">
        <is>
          <t>/api/v1/portal/fees</t>
        </is>
      </c>
      <c r="C1120" s="8" t="inlineStr">
        <is>
          <t>GROUP</t>
        </is>
      </c>
      <c r="D1120" s="8" t="inlineStr">
        <is>
          <t>worker/src/routes/portal/family.ts</t>
        </is>
      </c>
      <c r="E1120" s="8" t="n">
        <v>1002</v>
      </c>
      <c r="F1120" s="8" t="inlineStr">
        <is>
          <t>Yes</t>
        </is>
      </c>
      <c r="G1120" s="8" t="n">
        <v>42</v>
      </c>
    </row>
    <row r="1121">
      <c r="A1121" s="8" t="inlineStr">
        <is>
          <t>GET</t>
        </is>
      </c>
      <c r="B1121" s="8" t="inlineStr">
        <is>
          <t>/api/v1/portal/notes</t>
        </is>
      </c>
      <c r="C1121" s="8" t="inlineStr">
        <is>
          <t>GROUP</t>
        </is>
      </c>
      <c r="D1121" s="8" t="inlineStr">
        <is>
          <t>worker/src/routes/portal/family.ts</t>
        </is>
      </c>
      <c r="E1121" s="8" t="n">
        <v>1003</v>
      </c>
      <c r="F1121" s="8" t="inlineStr">
        <is>
          <t>No</t>
        </is>
      </c>
      <c r="G1121" s="8" t="n">
        <v>42</v>
      </c>
    </row>
    <row r="1122">
      <c r="A1122" s="8" t="inlineStr">
        <is>
          <t>GET</t>
        </is>
      </c>
      <c r="B1122" s="8" t="inlineStr">
        <is>
          <t>/api/v1/portal/results</t>
        </is>
      </c>
      <c r="C1122" s="8" t="inlineStr">
        <is>
          <t>GROUP</t>
        </is>
      </c>
      <c r="D1122" s="8" t="inlineStr">
        <is>
          <t>worker/src/routes/portal/family.ts</t>
        </is>
      </c>
      <c r="E1122" s="8" t="n">
        <v>1004</v>
      </c>
      <c r="F1122" s="8" t="inlineStr">
        <is>
          <t>Yes</t>
        </is>
      </c>
      <c r="G1122" s="8" t="n">
        <v>42</v>
      </c>
    </row>
    <row r="1123">
      <c r="A1123" s="8" t="inlineStr">
        <is>
          <t>GET</t>
        </is>
      </c>
      <c r="B1123" s="8" t="inlineStr">
        <is>
          <t>/api/v1/portal/results/card</t>
        </is>
      </c>
      <c r="C1123" s="8" t="inlineStr">
        <is>
          <t>GROUP</t>
        </is>
      </c>
      <c r="D1123" s="8" t="inlineStr">
        <is>
          <t>worker/src/routes/portal/family.ts</t>
        </is>
      </c>
      <c r="E1123" s="8" t="n">
        <v>1005</v>
      </c>
      <c r="F1123" s="8" t="inlineStr">
        <is>
          <t>Yes</t>
        </is>
      </c>
      <c r="G1123" s="8" t="n">
        <v>42</v>
      </c>
    </row>
    <row r="1124">
      <c r="A1124" s="8" t="inlineStr">
        <is>
          <t>POST</t>
        </is>
      </c>
      <c r="B1124" s="8" t="inlineStr">
        <is>
          <t>/api/v1/portal/fees/pay</t>
        </is>
      </c>
      <c r="C1124" s="8" t="inlineStr">
        <is>
          <t>GROUP</t>
        </is>
      </c>
      <c r="D1124" s="8" t="inlineStr">
        <is>
          <t>worker/src/routes/portal/family.ts</t>
        </is>
      </c>
      <c r="E1124" s="8" t="n">
        <v>1006</v>
      </c>
      <c r="F1124" s="8" t="inlineStr">
        <is>
          <t>Yes</t>
        </is>
      </c>
      <c r="G1124" s="8" t="n">
        <v>42</v>
      </c>
    </row>
    <row r="1125">
      <c r="A1125" s="8" t="inlineStr">
        <is>
          <t>GET</t>
        </is>
      </c>
      <c r="B1125" s="8" t="inlineStr">
        <is>
          <t>/api/v1/portal/admission</t>
        </is>
      </c>
      <c r="C1125" s="8" t="inlineStr">
        <is>
          <t>GROUP</t>
        </is>
      </c>
      <c r="D1125" s="8" t="inlineStr">
        <is>
          <t>worker/src/routes/portal/family.ts</t>
        </is>
      </c>
      <c r="E1125" s="8" t="n">
        <v>1007</v>
      </c>
      <c r="F1125" s="8" t="inlineStr">
        <is>
          <t>Yes</t>
        </is>
      </c>
      <c r="G1125" s="8" t="n">
        <v>42</v>
      </c>
    </row>
    <row r="1126">
      <c r="A1126" s="8" t="inlineStr">
        <is>
          <t>GET</t>
        </is>
      </c>
      <c r="B1126" s="8" t="inlineStr">
        <is>
          <t>/api/v1/portal/learning/courses</t>
        </is>
      </c>
      <c r="C1126" s="8" t="inlineStr">
        <is>
          <t>PERM</t>
        </is>
      </c>
      <c r="D1126" s="8" t="inlineStr">
        <is>
          <t>worker/src/routes/portal/learning.ts</t>
        </is>
      </c>
      <c r="E1126" s="8" t="n">
        <v>936</v>
      </c>
      <c r="F1126" s="8" t="inlineStr">
        <is>
          <t>No</t>
        </is>
      </c>
      <c r="G1126" s="8" t="n">
        <v>27</v>
      </c>
    </row>
    <row r="1127">
      <c r="A1127" s="8" t="inlineStr">
        <is>
          <t>GET</t>
        </is>
      </c>
      <c r="B1127" s="8" t="inlineStr">
        <is>
          <t>/api/v1/portal/learning/resources</t>
        </is>
      </c>
      <c r="C1127" s="8" t="inlineStr">
        <is>
          <t>PERM</t>
        </is>
      </c>
      <c r="D1127" s="8" t="inlineStr">
        <is>
          <t>worker/src/routes/portal/learning.ts</t>
        </is>
      </c>
      <c r="E1127" s="8" t="n">
        <v>937</v>
      </c>
      <c r="F1127" s="8" t="inlineStr">
        <is>
          <t>Yes</t>
        </is>
      </c>
      <c r="G1127" s="8" t="n">
        <v>27</v>
      </c>
    </row>
    <row r="1128">
      <c r="A1128" s="8" t="inlineStr">
        <is>
          <t>POST</t>
        </is>
      </c>
      <c r="B1128" s="8" t="inlineStr">
        <is>
          <t>/api/v1/portal/learning/resources/{id}/seen</t>
        </is>
      </c>
      <c r="C1128" s="8" t="inlineStr">
        <is>
          <t>PERM</t>
        </is>
      </c>
      <c r="D1128" s="8" t="inlineStr">
        <is>
          <t>worker/src/routes/portal/learning.ts</t>
        </is>
      </c>
      <c r="E1128" s="8" t="n">
        <v>938</v>
      </c>
      <c r="F1128" s="8" t="inlineStr">
        <is>
          <t>Yes</t>
        </is>
      </c>
      <c r="G1128" s="8" t="n">
        <v>27</v>
      </c>
    </row>
    <row r="1129">
      <c r="A1129" s="8" t="inlineStr">
        <is>
          <t>GET</t>
        </is>
      </c>
      <c r="B1129" s="8" t="inlineStr">
        <is>
          <t>/api/v1/portal/learning/study-groups</t>
        </is>
      </c>
      <c r="C1129" s="8" t="inlineStr">
        <is>
          <t>PERM</t>
        </is>
      </c>
      <c r="D1129" s="8" t="inlineStr">
        <is>
          <t>worker/src/routes/portal/learning.ts</t>
        </is>
      </c>
      <c r="E1129" s="8" t="n">
        <v>939</v>
      </c>
      <c r="F1129" s="8" t="inlineStr">
        <is>
          <t>Yes</t>
        </is>
      </c>
      <c r="G1129" s="8" t="n">
        <v>27</v>
      </c>
    </row>
    <row r="1130">
      <c r="A1130" s="8" t="inlineStr">
        <is>
          <t>POST</t>
        </is>
      </c>
      <c r="B1130" s="8" t="inlineStr">
        <is>
          <t>/api/v1/portal/learning/study-groups</t>
        </is>
      </c>
      <c r="C1130" s="8" t="inlineStr">
        <is>
          <t>PERM</t>
        </is>
      </c>
      <c r="D1130" s="8" t="inlineStr">
        <is>
          <t>worker/src/routes/portal/learning.ts</t>
        </is>
      </c>
      <c r="E1130" s="8" t="n">
        <v>940</v>
      </c>
      <c r="F1130" s="8" t="inlineStr">
        <is>
          <t>Yes</t>
        </is>
      </c>
      <c r="G1130" s="8" t="n">
        <v>27</v>
      </c>
    </row>
    <row r="1131">
      <c r="A1131" s="8" t="inlineStr">
        <is>
          <t>GET</t>
        </is>
      </c>
      <c r="B1131" s="8" t="inlineStr">
        <is>
          <t>/api/v1/portal/learning/study-groups/{id}/members</t>
        </is>
      </c>
      <c r="C1131" s="8" t="inlineStr">
        <is>
          <t>PERM</t>
        </is>
      </c>
      <c r="D1131" s="8" t="inlineStr">
        <is>
          <t>worker/src/routes/portal/learning.ts</t>
        </is>
      </c>
      <c r="E1131" s="8" t="n">
        <v>941</v>
      </c>
      <c r="F1131" s="8" t="inlineStr">
        <is>
          <t>Yes</t>
        </is>
      </c>
      <c r="G1131" s="8" t="n">
        <v>27</v>
      </c>
    </row>
    <row r="1132">
      <c r="A1132" s="8" t="inlineStr">
        <is>
          <t>POST</t>
        </is>
      </c>
      <c r="B1132" s="8" t="inlineStr">
        <is>
          <t>/api/v1/portal/learning/study-groups/{id}/join</t>
        </is>
      </c>
      <c r="C1132" s="8" t="inlineStr">
        <is>
          <t>PERM</t>
        </is>
      </c>
      <c r="D1132" s="8" t="inlineStr">
        <is>
          <t>worker/src/routes/portal/learning.ts</t>
        </is>
      </c>
      <c r="E1132" s="8" t="n">
        <v>942</v>
      </c>
      <c r="F1132" s="8" t="inlineStr">
        <is>
          <t>Yes</t>
        </is>
      </c>
      <c r="G1132" s="8" t="n">
        <v>27</v>
      </c>
    </row>
    <row r="1133">
      <c r="A1133" s="8" t="inlineStr">
        <is>
          <t>POST</t>
        </is>
      </c>
      <c r="B1133" s="8" t="inlineStr">
        <is>
          <t>/api/v1/portal/learning/study-groups/{id}/leave</t>
        </is>
      </c>
      <c r="C1133" s="8" t="inlineStr">
        <is>
          <t>PERM</t>
        </is>
      </c>
      <c r="D1133" s="8" t="inlineStr">
        <is>
          <t>worker/src/routes/portal/learning.ts</t>
        </is>
      </c>
      <c r="E1133" s="8" t="n">
        <v>943</v>
      </c>
      <c r="F1133" s="8" t="inlineStr">
        <is>
          <t>Yes</t>
        </is>
      </c>
      <c r="G1133" s="8" t="n">
        <v>27</v>
      </c>
    </row>
    <row r="1134">
      <c r="A1134" s="8" t="inlineStr">
        <is>
          <t>GET</t>
        </is>
      </c>
      <c r="B1134" s="8" t="inlineStr">
        <is>
          <t>/api/v1/portal/learning/portfolio</t>
        </is>
      </c>
      <c r="C1134" s="8" t="inlineStr">
        <is>
          <t>PERM</t>
        </is>
      </c>
      <c r="D1134" s="8" t="inlineStr">
        <is>
          <t>worker/src/routes/portal/learning.ts</t>
        </is>
      </c>
      <c r="E1134" s="8" t="n">
        <v>944</v>
      </c>
      <c r="F1134" s="8" t="inlineStr">
        <is>
          <t>Yes</t>
        </is>
      </c>
      <c r="G1134" s="8" t="n">
        <v>27</v>
      </c>
    </row>
    <row r="1135">
      <c r="A1135" s="8" t="inlineStr">
        <is>
          <t>POST</t>
        </is>
      </c>
      <c r="B1135" s="8" t="inlineStr">
        <is>
          <t>/api/v1/portal/learning/portfolio</t>
        </is>
      </c>
      <c r="C1135" s="8" t="inlineStr">
        <is>
          <t>PERM</t>
        </is>
      </c>
      <c r="D1135" s="8" t="inlineStr">
        <is>
          <t>worker/src/routes/portal/learning.ts</t>
        </is>
      </c>
      <c r="E1135" s="8" t="n">
        <v>945</v>
      </c>
      <c r="F1135" s="8" t="inlineStr">
        <is>
          <t>Yes</t>
        </is>
      </c>
      <c r="G1135" s="8" t="n">
        <v>27</v>
      </c>
    </row>
    <row r="1136">
      <c r="A1136" s="8" t="inlineStr">
        <is>
          <t>POST</t>
        </is>
      </c>
      <c r="B1136" s="8" t="inlineStr">
        <is>
          <t>/api/v1/portal/learning/portfolio/{id}</t>
        </is>
      </c>
      <c r="C1136" s="8" t="inlineStr">
        <is>
          <t>PERM</t>
        </is>
      </c>
      <c r="D1136" s="8" t="inlineStr">
        <is>
          <t>worker/src/routes/portal/learning.ts</t>
        </is>
      </c>
      <c r="E1136" s="8" t="n">
        <v>946</v>
      </c>
      <c r="F1136" s="8" t="inlineStr">
        <is>
          <t>Yes</t>
        </is>
      </c>
      <c r="G1136" s="8" t="n">
        <v>27</v>
      </c>
    </row>
    <row r="1137">
      <c r="A1137" s="8" t="inlineStr">
        <is>
          <t>DELETE</t>
        </is>
      </c>
      <c r="B1137" s="8" t="inlineStr">
        <is>
          <t>/api/v1/portal/learning/portfolio/{id}</t>
        </is>
      </c>
      <c r="C1137" s="8" t="inlineStr">
        <is>
          <t>PERM</t>
        </is>
      </c>
      <c r="D1137" s="8" t="inlineStr">
        <is>
          <t>worker/src/routes/portal/learning.ts</t>
        </is>
      </c>
      <c r="E1137" s="8" t="n">
        <v>947</v>
      </c>
      <c r="F1137" s="8" t="inlineStr">
        <is>
          <t>Yes</t>
        </is>
      </c>
      <c r="G1137" s="8" t="n">
        <v>27</v>
      </c>
    </row>
    <row r="1138">
      <c r="A1138" s="8" t="inlineStr">
        <is>
          <t>GET</t>
        </is>
      </c>
      <c r="B1138" s="8" t="inlineStr">
        <is>
          <t>/api/v1/portal/learning/universities</t>
        </is>
      </c>
      <c r="C1138" s="8" t="inlineStr">
        <is>
          <t>PERM</t>
        </is>
      </c>
      <c r="D1138" s="8" t="inlineStr">
        <is>
          <t>worker/src/routes/portal/learning.ts</t>
        </is>
      </c>
      <c r="E1138" s="8" t="n">
        <v>948</v>
      </c>
      <c r="F1138" s="8" t="inlineStr">
        <is>
          <t>Yes</t>
        </is>
      </c>
      <c r="G1138" s="8" t="n">
        <v>27</v>
      </c>
    </row>
    <row r="1139">
      <c r="A1139" s="8" t="inlineStr">
        <is>
          <t>POST</t>
        </is>
      </c>
      <c r="B1139" s="8" t="inlineStr">
        <is>
          <t>/api/v1/portal/learning/universities</t>
        </is>
      </c>
      <c r="C1139" s="8" t="inlineStr">
        <is>
          <t>PERM</t>
        </is>
      </c>
      <c r="D1139" s="8" t="inlineStr">
        <is>
          <t>worker/src/routes/portal/learning.ts</t>
        </is>
      </c>
      <c r="E1139" s="8" t="n">
        <v>949</v>
      </c>
      <c r="F1139" s="8" t="inlineStr">
        <is>
          <t>Yes</t>
        </is>
      </c>
      <c r="G1139" s="8" t="n">
        <v>27</v>
      </c>
    </row>
    <row r="1140">
      <c r="A1140" s="8" t="inlineStr">
        <is>
          <t>POST</t>
        </is>
      </c>
      <c r="B1140" s="8" t="inlineStr">
        <is>
          <t>/api/v1/portal/learning/universities/{id}</t>
        </is>
      </c>
      <c r="C1140" s="8" t="inlineStr">
        <is>
          <t>PERM</t>
        </is>
      </c>
      <c r="D1140" s="8" t="inlineStr">
        <is>
          <t>worker/src/routes/portal/learning.ts</t>
        </is>
      </c>
      <c r="E1140" s="8" t="n">
        <v>950</v>
      </c>
      <c r="F1140" s="8" t="inlineStr">
        <is>
          <t>Yes</t>
        </is>
      </c>
      <c r="G1140" s="8" t="n">
        <v>27</v>
      </c>
    </row>
    <row r="1141">
      <c r="A1141" s="8" t="inlineStr">
        <is>
          <t>DELETE</t>
        </is>
      </c>
      <c r="B1141" s="8" t="inlineStr">
        <is>
          <t>/api/v1/portal/learning/universities/{id}</t>
        </is>
      </c>
      <c r="C1141" s="8" t="inlineStr">
        <is>
          <t>PERM</t>
        </is>
      </c>
      <c r="D1141" s="8" t="inlineStr">
        <is>
          <t>worker/src/routes/portal/learning.ts</t>
        </is>
      </c>
      <c r="E1141" s="8" t="n">
        <v>951</v>
      </c>
      <c r="F1141" s="8" t="inlineStr">
        <is>
          <t>Yes</t>
        </is>
      </c>
      <c r="G1141" s="8" t="n">
        <v>27</v>
      </c>
    </row>
    <row r="1142">
      <c r="A1142" s="8" t="inlineStr">
        <is>
          <t>GET</t>
        </is>
      </c>
      <c r="B1142" s="8" t="inlineStr">
        <is>
          <t>/api/v1/portal/campus/lost-found</t>
        </is>
      </c>
      <c r="C1142" s="8" t="inlineStr">
        <is>
          <t>PERM</t>
        </is>
      </c>
      <c r="D1142" s="8" t="inlineStr">
        <is>
          <t>worker/src/routes/portal/learning.ts</t>
        </is>
      </c>
      <c r="E1142" s="8" t="n">
        <v>954</v>
      </c>
      <c r="F1142" s="8" t="inlineStr">
        <is>
          <t>Yes</t>
        </is>
      </c>
      <c r="G1142" s="8" t="n">
        <v>27</v>
      </c>
    </row>
    <row r="1143">
      <c r="A1143" s="8" t="inlineStr">
        <is>
          <t>POST</t>
        </is>
      </c>
      <c r="B1143" s="8" t="inlineStr">
        <is>
          <t>/api/v1/portal/campus/lost-found</t>
        </is>
      </c>
      <c r="C1143" s="8" t="inlineStr">
        <is>
          <t>PERM</t>
        </is>
      </c>
      <c r="D1143" s="8" t="inlineStr">
        <is>
          <t>worker/src/routes/portal/learning.ts</t>
        </is>
      </c>
      <c r="E1143" s="8" t="n">
        <v>955</v>
      </c>
      <c r="F1143" s="8" t="inlineStr">
        <is>
          <t>Yes</t>
        </is>
      </c>
      <c r="G1143" s="8" t="n">
        <v>27</v>
      </c>
    </row>
    <row r="1144">
      <c r="A1144" s="8" t="inlineStr">
        <is>
          <t>POST</t>
        </is>
      </c>
      <c r="B1144" s="8" t="inlineStr">
        <is>
          <t>/api/v1/portal/campus/lost-found/{id}/resolve</t>
        </is>
      </c>
      <c r="C1144" s="8" t="inlineStr">
        <is>
          <t>PERM</t>
        </is>
      </c>
      <c r="D1144" s="8" t="inlineStr">
        <is>
          <t>worker/src/routes/portal/learning.ts</t>
        </is>
      </c>
      <c r="E1144" s="8" t="n">
        <v>956</v>
      </c>
      <c r="F1144" s="8" t="inlineStr">
        <is>
          <t>Yes</t>
        </is>
      </c>
      <c r="G1144" s="8" t="n">
        <v>27</v>
      </c>
    </row>
    <row r="1145">
      <c r="A1145" s="8" t="inlineStr">
        <is>
          <t>GET</t>
        </is>
      </c>
      <c r="B1145" s="8" t="inlineStr">
        <is>
          <t>/api/v1/portal/campus/locker</t>
        </is>
      </c>
      <c r="C1145" s="8" t="inlineStr">
        <is>
          <t>PERM</t>
        </is>
      </c>
      <c r="D1145" s="8" t="inlineStr">
        <is>
          <t>worker/src/routes/portal/learning.ts</t>
        </is>
      </c>
      <c r="E1145" s="8" t="n">
        <v>957</v>
      </c>
      <c r="F1145" s="8" t="inlineStr">
        <is>
          <t>Yes</t>
        </is>
      </c>
      <c r="G1145" s="8" t="n">
        <v>27</v>
      </c>
    </row>
    <row r="1146">
      <c r="A1146" s="8" t="inlineStr">
        <is>
          <t>POST</t>
        </is>
      </c>
      <c r="B1146" s="8" t="inlineStr">
        <is>
          <t>/api/v1/portal/campus/locker/reveal</t>
        </is>
      </c>
      <c r="C1146" s="8" t="inlineStr">
        <is>
          <t>PERM</t>
        </is>
      </c>
      <c r="D1146" s="8" t="inlineStr">
        <is>
          <t>worker/src/routes/portal/learning.ts</t>
        </is>
      </c>
      <c r="E1146" s="8" t="n">
        <v>958</v>
      </c>
      <c r="F1146" s="8" t="inlineStr">
        <is>
          <t>Yes</t>
        </is>
      </c>
      <c r="G1146" s="8" t="n">
        <v>27</v>
      </c>
    </row>
    <row r="1147">
      <c r="A1147" s="8" t="inlineStr">
        <is>
          <t>POST</t>
        </is>
      </c>
      <c r="B1147" s="8" t="inlineStr">
        <is>
          <t>/api/v1/portal/campus/locker/access</t>
        </is>
      </c>
      <c r="C1147" s="8" t="inlineStr">
        <is>
          <t>PERM</t>
        </is>
      </c>
      <c r="D1147" s="8" t="inlineStr">
        <is>
          <t>worker/src/routes/portal/learning.ts</t>
        </is>
      </c>
      <c r="E1147" s="8" t="n">
        <v>959</v>
      </c>
      <c r="F1147" s="8" t="inlineStr">
        <is>
          <t>Yes</t>
        </is>
      </c>
      <c r="G1147" s="8" t="n">
        <v>27</v>
      </c>
    </row>
    <row r="1148">
      <c r="A1148" s="8" t="inlineStr">
        <is>
          <t>POST</t>
        </is>
      </c>
      <c r="B1148" s="8" t="inlineStr">
        <is>
          <t>/api/v1/portal/campus/lockers</t>
        </is>
      </c>
      <c r="C1148" s="8" t="inlineStr">
        <is>
          <t>PERM</t>
        </is>
      </c>
      <c r="D1148" s="8" t="inlineStr">
        <is>
          <t>worker/src/routes/portal/learning.ts</t>
        </is>
      </c>
      <c r="E1148" s="8" t="n">
        <v>960</v>
      </c>
      <c r="F1148" s="8" t="inlineStr">
        <is>
          <t>No</t>
        </is>
      </c>
      <c r="G1148" s="8" t="n">
        <v>27</v>
      </c>
    </row>
    <row r="1149">
      <c r="A1149" s="8" t="inlineStr">
        <is>
          <t>GET</t>
        </is>
      </c>
      <c r="B1149" s="8" t="inlineStr">
        <is>
          <t>/api/v1/portal/campus/events</t>
        </is>
      </c>
      <c r="C1149" s="8" t="inlineStr">
        <is>
          <t>PERM</t>
        </is>
      </c>
      <c r="D1149" s="8" t="inlineStr">
        <is>
          <t>worker/src/routes/portal/learning.ts</t>
        </is>
      </c>
      <c r="E1149" s="8" t="n">
        <v>961</v>
      </c>
      <c r="F1149" s="8" t="inlineStr">
        <is>
          <t>Yes</t>
        </is>
      </c>
      <c r="G1149" s="8" t="n">
        <v>27</v>
      </c>
    </row>
    <row r="1150">
      <c r="A1150" s="8" t="inlineStr">
        <is>
          <t>POST</t>
        </is>
      </c>
      <c r="B1150" s="8" t="inlineStr">
        <is>
          <t>/api/v1/portal/campus/events/check-in</t>
        </is>
      </c>
      <c r="C1150" s="8" t="inlineStr">
        <is>
          <t>PERM</t>
        </is>
      </c>
      <c r="D1150" s="8" t="inlineStr">
        <is>
          <t>worker/src/routes/portal/learning.ts</t>
        </is>
      </c>
      <c r="E1150" s="8" t="n">
        <v>962</v>
      </c>
      <c r="F1150" s="8" t="inlineStr">
        <is>
          <t>No</t>
        </is>
      </c>
      <c r="G1150" s="8" t="n">
        <v>27</v>
      </c>
    </row>
    <row r="1151">
      <c r="A1151" s="8" t="inlineStr">
        <is>
          <t>POST</t>
        </is>
      </c>
      <c r="B1151" s="8" t="inlineStr">
        <is>
          <t>/api/v1/portal/campus/events</t>
        </is>
      </c>
      <c r="C1151" s="8" t="inlineStr">
        <is>
          <t>PERM</t>
        </is>
      </c>
      <c r="D1151" s="8" t="inlineStr">
        <is>
          <t>worker/src/routes/portal/learning.ts</t>
        </is>
      </c>
      <c r="E1151" s="8" t="n">
        <v>963</v>
      </c>
      <c r="F1151" s="8" t="inlineStr">
        <is>
          <t>Yes</t>
        </is>
      </c>
      <c r="G1151" s="8" t="n">
        <v>27</v>
      </c>
    </row>
    <row r="1152">
      <c r="A1152" s="8" t="inlineStr">
        <is>
          <t>POST</t>
        </is>
      </c>
      <c r="B1152" s="8" t="inlineStr">
        <is>
          <t>/api/v1/portal/campus/events/{id}/ticket</t>
        </is>
      </c>
      <c r="C1152" s="8" t="inlineStr">
        <is>
          <t>PERM</t>
        </is>
      </c>
      <c r="D1152" s="8" t="inlineStr">
        <is>
          <t>worker/src/routes/portal/learning.ts</t>
        </is>
      </c>
      <c r="E1152" s="8" t="n">
        <v>964</v>
      </c>
      <c r="F1152" s="8" t="inlineStr">
        <is>
          <t>Yes</t>
        </is>
      </c>
      <c r="G1152" s="8" t="n">
        <v>27</v>
      </c>
    </row>
    <row r="1153">
      <c r="A1153" s="8" t="inlineStr">
        <is>
          <t>POST</t>
        </is>
      </c>
      <c r="B1153" s="8" t="inlineStr">
        <is>
          <t>/api/v1/portal/campus/tickets/{id}/cancel</t>
        </is>
      </c>
      <c r="C1153" s="8" t="inlineStr">
        <is>
          <t>PERM</t>
        </is>
      </c>
      <c r="D1153" s="8" t="inlineStr">
        <is>
          <t>worker/src/routes/portal/learning.ts</t>
        </is>
      </c>
      <c r="E1153" s="8" t="n">
        <v>965</v>
      </c>
      <c r="F1153" s="8" t="inlineStr">
        <is>
          <t>Yes</t>
        </is>
      </c>
      <c r="G1153" s="8" t="n">
        <v>27</v>
      </c>
    </row>
    <row r="1154">
      <c r="A1154" s="8" t="inlineStr">
        <is>
          <t>POST</t>
        </is>
      </c>
      <c r="B1154" s="8" t="inlineStr">
        <is>
          <t>/api/v1/portal/campus/lost-found/claims/{id}/withdraw</t>
        </is>
      </c>
      <c r="C1154" s="8" t="inlineStr">
        <is>
          <t>PERM</t>
        </is>
      </c>
      <c r="D1154" s="8" t="inlineStr">
        <is>
          <t>worker/src/routes/portal/life.ts</t>
        </is>
      </c>
      <c r="E1154" s="8" t="n">
        <v>979</v>
      </c>
      <c r="F1154" s="8" t="inlineStr">
        <is>
          <t>Yes</t>
        </is>
      </c>
      <c r="G1154" s="8" t="n">
        <v>29</v>
      </c>
    </row>
    <row r="1155">
      <c r="A1155" s="8" t="inlineStr">
        <is>
          <t>POST</t>
        </is>
      </c>
      <c r="B1155" s="8" t="inlineStr">
        <is>
          <t>/api/v1/portal/campus/lost-found/claims/{id}/decide</t>
        </is>
      </c>
      <c r="C1155" s="8" t="inlineStr">
        <is>
          <t>PERM</t>
        </is>
      </c>
      <c r="D1155" s="8" t="inlineStr">
        <is>
          <t>worker/src/routes/portal/life.ts</t>
        </is>
      </c>
      <c r="E1155" s="8" t="n">
        <v>980</v>
      </c>
      <c r="F1155" s="8" t="inlineStr">
        <is>
          <t>Yes</t>
        </is>
      </c>
      <c r="G1155" s="8" t="n">
        <v>29</v>
      </c>
    </row>
    <row r="1156">
      <c r="A1156" s="8" t="inlineStr">
        <is>
          <t>POST</t>
        </is>
      </c>
      <c r="B1156" s="8" t="inlineStr">
        <is>
          <t>/api/v1/portal/campus/lost-found/{id}/photo</t>
        </is>
      </c>
      <c r="C1156" s="8" t="inlineStr">
        <is>
          <t>PERM</t>
        </is>
      </c>
      <c r="D1156" s="8" t="inlineStr">
        <is>
          <t>worker/src/routes/portal/life.ts</t>
        </is>
      </c>
      <c r="E1156" s="8" t="n">
        <v>981</v>
      </c>
      <c r="F1156" s="8" t="inlineStr">
        <is>
          <t>Yes</t>
        </is>
      </c>
      <c r="G1156" s="8" t="n">
        <v>29</v>
      </c>
    </row>
    <row r="1157">
      <c r="A1157" s="8" t="inlineStr">
        <is>
          <t>GET</t>
        </is>
      </c>
      <c r="B1157" s="8" t="inlineStr">
        <is>
          <t>/api/v1/portal/campus/lost-found/{id}/claims</t>
        </is>
      </c>
      <c r="C1157" s="8" t="inlineStr">
        <is>
          <t>PERM</t>
        </is>
      </c>
      <c r="D1157" s="8" t="inlineStr">
        <is>
          <t>worker/src/routes/portal/life.ts</t>
        </is>
      </c>
      <c r="E1157" s="8" t="n">
        <v>982</v>
      </c>
      <c r="F1157" s="8" t="inlineStr">
        <is>
          <t>Yes</t>
        </is>
      </c>
      <c r="G1157" s="8" t="n">
        <v>29</v>
      </c>
    </row>
    <row r="1158">
      <c r="A1158" s="8" t="inlineStr">
        <is>
          <t>POST</t>
        </is>
      </c>
      <c r="B1158" s="8" t="inlineStr">
        <is>
          <t>/api/v1/portal/campus/lost-found/{id}/claims</t>
        </is>
      </c>
      <c r="C1158" s="8" t="inlineStr">
        <is>
          <t>PERM</t>
        </is>
      </c>
      <c r="D1158" s="8" t="inlineStr">
        <is>
          <t>worker/src/routes/portal/life.ts</t>
        </is>
      </c>
      <c r="E1158" s="8" t="n">
        <v>983</v>
      </c>
      <c r="F1158" s="8" t="inlineStr">
        <is>
          <t>Yes</t>
        </is>
      </c>
      <c r="G1158" s="8" t="n">
        <v>29</v>
      </c>
    </row>
    <row r="1159">
      <c r="A1159" s="8" t="inlineStr">
        <is>
          <t>GET</t>
        </is>
      </c>
      <c r="B1159" s="8" t="inlineStr">
        <is>
          <t>/api/v1/portal/campus/wall/queue</t>
        </is>
      </c>
      <c r="C1159" s="8" t="inlineStr">
        <is>
          <t>PERM</t>
        </is>
      </c>
      <c r="D1159" s="8" t="inlineStr">
        <is>
          <t>worker/src/routes/portal/life.ts</t>
        </is>
      </c>
      <c r="E1159" s="8" t="n">
        <v>986</v>
      </c>
      <c r="F1159" s="8" t="inlineStr">
        <is>
          <t>No</t>
        </is>
      </c>
      <c r="G1159" s="8" t="n">
        <v>29</v>
      </c>
    </row>
    <row r="1160">
      <c r="A1160" s="8" t="inlineStr">
        <is>
          <t>GET</t>
        </is>
      </c>
      <c r="B1160" s="8" t="inlineStr">
        <is>
          <t>/api/v1/portal/campus/wall</t>
        </is>
      </c>
      <c r="C1160" s="8" t="inlineStr">
        <is>
          <t>PERM</t>
        </is>
      </c>
      <c r="D1160" s="8" t="inlineStr">
        <is>
          <t>worker/src/routes/portal/life.ts</t>
        </is>
      </c>
      <c r="E1160" s="8" t="n">
        <v>987</v>
      </c>
      <c r="F1160" s="8" t="inlineStr">
        <is>
          <t>Yes</t>
        </is>
      </c>
      <c r="G1160" s="8" t="n">
        <v>29</v>
      </c>
    </row>
    <row r="1161">
      <c r="A1161" s="8" t="inlineStr">
        <is>
          <t>POST</t>
        </is>
      </c>
      <c r="B1161" s="8" t="inlineStr">
        <is>
          <t>/api/v1/portal/campus/wall</t>
        </is>
      </c>
      <c r="C1161" s="8" t="inlineStr">
        <is>
          <t>PERM</t>
        </is>
      </c>
      <c r="D1161" s="8" t="inlineStr">
        <is>
          <t>worker/src/routes/portal/life.ts</t>
        </is>
      </c>
      <c r="E1161" s="8" t="n">
        <v>988</v>
      </c>
      <c r="F1161" s="8" t="inlineStr">
        <is>
          <t>Yes</t>
        </is>
      </c>
      <c r="G1161" s="8" t="n">
        <v>29</v>
      </c>
    </row>
    <row r="1162">
      <c r="A1162" s="8" t="inlineStr">
        <is>
          <t>POST</t>
        </is>
      </c>
      <c r="B1162" s="8" t="inlineStr">
        <is>
          <t>/api/v1/portal/campus/wall/{id}/report</t>
        </is>
      </c>
      <c r="C1162" s="8" t="inlineStr">
        <is>
          <t>PERM</t>
        </is>
      </c>
      <c r="D1162" s="8" t="inlineStr">
        <is>
          <t>worker/src/routes/portal/life.ts</t>
        </is>
      </c>
      <c r="E1162" s="8" t="n">
        <v>989</v>
      </c>
      <c r="F1162" s="8" t="inlineStr">
        <is>
          <t>Yes</t>
        </is>
      </c>
      <c r="G1162" s="8" t="n">
        <v>29</v>
      </c>
    </row>
    <row r="1163">
      <c r="A1163" s="8" t="inlineStr">
        <is>
          <t>POST</t>
        </is>
      </c>
      <c r="B1163" s="8" t="inlineStr">
        <is>
          <t>/api/v1/portal/campus/wall/{id}/moderate</t>
        </is>
      </c>
      <c r="C1163" s="8" t="inlineStr">
        <is>
          <t>PERM</t>
        </is>
      </c>
      <c r="D1163" s="8" t="inlineStr">
        <is>
          <t>worker/src/routes/portal/life.ts</t>
        </is>
      </c>
      <c r="E1163" s="8" t="n">
        <v>990</v>
      </c>
      <c r="F1163" s="8" t="inlineStr">
        <is>
          <t>No</t>
        </is>
      </c>
      <c r="G1163" s="8" t="n">
        <v>29</v>
      </c>
    </row>
    <row r="1164">
      <c r="A1164" s="8" t="inlineStr">
        <is>
          <t>GET</t>
        </is>
      </c>
      <c r="B1164" s="8" t="inlineStr">
        <is>
          <t>/api/v1/portal/campus/wall/{id}/history</t>
        </is>
      </c>
      <c r="C1164" s="8" t="inlineStr">
        <is>
          <t>PERM</t>
        </is>
      </c>
      <c r="D1164" s="8" t="inlineStr">
        <is>
          <t>worker/src/routes/portal/life.ts</t>
        </is>
      </c>
      <c r="E1164" s="8" t="n">
        <v>991</v>
      </c>
      <c r="F1164" s="8" t="inlineStr">
        <is>
          <t>No</t>
        </is>
      </c>
      <c r="G1164" s="8" t="n">
        <v>29</v>
      </c>
    </row>
    <row r="1165">
      <c r="A1165" s="8" t="inlineStr">
        <is>
          <t>GET</t>
        </is>
      </c>
      <c r="B1165" s="8" t="inlineStr">
        <is>
          <t>/api/v1/portal/diary</t>
        </is>
      </c>
      <c r="C1165" s="8" t="inlineStr">
        <is>
          <t>PERM</t>
        </is>
      </c>
      <c r="D1165" s="8" t="inlineStr">
        <is>
          <t>worker/src/routes/portal/life.ts</t>
        </is>
      </c>
      <c r="E1165" s="8" t="n">
        <v>994</v>
      </c>
      <c r="F1165" s="8" t="inlineStr">
        <is>
          <t>Yes</t>
        </is>
      </c>
      <c r="G1165" s="8" t="n">
        <v>29</v>
      </c>
    </row>
    <row r="1166">
      <c r="A1166" s="8" t="inlineStr">
        <is>
          <t>GET</t>
        </is>
      </c>
      <c r="B1166" s="8" t="inlineStr">
        <is>
          <t>/api/v1/portal/diary/notes</t>
        </is>
      </c>
      <c r="C1166" s="8" t="inlineStr">
        <is>
          <t>PERM</t>
        </is>
      </c>
      <c r="D1166" s="8" t="inlineStr">
        <is>
          <t>worker/src/routes/portal/life.ts</t>
        </is>
      </c>
      <c r="E1166" s="8" t="n">
        <v>995</v>
      </c>
      <c r="F1166" s="8" t="inlineStr">
        <is>
          <t>Yes</t>
        </is>
      </c>
      <c r="G1166" s="8" t="n">
        <v>29</v>
      </c>
    </row>
    <row r="1167">
      <c r="A1167" s="8" t="inlineStr">
        <is>
          <t>POST</t>
        </is>
      </c>
      <c r="B1167" s="8" t="inlineStr">
        <is>
          <t>/api/v1/portal/diary/notes</t>
        </is>
      </c>
      <c r="C1167" s="8" t="inlineStr">
        <is>
          <t>PERM</t>
        </is>
      </c>
      <c r="D1167" s="8" t="inlineStr">
        <is>
          <t>worker/src/routes/portal/life.ts</t>
        </is>
      </c>
      <c r="E1167" s="8" t="n">
        <v>996</v>
      </c>
      <c r="F1167" s="8" t="inlineStr">
        <is>
          <t>Yes</t>
        </is>
      </c>
      <c r="G1167" s="8" t="n">
        <v>29</v>
      </c>
    </row>
    <row r="1168">
      <c r="A1168" s="8" t="inlineStr">
        <is>
          <t>POST</t>
        </is>
      </c>
      <c r="B1168" s="8" t="inlineStr">
        <is>
          <t>/api/v1/portal/diary/notes/{id}</t>
        </is>
      </c>
      <c r="C1168" s="8" t="inlineStr">
        <is>
          <t>PERM</t>
        </is>
      </c>
      <c r="D1168" s="8" t="inlineStr">
        <is>
          <t>worker/src/routes/portal/life.ts</t>
        </is>
      </c>
      <c r="E1168" s="8" t="n">
        <v>997</v>
      </c>
      <c r="F1168" s="8" t="inlineStr">
        <is>
          <t>Yes</t>
        </is>
      </c>
      <c r="G1168" s="8" t="n">
        <v>29</v>
      </c>
    </row>
    <row r="1169">
      <c r="A1169" s="8" t="inlineStr">
        <is>
          <t>DELETE</t>
        </is>
      </c>
      <c r="B1169" s="8" t="inlineStr">
        <is>
          <t>/api/v1/portal/diary/notes/{id}</t>
        </is>
      </c>
      <c r="C1169" s="8" t="inlineStr">
        <is>
          <t>PERM</t>
        </is>
      </c>
      <c r="D1169" s="8" t="inlineStr">
        <is>
          <t>worker/src/routes/portal/life.ts</t>
        </is>
      </c>
      <c r="E1169" s="8" t="n">
        <v>998</v>
      </c>
      <c r="F1169" s="8" t="inlineStr">
        <is>
          <t>Yes</t>
        </is>
      </c>
      <c r="G1169" s="8" t="n">
        <v>29</v>
      </c>
    </row>
    <row r="1170">
      <c r="A1170" s="8" t="inlineStr">
        <is>
          <t>GET</t>
        </is>
      </c>
      <c r="B1170" s="8" t="inlineStr">
        <is>
          <t>/api/v1/portal/preferences/display</t>
        </is>
      </c>
      <c r="C1170" s="8" t="inlineStr">
        <is>
          <t>PERM</t>
        </is>
      </c>
      <c r="D1170" s="8" t="inlineStr">
        <is>
          <t>worker/src/routes/portal/life.ts</t>
        </is>
      </c>
      <c r="E1170" s="8" t="n">
        <v>1001</v>
      </c>
      <c r="F1170" s="8" t="inlineStr">
        <is>
          <t>Yes</t>
        </is>
      </c>
      <c r="G1170" s="8" t="n">
        <v>29</v>
      </c>
    </row>
    <row r="1171">
      <c r="A1171" s="8" t="inlineStr">
        <is>
          <t>PUT</t>
        </is>
      </c>
      <c r="B1171" s="8" t="inlineStr">
        <is>
          <t>/api/v1/portal/preferences/display</t>
        </is>
      </c>
      <c r="C1171" s="8" t="inlineStr">
        <is>
          <t>PERM</t>
        </is>
      </c>
      <c r="D1171" s="8" t="inlineStr">
        <is>
          <t>worker/src/routes/portal/life.ts</t>
        </is>
      </c>
      <c r="E1171" s="8" t="n">
        <v>1002</v>
      </c>
      <c r="F1171" s="8" t="inlineStr">
        <is>
          <t>Yes</t>
        </is>
      </c>
      <c r="G1171" s="8" t="n">
        <v>29</v>
      </c>
    </row>
    <row r="1172">
      <c r="A1172" s="8" t="inlineStr">
        <is>
          <t>GET</t>
        </is>
      </c>
      <c r="B1172" s="8" t="inlineStr">
        <is>
          <t>/api/v1/portal/live-classes</t>
        </is>
      </c>
      <c r="C1172" s="8" t="inlineStr">
        <is>
          <t>PERM</t>
        </is>
      </c>
      <c r="D1172" s="8" t="inlineStr">
        <is>
          <t>worker/src/routes/portal/life.ts</t>
        </is>
      </c>
      <c r="E1172" s="8" t="n">
        <v>1005</v>
      </c>
      <c r="F1172" s="8" t="inlineStr">
        <is>
          <t>Yes</t>
        </is>
      </c>
      <c r="G1172" s="8" t="n">
        <v>29</v>
      </c>
    </row>
    <row r="1173">
      <c r="A1173" s="8" t="inlineStr">
        <is>
          <t>GET</t>
        </is>
      </c>
      <c r="B1173" s="8" t="inlineStr">
        <is>
          <t>/api/v1/portal/live-classes/my-engagement</t>
        </is>
      </c>
      <c r="C1173" s="8" t="inlineStr">
        <is>
          <t>PERM</t>
        </is>
      </c>
      <c r="D1173" s="8" t="inlineStr">
        <is>
          <t>worker/src/routes/portal/life.ts</t>
        </is>
      </c>
      <c r="E1173" s="8" t="n">
        <v>1006</v>
      </c>
      <c r="F1173" s="8" t="inlineStr">
        <is>
          <t>Yes</t>
        </is>
      </c>
      <c r="G1173" s="8" t="n">
        <v>29</v>
      </c>
    </row>
    <row r="1174">
      <c r="A1174" s="8" t="inlineStr">
        <is>
          <t>GET</t>
        </is>
      </c>
      <c r="B1174" s="8" t="inlineStr">
        <is>
          <t>/api/v1/portal/live-classes/engagement</t>
        </is>
      </c>
      <c r="C1174" s="8" t="inlineStr">
        <is>
          <t>PERM</t>
        </is>
      </c>
      <c r="D1174" s="8" t="inlineStr">
        <is>
          <t>worker/src/routes/portal/life.ts</t>
        </is>
      </c>
      <c r="E1174" s="8" t="n">
        <v>1007</v>
      </c>
      <c r="F1174" s="8" t="inlineStr">
        <is>
          <t>No</t>
        </is>
      </c>
      <c r="G1174" s="8" t="n">
        <v>29</v>
      </c>
    </row>
    <row r="1175">
      <c r="A1175" s="8" t="inlineStr">
        <is>
          <t>POST</t>
        </is>
      </c>
      <c r="B1175" s="8" t="inlineStr">
        <is>
          <t>/api/v1/portal/live-classes/hands/{id}/call-on</t>
        </is>
      </c>
      <c r="C1175" s="8" t="inlineStr">
        <is>
          <t>PERM</t>
        </is>
      </c>
      <c r="D1175" s="8" t="inlineStr">
        <is>
          <t>worker/src/routes/portal/life.ts</t>
        </is>
      </c>
      <c r="E1175" s="8" t="n">
        <v>1008</v>
      </c>
      <c r="F1175" s="8" t="inlineStr">
        <is>
          <t>No</t>
        </is>
      </c>
      <c r="G1175" s="8" t="n">
        <v>29</v>
      </c>
    </row>
    <row r="1176">
      <c r="A1176" s="8" t="inlineStr">
        <is>
          <t>POST</t>
        </is>
      </c>
      <c r="B1176" s="8" t="inlineStr">
        <is>
          <t>/api/v1/portal/live-classes/{id}/hand</t>
        </is>
      </c>
      <c r="C1176" s="8" t="inlineStr">
        <is>
          <t>PERM</t>
        </is>
      </c>
      <c r="D1176" s="8" t="inlineStr">
        <is>
          <t>worker/src/routes/portal/life.ts</t>
        </is>
      </c>
      <c r="E1176" s="8" t="n">
        <v>1009</v>
      </c>
      <c r="F1176" s="8" t="inlineStr">
        <is>
          <t>Yes</t>
        </is>
      </c>
      <c r="G1176" s="8" t="n">
        <v>29</v>
      </c>
    </row>
    <row r="1177">
      <c r="A1177" s="8" t="inlineStr">
        <is>
          <t>POST</t>
        </is>
      </c>
      <c r="B1177" s="8" t="inlineStr">
        <is>
          <t>/api/v1/portal/live-classes/{id}/hand/lower</t>
        </is>
      </c>
      <c r="C1177" s="8" t="inlineStr">
        <is>
          <t>PERM</t>
        </is>
      </c>
      <c r="D1177" s="8" t="inlineStr">
        <is>
          <t>worker/src/routes/portal/life.ts</t>
        </is>
      </c>
      <c r="E1177" s="8" t="n">
        <v>1010</v>
      </c>
      <c r="F1177" s="8" t="inlineStr">
        <is>
          <t>Yes</t>
        </is>
      </c>
      <c r="G1177" s="8" t="n">
        <v>29</v>
      </c>
    </row>
    <row r="1178">
      <c r="A1178" s="8" t="inlineStr">
        <is>
          <t>GET</t>
        </is>
      </c>
      <c r="B1178" s="8" t="inlineStr">
        <is>
          <t>/api/v1/portal/live-classes/{id}/hands</t>
        </is>
      </c>
      <c r="C1178" s="8" t="inlineStr">
        <is>
          <t>PERM</t>
        </is>
      </c>
      <c r="D1178" s="8" t="inlineStr">
        <is>
          <t>worker/src/routes/portal/life.ts</t>
        </is>
      </c>
      <c r="E1178" s="8" t="n">
        <v>1011</v>
      </c>
      <c r="F1178" s="8" t="inlineStr">
        <is>
          <t>No</t>
        </is>
      </c>
      <c r="G1178" s="8" t="n">
        <v>29</v>
      </c>
    </row>
    <row r="1179">
      <c r="A1179" s="8" t="inlineStr">
        <is>
          <t>GET</t>
        </is>
      </c>
      <c r="B1179" s="8" t="inlineStr">
        <is>
          <t>/api/v1/portal/learning/streak</t>
        </is>
      </c>
      <c r="C1179" s="8" t="inlineStr">
        <is>
          <t>FEAT_STREAK</t>
        </is>
      </c>
      <c r="D1179" s="8" t="inlineStr">
        <is>
          <t>worker/src/routes/portal/life.ts</t>
        </is>
      </c>
      <c r="E1179" s="8" t="n">
        <v>1014</v>
      </c>
      <c r="F1179" s="8" t="inlineStr">
        <is>
          <t>Yes</t>
        </is>
      </c>
      <c r="G1179" s="8" t="n">
        <v>29</v>
      </c>
    </row>
    <row r="1180">
      <c r="A1180" s="8" t="inlineStr">
        <is>
          <t>GET</t>
        </is>
      </c>
      <c r="B1180" s="8" t="inlineStr">
        <is>
          <t>/api/v1/portal/learning/badges</t>
        </is>
      </c>
      <c r="C1180" s="8" t="inlineStr">
        <is>
          <t>FEAT_BADGES</t>
        </is>
      </c>
      <c r="D1180" s="8" t="inlineStr">
        <is>
          <t>worker/src/routes/portal/life.ts</t>
        </is>
      </c>
      <c r="E1180" s="8" t="n">
        <v>1015</v>
      </c>
      <c r="F1180" s="8" t="inlineStr">
        <is>
          <t>Yes</t>
        </is>
      </c>
      <c r="G1180" s="8" t="n">
        <v>29</v>
      </c>
    </row>
    <row r="1181">
      <c r="A1181" s="8" t="inlineStr">
        <is>
          <t>GET</t>
        </is>
      </c>
      <c r="B1181" s="8" t="inlineStr">
        <is>
          <t>/api/v1/portal/campus/hall-of-fame</t>
        </is>
      </c>
      <c r="C1181" s="8" t="inlineStr">
        <is>
          <t>auth</t>
        </is>
      </c>
      <c r="D1181" s="8" t="inlineStr">
        <is>
          <t>worker/src/routes/portal/life.ts</t>
        </is>
      </c>
      <c r="E1181" s="8" t="n">
        <v>1016</v>
      </c>
      <c r="F1181" s="8" t="inlineStr">
        <is>
          <t>Yes</t>
        </is>
      </c>
      <c r="G1181" s="8" t="n">
        <v>29</v>
      </c>
    </row>
    <row r="1182">
      <c r="A1182" s="8" t="inlineStr">
        <is>
          <t>POST</t>
        </is>
      </c>
      <c r="B1182" s="8" t="inlineStr">
        <is>
          <t>/api/v1/portal/campus/hall-of-fame</t>
        </is>
      </c>
      <c r="C1182" s="8" t="inlineStr">
        <is>
          <t>ANNOUNCEMENTS_WRITE</t>
        </is>
      </c>
      <c r="D1182" s="8" t="inlineStr">
        <is>
          <t>worker/src/routes/portal/life.ts</t>
        </is>
      </c>
      <c r="E1182" s="8" t="n">
        <v>1017</v>
      </c>
      <c r="F1182" s="8" t="inlineStr">
        <is>
          <t>Yes</t>
        </is>
      </c>
      <c r="G1182" s="8" t="n">
        <v>29</v>
      </c>
    </row>
    <row r="1183">
      <c r="A1183" s="8" t="inlineStr">
        <is>
          <t>POST</t>
        </is>
      </c>
      <c r="B1183" s="8" t="inlineStr">
        <is>
          <t>/api/v1/portal/campus/hall-of-fame/{id}/retire</t>
        </is>
      </c>
      <c r="C1183" s="8" t="inlineStr">
        <is>
          <t>ANNOUNCEMENTS_WRITE</t>
        </is>
      </c>
      <c r="D1183" s="8" t="inlineStr">
        <is>
          <t>worker/src/routes/portal/life.ts</t>
        </is>
      </c>
      <c r="E1183" s="8" t="n">
        <v>1018</v>
      </c>
      <c r="F1183" s="8" t="inlineStr">
        <is>
          <t>Yes</t>
        </is>
      </c>
      <c r="G1183" s="8" t="n">
        <v>29</v>
      </c>
    </row>
    <row r="1184">
      <c r="A1184" s="8" t="inlineStr">
        <is>
          <t>GET</t>
        </is>
      </c>
      <c r="B1184" s="8" t="inlineStr">
        <is>
          <t>/api/v1/portal/lms/courses</t>
        </is>
      </c>
      <c r="C1184" s="8" t="inlineStr">
        <is>
          <t>PERM</t>
        </is>
      </c>
      <c r="D1184" s="8" t="inlineStr">
        <is>
          <t>worker/src/routes/portal/lms.ts</t>
        </is>
      </c>
      <c r="E1184" s="8" t="n">
        <v>113</v>
      </c>
      <c r="F1184" s="8" t="inlineStr">
        <is>
          <t>Yes</t>
        </is>
      </c>
      <c r="G1184" s="8" t="n">
        <v>31</v>
      </c>
    </row>
    <row r="1185">
      <c r="A1185" s="8" t="inlineStr">
        <is>
          <t>GET</t>
        </is>
      </c>
      <c r="B1185" s="8" t="inlineStr">
        <is>
          <t>/api/v1/portal/lms/course</t>
        </is>
      </c>
      <c r="C1185" s="8" t="inlineStr">
        <is>
          <t>PERM</t>
        </is>
      </c>
      <c r="D1185" s="8" t="inlineStr">
        <is>
          <t>worker/src/routes/portal/lms.ts</t>
        </is>
      </c>
      <c r="E1185" s="8" t="n">
        <v>132</v>
      </c>
      <c r="F1185" s="8" t="inlineStr">
        <is>
          <t>Yes</t>
        </is>
      </c>
      <c r="G1185" s="8" t="n">
        <v>31</v>
      </c>
    </row>
    <row r="1186">
      <c r="A1186" s="8" t="inlineStr">
        <is>
          <t>GET</t>
        </is>
      </c>
      <c r="B1186" s="8" t="inlineStr">
        <is>
          <t>/api/v1/portal/lms/todo</t>
        </is>
      </c>
      <c r="C1186" s="8" t="inlineStr">
        <is>
          <t>PERM</t>
        </is>
      </c>
      <c r="D1186" s="8" t="inlineStr">
        <is>
          <t>worker/src/routes/portal/lms.ts</t>
        </is>
      </c>
      <c r="E1186" s="8" t="n">
        <v>240</v>
      </c>
      <c r="F1186" s="8" t="inlineStr">
        <is>
          <t>Yes</t>
        </is>
      </c>
      <c r="G1186" s="8" t="n">
        <v>31</v>
      </c>
    </row>
    <row r="1187">
      <c r="A1187" s="8" t="inlineStr">
        <is>
          <t>GET</t>
        </is>
      </c>
      <c r="B1187" s="8" t="inlineStr">
        <is>
          <t>/api/v1/portal/lms/home</t>
        </is>
      </c>
      <c r="C1187" s="8" t="inlineStr">
        <is>
          <t>PERM</t>
        </is>
      </c>
      <c r="D1187" s="8" t="inlineStr">
        <is>
          <t>worker/src/routes/portal/lms.ts</t>
        </is>
      </c>
      <c r="E1187" s="8" t="n">
        <v>247</v>
      </c>
      <c r="F1187" s="8" t="inlineStr">
        <is>
          <t>Yes</t>
        </is>
      </c>
      <c r="G1187" s="8" t="n">
        <v>31</v>
      </c>
    </row>
    <row r="1188">
      <c r="A1188" s="8" t="inlineStr">
        <is>
          <t>POST</t>
        </is>
      </c>
      <c r="B1188" s="8" t="inlineStr">
        <is>
          <t>/api/v1/portal/lms/lessons/{id}/view</t>
        </is>
      </c>
      <c r="C1188" s="8" t="inlineStr">
        <is>
          <t>PERM</t>
        </is>
      </c>
      <c r="D1188" s="8" t="inlineStr">
        <is>
          <t>worker/src/routes/portal/lms.ts</t>
        </is>
      </c>
      <c r="E1188" s="8" t="n">
        <v>272</v>
      </c>
      <c r="F1188" s="8" t="inlineStr">
        <is>
          <t>Yes</t>
        </is>
      </c>
      <c r="G1188" s="8" t="n">
        <v>31</v>
      </c>
    </row>
    <row r="1189">
      <c r="A1189" s="8" t="inlineStr">
        <is>
          <t>POST</t>
        </is>
      </c>
      <c r="B1189" s="8" t="inlineStr">
        <is>
          <t>/api/v1/portal/lms/lessons/{id}/complete</t>
        </is>
      </c>
      <c r="C1189" s="8" t="inlineStr">
        <is>
          <t>PERM</t>
        </is>
      </c>
      <c r="D1189" s="8" t="inlineStr">
        <is>
          <t>worker/src/routes/portal/lms.ts</t>
        </is>
      </c>
      <c r="E1189" s="8" t="n">
        <v>288</v>
      </c>
      <c r="F1189" s="8" t="inlineStr">
        <is>
          <t>Yes</t>
        </is>
      </c>
      <c r="G1189" s="8" t="n">
        <v>31</v>
      </c>
    </row>
    <row r="1190">
      <c r="A1190" s="8" t="inlineStr">
        <is>
          <t>GET</t>
        </is>
      </c>
      <c r="B1190" s="8" t="inlineStr">
        <is>
          <t>/api/v1/portal/lms/lessons/{id}/video-progress</t>
        </is>
      </c>
      <c r="C1190" s="8" t="inlineStr">
        <is>
          <t>PERM</t>
        </is>
      </c>
      <c r="D1190" s="8" t="inlineStr">
        <is>
          <t>worker/src/routes/portal/lms.ts</t>
        </is>
      </c>
      <c r="E1190" s="8" t="n">
        <v>311</v>
      </c>
      <c r="F1190" s="8" t="inlineStr">
        <is>
          <t>Yes</t>
        </is>
      </c>
      <c r="G1190" s="8" t="n">
        <v>31</v>
      </c>
    </row>
    <row r="1191">
      <c r="A1191" s="8" t="inlineStr">
        <is>
          <t>POST</t>
        </is>
      </c>
      <c r="B1191" s="8" t="inlineStr">
        <is>
          <t>/api/v1/portal/lms/lessons/{id}/video-progress</t>
        </is>
      </c>
      <c r="C1191" s="8" t="inlineStr">
        <is>
          <t>PERM</t>
        </is>
      </c>
      <c r="D1191" s="8" t="inlineStr">
        <is>
          <t>worker/src/routes/portal/lms.ts</t>
        </is>
      </c>
      <c r="E1191" s="8" t="n">
        <v>320</v>
      </c>
      <c r="F1191" s="8" t="inlineStr">
        <is>
          <t>Yes</t>
        </is>
      </c>
      <c r="G1191" s="8" t="n">
        <v>31</v>
      </c>
    </row>
    <row r="1192">
      <c r="A1192" s="8" t="inlineStr">
        <is>
          <t>POST</t>
        </is>
      </c>
      <c r="B1192" s="8" t="inlineStr">
        <is>
          <t>/api/v1/portal/lms/assignments/{id}/submit</t>
        </is>
      </c>
      <c r="C1192" s="8" t="inlineStr">
        <is>
          <t>PERM</t>
        </is>
      </c>
      <c r="D1192" s="8" t="inlineStr">
        <is>
          <t>worker/src/routes/portal/lms.ts</t>
        </is>
      </c>
      <c r="E1192" s="8" t="n">
        <v>352</v>
      </c>
      <c r="F1192" s="8" t="inlineStr">
        <is>
          <t>Yes</t>
        </is>
      </c>
      <c r="G1192" s="8" t="n">
        <v>31</v>
      </c>
    </row>
    <row r="1193">
      <c r="A1193" s="8" t="inlineStr">
        <is>
          <t>POST</t>
        </is>
      </c>
      <c r="B1193" s="8" t="inlineStr">
        <is>
          <t>/api/v1/portal/lms/quizzes/{id}/start</t>
        </is>
      </c>
      <c r="C1193" s="8" t="inlineStr">
        <is>
          <t>PERM</t>
        </is>
      </c>
      <c r="D1193" s="8" t="inlineStr">
        <is>
          <t>worker/src/routes/portal/lms.ts</t>
        </is>
      </c>
      <c r="E1193" s="8" t="n">
        <v>387</v>
      </c>
      <c r="F1193" s="8" t="inlineStr">
        <is>
          <t>Yes</t>
        </is>
      </c>
      <c r="G1193" s="8" t="n">
        <v>31</v>
      </c>
    </row>
    <row r="1194">
      <c r="A1194" s="8" t="inlineStr">
        <is>
          <t>POST</t>
        </is>
      </c>
      <c r="B1194" s="8" t="inlineStr">
        <is>
          <t>/api/v1/portal/lms/quizzes/{id}/check</t>
        </is>
      </c>
      <c r="C1194" s="8" t="inlineStr">
        <is>
          <t>PERM</t>
        </is>
      </c>
      <c r="D1194" s="8" t="inlineStr">
        <is>
          <t>worker/src/routes/portal/lms.ts</t>
        </is>
      </c>
      <c r="E1194" s="8" t="n">
        <v>430</v>
      </c>
      <c r="F1194" s="8" t="inlineStr">
        <is>
          <t>Yes</t>
        </is>
      </c>
      <c r="G1194" s="8" t="n">
        <v>31</v>
      </c>
    </row>
    <row r="1195">
      <c r="A1195" s="8" t="inlineStr">
        <is>
          <t>POST</t>
        </is>
      </c>
      <c r="B1195" s="8" t="inlineStr">
        <is>
          <t>/api/v1/portal/lms/quizzes/{id}/submit</t>
        </is>
      </c>
      <c r="C1195" s="8" t="inlineStr">
        <is>
          <t>PERM</t>
        </is>
      </c>
      <c r="D1195" s="8" t="inlineStr">
        <is>
          <t>worker/src/routes/portal/lms.ts</t>
        </is>
      </c>
      <c r="E1195" s="8" t="n">
        <v>467</v>
      </c>
      <c r="F1195" s="8" t="inlineStr">
        <is>
          <t>Yes</t>
        </is>
      </c>
      <c r="G1195" s="8" t="n">
        <v>31</v>
      </c>
    </row>
    <row r="1196">
      <c r="A1196" s="8" t="inlineStr">
        <is>
          <t>GET</t>
        </is>
      </c>
      <c r="B1196" s="8" t="inlineStr">
        <is>
          <t>/api/v1/portal/calendar</t>
        </is>
      </c>
      <c r="C1196" s="8" t="inlineStr">
        <is>
          <t>PERM</t>
        </is>
      </c>
      <c r="D1196" s="8" t="inlineStr">
        <is>
          <t>worker/src/routes/portal/records.ts</t>
        </is>
      </c>
      <c r="E1196" s="8" t="n">
        <v>204</v>
      </c>
      <c r="F1196" s="8" t="inlineStr">
        <is>
          <t>Yes</t>
        </is>
      </c>
      <c r="G1196" s="8" t="n">
        <v>22</v>
      </c>
    </row>
    <row r="1197">
      <c r="A1197" s="8" t="inlineStr">
        <is>
          <t>GET</t>
        </is>
      </c>
      <c r="B1197" s="8" t="inlineStr">
        <is>
          <t>/api/v1/portal/library/titles</t>
        </is>
      </c>
      <c r="C1197" s="8" t="inlineStr">
        <is>
          <t>PERM</t>
        </is>
      </c>
      <c r="D1197" s="8" t="inlineStr">
        <is>
          <t>worker/src/routes/portal/records.ts</t>
        </is>
      </c>
      <c r="E1197" s="8" t="n">
        <v>276</v>
      </c>
      <c r="F1197" s="8" t="inlineStr">
        <is>
          <t>Yes</t>
        </is>
      </c>
      <c r="G1197" s="8" t="n">
        <v>22</v>
      </c>
    </row>
    <row r="1198">
      <c r="A1198" s="8" t="inlineStr">
        <is>
          <t>GET</t>
        </is>
      </c>
      <c r="B1198" s="8" t="inlineStr">
        <is>
          <t>/api/v1/portal/library/holds</t>
        </is>
      </c>
      <c r="C1198" s="8" t="inlineStr">
        <is>
          <t>PERM</t>
        </is>
      </c>
      <c r="D1198" s="8" t="inlineStr">
        <is>
          <t>worker/src/routes/portal/records.ts</t>
        </is>
      </c>
      <c r="E1198" s="8" t="n">
        <v>302</v>
      </c>
      <c r="F1198" s="8" t="inlineStr">
        <is>
          <t>Yes</t>
        </is>
      </c>
      <c r="G1198" s="8" t="n">
        <v>22</v>
      </c>
    </row>
    <row r="1199">
      <c r="A1199" s="8" t="inlineStr">
        <is>
          <t>POST</t>
        </is>
      </c>
      <c r="B1199" s="8" t="inlineStr">
        <is>
          <t>/api/v1/portal/library/holds</t>
        </is>
      </c>
      <c r="C1199" s="8" t="inlineStr">
        <is>
          <t>PERM</t>
        </is>
      </c>
      <c r="D1199" s="8" t="inlineStr">
        <is>
          <t>worker/src/routes/portal/records.ts</t>
        </is>
      </c>
      <c r="E1199" s="8" t="n">
        <v>331</v>
      </c>
      <c r="F1199" s="8" t="inlineStr">
        <is>
          <t>Yes</t>
        </is>
      </c>
      <c r="G1199" s="8" t="n">
        <v>22</v>
      </c>
    </row>
    <row r="1200">
      <c r="A1200" s="8" t="inlineStr">
        <is>
          <t>POST</t>
        </is>
      </c>
      <c r="B1200" s="8" t="inlineStr">
        <is>
          <t>/api/v1/portal/library/holds/{id}/cancel</t>
        </is>
      </c>
      <c r="C1200" s="8" t="inlineStr">
        <is>
          <t>PERM</t>
        </is>
      </c>
      <c r="D1200" s="8" t="inlineStr">
        <is>
          <t>worker/src/routes/portal/records.ts</t>
        </is>
      </c>
      <c r="E1200" s="8" t="n">
        <v>340</v>
      </c>
      <c r="F1200" s="8" t="inlineStr">
        <is>
          <t>Yes</t>
        </is>
      </c>
      <c r="G1200" s="8" t="n">
        <v>22</v>
      </c>
    </row>
    <row r="1201">
      <c r="A1201" s="8" t="inlineStr">
        <is>
          <t>GET</t>
        </is>
      </c>
      <c r="B1201" s="8" t="inlineStr">
        <is>
          <t>/api/v1/portal/academic-record</t>
        </is>
      </c>
      <c r="C1201" s="8" t="inlineStr">
        <is>
          <t>PERM</t>
        </is>
      </c>
      <c r="D1201" s="8" t="inlineStr">
        <is>
          <t>worker/src/routes/portal/records.ts</t>
        </is>
      </c>
      <c r="E1201" s="8" t="n">
        <v>367</v>
      </c>
      <c r="F1201" s="8" t="inlineStr">
        <is>
          <t>Yes</t>
        </is>
      </c>
      <c r="G1201" s="8" t="n">
        <v>22</v>
      </c>
    </row>
    <row r="1202">
      <c r="A1202" s="8" t="inlineStr">
        <is>
          <t>GET</t>
        </is>
      </c>
      <c r="B1202" s="8" t="inlineStr">
        <is>
          <t>/api/v1/portal/abc</t>
        </is>
      </c>
      <c r="C1202" s="8" t="inlineStr">
        <is>
          <t>PERM</t>
        </is>
      </c>
      <c r="D1202" s="8" t="inlineStr">
        <is>
          <t>worker/src/routes/portal/records.ts</t>
        </is>
      </c>
      <c r="E1202" s="8" t="n">
        <v>412</v>
      </c>
      <c r="F1202" s="8" t="inlineStr">
        <is>
          <t>Yes</t>
        </is>
      </c>
      <c r="G1202" s="8" t="n">
        <v>22</v>
      </c>
    </row>
    <row r="1203">
      <c r="A1203" s="8" t="inlineStr">
        <is>
          <t>POST</t>
        </is>
      </c>
      <c r="B1203" s="8" t="inlineStr">
        <is>
          <t>/api/v1/portal/abc/entries</t>
        </is>
      </c>
      <c r="C1203" s="8" t="inlineStr">
        <is>
          <t>PERM</t>
        </is>
      </c>
      <c r="D1203" s="8" t="inlineStr">
        <is>
          <t>worker/src/routes/portal/records.ts</t>
        </is>
      </c>
      <c r="E1203" s="8" t="n">
        <v>450</v>
      </c>
      <c r="F1203" s="8" t="inlineStr">
        <is>
          <t>No</t>
        </is>
      </c>
      <c r="G1203" s="8" t="n">
        <v>22</v>
      </c>
    </row>
    <row r="1204">
      <c r="A1204" s="8" t="inlineStr">
        <is>
          <t>GET</t>
        </is>
      </c>
      <c r="B1204" s="8" t="inlineStr">
        <is>
          <t>/api/v1/portal/alumni/profile</t>
        </is>
      </c>
      <c r="C1204" s="8" t="inlineStr">
        <is>
          <t>PERM</t>
        </is>
      </c>
      <c r="D1204" s="8" t="inlineStr">
        <is>
          <t>worker/src/routes/portal/records.ts</t>
        </is>
      </c>
      <c r="E1204" s="8" t="n">
        <v>498</v>
      </c>
      <c r="F1204" s="8" t="inlineStr">
        <is>
          <t>Yes</t>
        </is>
      </c>
      <c r="G1204" s="8" t="n">
        <v>22</v>
      </c>
    </row>
    <row r="1205">
      <c r="A1205" s="8" t="inlineStr">
        <is>
          <t>POST</t>
        </is>
      </c>
      <c r="B1205" s="8" t="inlineStr">
        <is>
          <t>/api/v1/portal/alumni/profile</t>
        </is>
      </c>
      <c r="C1205" s="8" t="inlineStr">
        <is>
          <t>PERM</t>
        </is>
      </c>
      <c r="D1205" s="8" t="inlineStr">
        <is>
          <t>worker/src/routes/portal/records.ts</t>
        </is>
      </c>
      <c r="E1205" s="8" t="n">
        <v>508</v>
      </c>
      <c r="F1205" s="8" t="inlineStr">
        <is>
          <t>Yes</t>
        </is>
      </c>
      <c r="G1205" s="8" t="n">
        <v>22</v>
      </c>
    </row>
    <row r="1206">
      <c r="A1206" s="8" t="inlineStr">
        <is>
          <t>GET</t>
        </is>
      </c>
      <c r="B1206" s="8" t="inlineStr">
        <is>
          <t>/api/v1/portal/alumni/directory</t>
        </is>
      </c>
      <c r="C1206" s="8" t="inlineStr">
        <is>
          <t>PERM</t>
        </is>
      </c>
      <c r="D1206" s="8" t="inlineStr">
        <is>
          <t>worker/src/routes/portal/records.ts</t>
        </is>
      </c>
      <c r="E1206" s="8" t="n">
        <v>559</v>
      </c>
      <c r="F1206" s="8" t="inlineStr">
        <is>
          <t>Yes</t>
        </is>
      </c>
      <c r="G1206" s="8" t="n">
        <v>22</v>
      </c>
    </row>
    <row r="1207">
      <c r="A1207" s="8" t="inlineStr">
        <is>
          <t>GET</t>
        </is>
      </c>
      <c r="B1207" s="8" t="inlineStr">
        <is>
          <t>/api/v1/portal/alumni/jobs</t>
        </is>
      </c>
      <c r="C1207" s="8" t="inlineStr">
        <is>
          <t>PERM</t>
        </is>
      </c>
      <c r="D1207" s="8" t="inlineStr">
        <is>
          <t>worker/src/routes/portal/records.ts</t>
        </is>
      </c>
      <c r="E1207" s="8" t="n">
        <v>575</v>
      </c>
      <c r="F1207" s="8" t="inlineStr">
        <is>
          <t>Yes</t>
        </is>
      </c>
      <c r="G1207" s="8" t="n">
        <v>22</v>
      </c>
    </row>
    <row r="1208">
      <c r="A1208" s="8" t="inlineStr">
        <is>
          <t>POST</t>
        </is>
      </c>
      <c r="B1208" s="8" t="inlineStr">
        <is>
          <t>/api/v1/portal/alumni/jobs/{id}/interest</t>
        </is>
      </c>
      <c r="C1208" s="8" t="inlineStr">
        <is>
          <t>PERM</t>
        </is>
      </c>
      <c r="D1208" s="8" t="inlineStr">
        <is>
          <t>worker/src/routes/portal/records.ts</t>
        </is>
      </c>
      <c r="E1208" s="8" t="n">
        <v>613</v>
      </c>
      <c r="F1208" s="8" t="inlineStr">
        <is>
          <t>Yes</t>
        </is>
      </c>
      <c r="G1208" s="8" t="n">
        <v>22</v>
      </c>
    </row>
    <row r="1209">
      <c r="A1209" s="8" t="inlineStr">
        <is>
          <t>POST</t>
        </is>
      </c>
      <c r="B1209" s="8" t="inlineStr">
        <is>
          <t>/api/v1/portal/alumni/jobs/{id}/withdraw</t>
        </is>
      </c>
      <c r="C1209" s="8" t="inlineStr">
        <is>
          <t>PERM</t>
        </is>
      </c>
      <c r="D1209" s="8" t="inlineStr">
        <is>
          <t>worker/src/routes/portal/records.ts</t>
        </is>
      </c>
      <c r="E1209" s="8" t="n">
        <v>635</v>
      </c>
      <c r="F1209" s="8" t="inlineStr">
        <is>
          <t>Yes</t>
        </is>
      </c>
      <c r="G1209" s="8" t="n">
        <v>22</v>
      </c>
    </row>
    <row r="1210">
      <c r="A1210" s="8" t="inlineStr">
        <is>
          <t>POST</t>
        </is>
      </c>
      <c r="B1210" s="8" t="inlineStr">
        <is>
          <t>/api/v1/portal/alumni/jobs</t>
        </is>
      </c>
      <c r="C1210" s="8" t="inlineStr">
        <is>
          <t>PERM</t>
        </is>
      </c>
      <c r="D1210" s="8" t="inlineStr">
        <is>
          <t>worker/src/routes/portal/records.ts</t>
        </is>
      </c>
      <c r="E1210" s="8" t="n">
        <v>648</v>
      </c>
      <c r="F1210" s="8" t="inlineStr">
        <is>
          <t>Yes</t>
        </is>
      </c>
      <c r="G1210" s="8" t="n">
        <v>22</v>
      </c>
    </row>
    <row r="1211">
      <c r="A1211" s="8" t="inlineStr">
        <is>
          <t>GET</t>
        </is>
      </c>
      <c r="B1211" s="8" t="inlineStr">
        <is>
          <t>/api/v1/portal/leave</t>
        </is>
      </c>
      <c r="C1211" s="8" t="inlineStr">
        <is>
          <t>PORTAL</t>
        </is>
      </c>
      <c r="D1211" s="8" t="inlineStr">
        <is>
          <t>worker/src/routes/portal/requests.ts</t>
        </is>
      </c>
      <c r="E1211" s="8" t="n">
        <v>67</v>
      </c>
      <c r="F1211" s="8" t="inlineStr">
        <is>
          <t>Yes</t>
        </is>
      </c>
      <c r="G1211" s="8" t="n">
        <v>33</v>
      </c>
    </row>
    <row r="1212">
      <c r="A1212" s="8" t="inlineStr">
        <is>
          <t>POST</t>
        </is>
      </c>
      <c r="B1212" s="8" t="inlineStr">
        <is>
          <t>/api/v1/portal/leave/{id}/cancel</t>
        </is>
      </c>
      <c r="C1212" s="8" t="inlineStr">
        <is>
          <t>PORTAL</t>
        </is>
      </c>
      <c r="D1212" s="8" t="inlineStr">
        <is>
          <t>worker/src/routes/portal/requests.ts</t>
        </is>
      </c>
      <c r="E1212" s="8" t="n">
        <v>68</v>
      </c>
      <c r="F1212" s="8" t="inlineStr">
        <is>
          <t>Yes</t>
        </is>
      </c>
      <c r="G1212" s="8" t="n">
        <v>33</v>
      </c>
    </row>
    <row r="1213">
      <c r="A1213" s="8" t="inlineStr">
        <is>
          <t>POST</t>
        </is>
      </c>
      <c r="B1213" s="8" t="inlineStr">
        <is>
          <t>/api/v1/portal/absence</t>
        </is>
      </c>
      <c r="C1213" s="8" t="inlineStr">
        <is>
          <t>PORTAL</t>
        </is>
      </c>
      <c r="D1213" s="8" t="inlineStr">
        <is>
          <t>worker/src/routes/portal/requests.ts</t>
        </is>
      </c>
      <c r="E1213" s="8" t="n">
        <v>69</v>
      </c>
      <c r="F1213" s="8" t="inlineStr">
        <is>
          <t>Yes</t>
        </is>
      </c>
      <c r="G1213" s="8" t="n">
        <v>33</v>
      </c>
    </row>
    <row r="1214">
      <c r="A1214" s="8" t="inlineStr">
        <is>
          <t>GET</t>
        </is>
      </c>
      <c r="B1214" s="8" t="inlineStr">
        <is>
          <t>/api/v1/portal/pickup/verify</t>
        </is>
      </c>
      <c r="C1214" s="8" t="inlineStr">
        <is>
          <t>PORTAL</t>
        </is>
      </c>
      <c r="D1214" s="8" t="inlineStr">
        <is>
          <t>worker/src/routes/portal/requests.ts</t>
        </is>
      </c>
      <c r="E1214" s="8" t="n">
        <v>73</v>
      </c>
      <c r="F1214" s="8" t="inlineStr">
        <is>
          <t>No</t>
        </is>
      </c>
      <c r="G1214" s="8" t="n">
        <v>33</v>
      </c>
    </row>
    <row r="1215">
      <c r="A1215" s="8" t="inlineStr">
        <is>
          <t>GET</t>
        </is>
      </c>
      <c r="B1215" s="8" t="inlineStr">
        <is>
          <t>/api/v1/portal/pickup</t>
        </is>
      </c>
      <c r="C1215" s="8" t="inlineStr">
        <is>
          <t>PORTAL</t>
        </is>
      </c>
      <c r="D1215" s="8" t="inlineStr">
        <is>
          <t>worker/src/routes/portal/requests.ts</t>
        </is>
      </c>
      <c r="E1215" s="8" t="n">
        <v>74</v>
      </c>
      <c r="F1215" s="8" t="inlineStr">
        <is>
          <t>No</t>
        </is>
      </c>
      <c r="G1215" s="8" t="n">
        <v>33</v>
      </c>
    </row>
    <row r="1216">
      <c r="A1216" s="8" t="inlineStr">
        <is>
          <t>POST</t>
        </is>
      </c>
      <c r="B1216" s="8" t="inlineStr">
        <is>
          <t>/api/v1/portal/pickup</t>
        </is>
      </c>
      <c r="C1216" s="8" t="inlineStr">
        <is>
          <t>PORTAL</t>
        </is>
      </c>
      <c r="D1216" s="8" t="inlineStr">
        <is>
          <t>worker/src/routes/portal/requests.ts</t>
        </is>
      </c>
      <c r="E1216" s="8" t="n">
        <v>75</v>
      </c>
      <c r="F1216" s="8" t="inlineStr">
        <is>
          <t>No</t>
        </is>
      </c>
      <c r="G1216" s="8" t="n">
        <v>33</v>
      </c>
    </row>
    <row r="1217">
      <c r="A1217" s="8" t="inlineStr">
        <is>
          <t>POST</t>
        </is>
      </c>
      <c r="B1217" s="8" t="inlineStr">
        <is>
          <t>/api/v1/portal/pickup/{id}/revoke</t>
        </is>
      </c>
      <c r="C1217" s="8" t="inlineStr">
        <is>
          <t>PORTAL</t>
        </is>
      </c>
      <c r="D1217" s="8" t="inlineStr">
        <is>
          <t>worker/src/routes/portal/requests.ts</t>
        </is>
      </c>
      <c r="E1217" s="8" t="n">
        <v>76</v>
      </c>
      <c r="F1217" s="8" t="inlineStr">
        <is>
          <t>No</t>
        </is>
      </c>
      <c r="G1217" s="8" t="n">
        <v>33</v>
      </c>
    </row>
    <row r="1218">
      <c r="A1218" s="8" t="inlineStr">
        <is>
          <t>POST</t>
        </is>
      </c>
      <c r="B1218" s="8" t="inlineStr">
        <is>
          <t>/api/v1/portal/pickup/{id}/release</t>
        </is>
      </c>
      <c r="C1218" s="8" t="inlineStr">
        <is>
          <t>PORTAL</t>
        </is>
      </c>
      <c r="D1218" s="8" t="inlineStr">
        <is>
          <t>worker/src/routes/portal/requests.ts</t>
        </is>
      </c>
      <c r="E1218" s="8" t="n">
        <v>77</v>
      </c>
      <c r="F1218" s="8" t="inlineStr">
        <is>
          <t>No</t>
        </is>
      </c>
      <c r="G1218" s="8" t="n">
        <v>33</v>
      </c>
    </row>
    <row r="1219">
      <c r="A1219" s="8" t="inlineStr">
        <is>
          <t>GET</t>
        </is>
      </c>
      <c r="B1219" s="8" t="inlineStr">
        <is>
          <t>/api/v1/portal/concerns</t>
        </is>
      </c>
      <c r="C1219" s="8" t="inlineStr">
        <is>
          <t>PORTAL</t>
        </is>
      </c>
      <c r="D1219" s="8" t="inlineStr">
        <is>
          <t>worker/src/routes/portal/requests.ts</t>
        </is>
      </c>
      <c r="E1219" s="8" t="n">
        <v>80</v>
      </c>
      <c r="F1219" s="8" t="inlineStr">
        <is>
          <t>Yes</t>
        </is>
      </c>
      <c r="G1219" s="8" t="n">
        <v>33</v>
      </c>
    </row>
    <row r="1220">
      <c r="A1220" s="8" t="inlineStr">
        <is>
          <t>GET</t>
        </is>
      </c>
      <c r="B1220" s="8" t="inlineStr">
        <is>
          <t>/api/v1/portal/concern-recipients</t>
        </is>
      </c>
      <c r="C1220" s="8" t="inlineStr">
        <is>
          <t>PORTAL</t>
        </is>
      </c>
      <c r="D1220" s="8" t="inlineStr">
        <is>
          <t>worker/src/routes/portal/requests.ts</t>
        </is>
      </c>
      <c r="E1220" s="8" t="n">
        <v>81</v>
      </c>
      <c r="F1220" s="8" t="inlineStr">
        <is>
          <t>Yes</t>
        </is>
      </c>
      <c r="G1220" s="8" t="n">
        <v>33</v>
      </c>
    </row>
    <row r="1221">
      <c r="A1221" s="8" t="inlineStr">
        <is>
          <t>POST</t>
        </is>
      </c>
      <c r="B1221" s="8" t="inlineStr">
        <is>
          <t>/api/v1/portal/concerns</t>
        </is>
      </c>
      <c r="C1221" s="8" t="inlineStr">
        <is>
          <t>PORTAL</t>
        </is>
      </c>
      <c r="D1221" s="8" t="inlineStr">
        <is>
          <t>worker/src/routes/portal/requests.ts</t>
        </is>
      </c>
      <c r="E1221" s="8" t="n">
        <v>82</v>
      </c>
      <c r="F1221" s="8" t="inlineStr">
        <is>
          <t>Yes</t>
        </is>
      </c>
      <c r="G1221" s="8" t="n">
        <v>33</v>
      </c>
    </row>
    <row r="1222">
      <c r="A1222" s="8" t="inlineStr">
        <is>
          <t>GET</t>
        </is>
      </c>
      <c r="B1222" s="8" t="inlineStr">
        <is>
          <t>/api/v1/portal/messages/teachers</t>
        </is>
      </c>
      <c r="C1222" s="8" t="inlineStr">
        <is>
          <t>PORTAL</t>
        </is>
      </c>
      <c r="D1222" s="8" t="inlineStr">
        <is>
          <t>worker/src/routes/portal/requests.ts</t>
        </is>
      </c>
      <c r="E1222" s="8" t="n">
        <v>83</v>
      </c>
      <c r="F1222" s="8" t="inlineStr">
        <is>
          <t>Yes</t>
        </is>
      </c>
      <c r="G1222" s="8" t="n">
        <v>33</v>
      </c>
    </row>
    <row r="1223">
      <c r="A1223" s="8" t="inlineStr">
        <is>
          <t>GET</t>
        </is>
      </c>
      <c r="B1223" s="8" t="inlineStr">
        <is>
          <t>/api/v1/portal/messages</t>
        </is>
      </c>
      <c r="C1223" s="8" t="inlineStr">
        <is>
          <t>PORTAL</t>
        </is>
      </c>
      <c r="D1223" s="8" t="inlineStr">
        <is>
          <t>worker/src/routes/portal/requests.ts</t>
        </is>
      </c>
      <c r="E1223" s="8" t="n">
        <v>84</v>
      </c>
      <c r="F1223" s="8" t="inlineStr">
        <is>
          <t>Yes</t>
        </is>
      </c>
      <c r="G1223" s="8" t="n">
        <v>33</v>
      </c>
    </row>
    <row r="1224">
      <c r="A1224" s="8" t="inlineStr">
        <is>
          <t>POST</t>
        </is>
      </c>
      <c r="B1224" s="8" t="inlineStr">
        <is>
          <t>/api/v1/portal/messages</t>
        </is>
      </c>
      <c r="C1224" s="8" t="inlineStr">
        <is>
          <t>PORTAL</t>
        </is>
      </c>
      <c r="D1224" s="8" t="inlineStr">
        <is>
          <t>worker/src/routes/portal/requests.ts</t>
        </is>
      </c>
      <c r="E1224" s="8" t="n">
        <v>85</v>
      </c>
      <c r="F1224" s="8" t="inlineStr">
        <is>
          <t>Yes</t>
        </is>
      </c>
      <c r="G1224" s="8" t="n">
        <v>33</v>
      </c>
    </row>
    <row r="1225">
      <c r="A1225" s="8" t="inlineStr">
        <is>
          <t>GET</t>
        </is>
      </c>
      <c r="B1225" s="8" t="inlineStr">
        <is>
          <t>/api/v1/portal/receipts</t>
        </is>
      </c>
      <c r="C1225" s="8" t="inlineStr">
        <is>
          <t>PORTAL</t>
        </is>
      </c>
      <c r="D1225" s="8" t="inlineStr">
        <is>
          <t>worker/src/routes/portal/requests.ts</t>
        </is>
      </c>
      <c r="E1225" s="8" t="n">
        <v>88</v>
      </c>
      <c r="F1225" s="8" t="inlineStr">
        <is>
          <t>Yes</t>
        </is>
      </c>
      <c r="G1225" s="8" t="n">
        <v>33</v>
      </c>
    </row>
    <row r="1226">
      <c r="A1226" s="8" t="inlineStr">
        <is>
          <t>GET</t>
        </is>
      </c>
      <c r="B1226" s="8" t="inlineStr">
        <is>
          <t>/api/v1/portal/receipts/{id}</t>
        </is>
      </c>
      <c r="C1226" s="8" t="inlineStr">
        <is>
          <t>PORTAL</t>
        </is>
      </c>
      <c r="D1226" s="8" t="inlineStr">
        <is>
          <t>worker/src/routes/portal/requests.ts</t>
        </is>
      </c>
      <c r="E1226" s="8" t="n">
        <v>89</v>
      </c>
      <c r="F1226" s="8" t="inlineStr">
        <is>
          <t>Yes</t>
        </is>
      </c>
      <c r="G1226" s="8" t="n">
        <v>33</v>
      </c>
    </row>
    <row r="1227">
      <c r="A1227" s="8" t="inlineStr">
        <is>
          <t>GET</t>
        </is>
      </c>
      <c r="B1227" s="8" t="inlineStr">
        <is>
          <t>/api/v1/portal/requests/types</t>
        </is>
      </c>
      <c r="C1227" s="8" t="inlineStr">
        <is>
          <t>PORTAL</t>
        </is>
      </c>
      <c r="D1227" s="8" t="inlineStr">
        <is>
          <t>worker/src/routes/portal/requests.ts</t>
        </is>
      </c>
      <c r="E1227" s="8" t="n">
        <v>92</v>
      </c>
      <c r="F1227" s="8" t="inlineStr">
        <is>
          <t>Yes</t>
        </is>
      </c>
      <c r="G1227" s="8" t="n">
        <v>33</v>
      </c>
    </row>
    <row r="1228">
      <c r="A1228" s="8" t="inlineStr">
        <is>
          <t>GET</t>
        </is>
      </c>
      <c r="B1228" s="8" t="inlineStr">
        <is>
          <t>/api/v1/portal/requests</t>
        </is>
      </c>
      <c r="C1228" s="8" t="inlineStr">
        <is>
          <t>PORTAL</t>
        </is>
      </c>
      <c r="D1228" s="8" t="inlineStr">
        <is>
          <t>worker/src/routes/portal/requests.ts</t>
        </is>
      </c>
      <c r="E1228" s="8" t="n">
        <v>93</v>
      </c>
      <c r="F1228" s="8" t="inlineStr">
        <is>
          <t>Yes</t>
        </is>
      </c>
      <c r="G1228" s="8" t="n">
        <v>33</v>
      </c>
    </row>
    <row r="1229">
      <c r="A1229" s="8" t="inlineStr">
        <is>
          <t>POST</t>
        </is>
      </c>
      <c r="B1229" s="8" t="inlineStr">
        <is>
          <t>/api/v1/portal/requests</t>
        </is>
      </c>
      <c r="C1229" s="8" t="inlineStr">
        <is>
          <t>PORTAL</t>
        </is>
      </c>
      <c r="D1229" s="8" t="inlineStr">
        <is>
          <t>worker/src/routes/portal/requests.ts</t>
        </is>
      </c>
      <c r="E1229" s="8" t="n">
        <v>94</v>
      </c>
      <c r="F1229" s="8" t="inlineStr">
        <is>
          <t>Yes</t>
        </is>
      </c>
      <c r="G1229" s="8" t="n">
        <v>33</v>
      </c>
    </row>
    <row r="1230">
      <c r="A1230" s="8" t="inlineStr">
        <is>
          <t>GET</t>
        </is>
      </c>
      <c r="B1230" s="8" t="inlineStr">
        <is>
          <t>/api/v1/portal/documents</t>
        </is>
      </c>
      <c r="C1230" s="8" t="inlineStr">
        <is>
          <t>PORTAL</t>
        </is>
      </c>
      <c r="D1230" s="8" t="inlineStr">
        <is>
          <t>worker/src/routes/portal/requests.ts</t>
        </is>
      </c>
      <c r="E1230" s="8" t="n">
        <v>95</v>
      </c>
      <c r="F1230" s="8" t="inlineStr">
        <is>
          <t>Yes</t>
        </is>
      </c>
      <c r="G1230" s="8" t="n">
        <v>33</v>
      </c>
    </row>
    <row r="1231">
      <c r="A1231" s="8" t="inlineStr">
        <is>
          <t>GET</t>
        </is>
      </c>
      <c r="B1231" s="8" t="inlineStr">
        <is>
          <t>/api/v1/portal/school-life/calendar</t>
        </is>
      </c>
      <c r="C1231" s="8" t="inlineStr">
        <is>
          <t>GROUP</t>
        </is>
      </c>
      <c r="D1231" s="8" t="inlineStr">
        <is>
          <t>worker/src/routes/portal/school_life.ts</t>
        </is>
      </c>
      <c r="E1231" s="8" t="n">
        <v>127</v>
      </c>
      <c r="F1231" s="8" t="inlineStr">
        <is>
          <t>Yes</t>
        </is>
      </c>
      <c r="G1231" s="8" t="n">
        <v>39</v>
      </c>
    </row>
    <row r="1232">
      <c r="A1232" s="8" t="inlineStr">
        <is>
          <t>GET</t>
        </is>
      </c>
      <c r="B1232" s="8" t="inlineStr">
        <is>
          <t>/api/v1/portal/school-life/ptm/slots</t>
        </is>
      </c>
      <c r="C1232" s="8" t="inlineStr">
        <is>
          <t>GROUP</t>
        </is>
      </c>
      <c r="D1232" s="8" t="inlineStr">
        <is>
          <t>worker/src/routes/portal/school_life.ts</t>
        </is>
      </c>
      <c r="E1232" s="8" t="n">
        <v>128</v>
      </c>
      <c r="F1232" s="8" t="inlineStr">
        <is>
          <t>Yes</t>
        </is>
      </c>
      <c r="G1232" s="8" t="n">
        <v>39</v>
      </c>
    </row>
    <row r="1233">
      <c r="A1233" s="8" t="inlineStr">
        <is>
          <t>GET</t>
        </is>
      </c>
      <c r="B1233" s="8" t="inlineStr">
        <is>
          <t>/api/v1/portal/school-life/ptm/bookings</t>
        </is>
      </c>
      <c r="C1233" s="8" t="inlineStr">
        <is>
          <t>GROUP</t>
        </is>
      </c>
      <c r="D1233" s="8" t="inlineStr">
        <is>
          <t>worker/src/routes/portal/school_life.ts</t>
        </is>
      </c>
      <c r="E1233" s="8" t="n">
        <v>129</v>
      </c>
      <c r="F1233" s="8" t="inlineStr">
        <is>
          <t>Yes</t>
        </is>
      </c>
      <c r="G1233" s="8" t="n">
        <v>39</v>
      </c>
    </row>
    <row r="1234">
      <c r="A1234" s="8" t="inlineStr">
        <is>
          <t>POST</t>
        </is>
      </c>
      <c r="B1234" s="8" t="inlineStr">
        <is>
          <t>/api/v1/portal/school-life/ptm/book</t>
        </is>
      </c>
      <c r="C1234" s="8" t="inlineStr">
        <is>
          <t>GROUP</t>
        </is>
      </c>
      <c r="D1234" s="8" t="inlineStr">
        <is>
          <t>worker/src/routes/portal/school_life.ts</t>
        </is>
      </c>
      <c r="E1234" s="8" t="n">
        <v>130</v>
      </c>
      <c r="F1234" s="8" t="inlineStr">
        <is>
          <t>Yes</t>
        </is>
      </c>
      <c r="G1234" s="8" t="n">
        <v>39</v>
      </c>
    </row>
    <row r="1235">
      <c r="A1235" s="8" t="inlineStr">
        <is>
          <t>POST</t>
        </is>
      </c>
      <c r="B1235" s="8" t="inlineStr">
        <is>
          <t>/api/v1/portal/school-life/ptm/{id}/cancel</t>
        </is>
      </c>
      <c r="C1235" s="8" t="inlineStr">
        <is>
          <t>GROUP</t>
        </is>
      </c>
      <c r="D1235" s="8" t="inlineStr">
        <is>
          <t>worker/src/routes/portal/school_life.ts</t>
        </is>
      </c>
      <c r="E1235" s="8" t="n">
        <v>131</v>
      </c>
      <c r="F1235" s="8" t="inlineStr">
        <is>
          <t>Yes</t>
        </is>
      </c>
      <c r="G1235" s="8" t="n">
        <v>39</v>
      </c>
    </row>
    <row r="1236">
      <c r="A1236" s="8" t="inlineStr">
        <is>
          <t>GET</t>
        </is>
      </c>
      <c r="B1236" s="8" t="inlineStr">
        <is>
          <t>/api/v1/portal/school-life/gallery</t>
        </is>
      </c>
      <c r="C1236" s="8" t="inlineStr">
        <is>
          <t>GROUP</t>
        </is>
      </c>
      <c r="D1236" s="8" t="inlineStr">
        <is>
          <t>worker/src/routes/portal/school_life.ts</t>
        </is>
      </c>
      <c r="E1236" s="8" t="n">
        <v>133</v>
      </c>
      <c r="F1236" s="8" t="inlineStr">
        <is>
          <t>No</t>
        </is>
      </c>
      <c r="G1236" s="8" t="n">
        <v>39</v>
      </c>
    </row>
    <row r="1237">
      <c r="A1237" s="8" t="inlineStr">
        <is>
          <t>GET</t>
        </is>
      </c>
      <c r="B1237" s="8" t="inlineStr">
        <is>
          <t>/api/v1/portal/school-life/gallery/{id}</t>
        </is>
      </c>
      <c r="C1237" s="8" t="inlineStr">
        <is>
          <t>GROUP</t>
        </is>
      </c>
      <c r="D1237" s="8" t="inlineStr">
        <is>
          <t>worker/src/routes/portal/school_life.ts</t>
        </is>
      </c>
      <c r="E1237" s="8" t="n">
        <v>134</v>
      </c>
      <c r="F1237" s="8" t="inlineStr">
        <is>
          <t>No</t>
        </is>
      </c>
      <c r="G1237" s="8" t="n">
        <v>39</v>
      </c>
    </row>
    <row r="1238">
      <c r="A1238" s="8" t="inlineStr">
        <is>
          <t>GET</t>
        </is>
      </c>
      <c r="B1238" s="8" t="inlineStr">
        <is>
          <t>/api/v1/portal/school-life/event-passes/verify</t>
        </is>
      </c>
      <c r="C1238" s="8" t="inlineStr">
        <is>
          <t>GROUP</t>
        </is>
      </c>
      <c r="D1238" s="8" t="inlineStr">
        <is>
          <t>worker/src/routes/portal/school_life.ts</t>
        </is>
      </c>
      <c r="E1238" s="8" t="n">
        <v>136</v>
      </c>
      <c r="F1238" s="8" t="inlineStr">
        <is>
          <t>No</t>
        </is>
      </c>
      <c r="G1238" s="8" t="n">
        <v>39</v>
      </c>
    </row>
    <row r="1239">
      <c r="A1239" s="8" t="inlineStr">
        <is>
          <t>GET</t>
        </is>
      </c>
      <c r="B1239" s="8" t="inlineStr">
        <is>
          <t>/api/v1/portal/school-life/event-passes</t>
        </is>
      </c>
      <c r="C1239" s="8" t="inlineStr">
        <is>
          <t>GROUP</t>
        </is>
      </c>
      <c r="D1239" s="8" t="inlineStr">
        <is>
          <t>worker/src/routes/portal/school_life.ts</t>
        </is>
      </c>
      <c r="E1239" s="8" t="n">
        <v>137</v>
      </c>
      <c r="F1239" s="8" t="inlineStr">
        <is>
          <t>No</t>
        </is>
      </c>
      <c r="G1239" s="8" t="n">
        <v>39</v>
      </c>
    </row>
    <row r="1240">
      <c r="A1240" s="8" t="inlineStr">
        <is>
          <t>POST</t>
        </is>
      </c>
      <c r="B1240" s="8" t="inlineStr">
        <is>
          <t>/api/v1/portal/school-life/event-passes</t>
        </is>
      </c>
      <c r="C1240" s="8" t="inlineStr">
        <is>
          <t>GROUP</t>
        </is>
      </c>
      <c r="D1240" s="8" t="inlineStr">
        <is>
          <t>worker/src/routes/portal/school_life.ts</t>
        </is>
      </c>
      <c r="E1240" s="8" t="n">
        <v>138</v>
      </c>
      <c r="F1240" s="8" t="inlineStr">
        <is>
          <t>No</t>
        </is>
      </c>
      <c r="G1240" s="8" t="n">
        <v>39</v>
      </c>
    </row>
    <row r="1241">
      <c r="A1241" s="8" t="inlineStr">
        <is>
          <t>POST</t>
        </is>
      </c>
      <c r="B1241" s="8" t="inlineStr">
        <is>
          <t>/api/v1/portal/school-life/event-passes/{id}/admit</t>
        </is>
      </c>
      <c r="C1241" s="8" t="inlineStr">
        <is>
          <t>GROUP</t>
        </is>
      </c>
      <c r="D1241" s="8" t="inlineStr">
        <is>
          <t>worker/src/routes/portal/school_life.ts</t>
        </is>
      </c>
      <c r="E1241" s="8" t="n">
        <v>139</v>
      </c>
      <c r="F1241" s="8" t="inlineStr">
        <is>
          <t>No</t>
        </is>
      </c>
      <c r="G1241" s="8" t="n">
        <v>39</v>
      </c>
    </row>
    <row r="1242">
      <c r="A1242" s="8" t="inlineStr">
        <is>
          <t>GET</t>
        </is>
      </c>
      <c r="B1242" s="8" t="inlineStr">
        <is>
          <t>/api/v1/portal/academics/iep</t>
        </is>
      </c>
      <c r="C1242" s="8" t="inlineStr">
        <is>
          <t>GROUP</t>
        </is>
      </c>
      <c r="D1242" s="8" t="inlineStr">
        <is>
          <t>worker/src/routes/portal/school_life.ts</t>
        </is>
      </c>
      <c r="E1242" s="8" t="n">
        <v>141</v>
      </c>
      <c r="F1242" s="8" t="inlineStr">
        <is>
          <t>No</t>
        </is>
      </c>
      <c r="G1242" s="8" t="n">
        <v>39</v>
      </c>
    </row>
    <row r="1243">
      <c r="A1243" s="8" t="inlineStr">
        <is>
          <t>GET</t>
        </is>
      </c>
      <c r="B1243" s="8" t="inlineStr">
        <is>
          <t>/api/v1/portal/profile/student-id-card</t>
        </is>
      </c>
      <c r="C1243" s="8" t="inlineStr">
        <is>
          <t>GROUP</t>
        </is>
      </c>
      <c r="D1243" s="8" t="inlineStr">
        <is>
          <t>worker/src/routes/portal/school_life.ts</t>
        </is>
      </c>
      <c r="E1243" s="8" t="n">
        <v>143</v>
      </c>
      <c r="F1243" s="8" t="inlineStr">
        <is>
          <t>Yes</t>
        </is>
      </c>
      <c r="G1243" s="8" t="n">
        <v>39</v>
      </c>
    </row>
    <row r="1244">
      <c r="A1244" s="8" t="inlineStr">
        <is>
          <t>GET</t>
        </is>
      </c>
      <c r="B1244" s="8" t="inlineStr">
        <is>
          <t>/api/v1/portal/profile/parent-id-card</t>
        </is>
      </c>
      <c r="C1244" s="8" t="inlineStr">
        <is>
          <t>GROUP</t>
        </is>
      </c>
      <c r="D1244" s="8" t="inlineStr">
        <is>
          <t>worker/src/routes/portal/school_life.ts</t>
        </is>
      </c>
      <c r="E1244" s="8" t="n">
        <v>144</v>
      </c>
      <c r="F1244" s="8" t="inlineStr">
        <is>
          <t>No</t>
        </is>
      </c>
      <c r="G1244" s="8" t="n">
        <v>39</v>
      </c>
    </row>
    <row r="1245">
      <c r="A1245" s="8" t="inlineStr">
        <is>
          <t>GET</t>
        </is>
      </c>
      <c r="B1245" s="8" t="inlineStr">
        <is>
          <t>/api/v1/portal/profile/id-card/verify</t>
        </is>
      </c>
      <c r="C1245" s="8" t="inlineStr">
        <is>
          <t>GROUP</t>
        </is>
      </c>
      <c r="D1245" s="8" t="inlineStr">
        <is>
          <t>worker/src/routes/portal/school_life.ts</t>
        </is>
      </c>
      <c r="E1245" s="8" t="n">
        <v>145</v>
      </c>
      <c r="F1245" s="8" t="inlineStr">
        <is>
          <t>No</t>
        </is>
      </c>
      <c r="G1245" s="8" t="n">
        <v>39</v>
      </c>
    </row>
    <row r="1246">
      <c r="A1246" s="8" t="inlineStr">
        <is>
          <t>GET</t>
        </is>
      </c>
      <c r="B1246" s="8" t="inlineStr">
        <is>
          <t>/api/v1/portal/live</t>
        </is>
      </c>
      <c r="C1246" s="8" t="inlineStr">
        <is>
          <t>GROUP</t>
        </is>
      </c>
      <c r="D1246" s="8" t="inlineStr">
        <is>
          <t>worker/src/routes/portal/school_life.ts</t>
        </is>
      </c>
      <c r="E1246" s="8" t="n">
        <v>147</v>
      </c>
      <c r="F1246" s="8" t="inlineStr">
        <is>
          <t>Yes</t>
        </is>
      </c>
      <c r="G1246" s="8" t="n">
        <v>39</v>
      </c>
    </row>
    <row r="1247">
      <c r="A1247" s="8" t="inlineStr">
        <is>
          <t>GET</t>
        </is>
      </c>
      <c r="B1247" s="8" t="inlineStr">
        <is>
          <t>/api/v1/portal/notifications</t>
        </is>
      </c>
      <c r="C1247" s="8" t="inlineStr">
        <is>
          <t>GROUP</t>
        </is>
      </c>
      <c r="D1247" s="8" t="inlineStr">
        <is>
          <t>worker/src/routes/portal/school_life.ts</t>
        </is>
      </c>
      <c r="E1247" s="8" t="n">
        <v>148</v>
      </c>
      <c r="F1247" s="8" t="inlineStr">
        <is>
          <t>Yes</t>
        </is>
      </c>
      <c r="G1247" s="8" t="n">
        <v>39</v>
      </c>
    </row>
    <row r="1248">
      <c r="A1248" s="8" t="inlineStr">
        <is>
          <t>POST</t>
        </is>
      </c>
      <c r="B1248" s="8" t="inlineStr">
        <is>
          <t>/api/v1/portal/notifications/read-all</t>
        </is>
      </c>
      <c r="C1248" s="8" t="inlineStr">
        <is>
          <t>GROUP</t>
        </is>
      </c>
      <c r="D1248" s="8" t="inlineStr">
        <is>
          <t>worker/src/routes/portal/school_life.ts</t>
        </is>
      </c>
      <c r="E1248" s="8" t="n">
        <v>149</v>
      </c>
      <c r="F1248" s="8" t="inlineStr">
        <is>
          <t>Yes</t>
        </is>
      </c>
      <c r="G1248" s="8" t="n">
        <v>39</v>
      </c>
    </row>
    <row r="1249">
      <c r="A1249" s="8" t="inlineStr">
        <is>
          <t>POST</t>
        </is>
      </c>
      <c r="B1249" s="8" t="inlineStr">
        <is>
          <t>/api/v1/portal/notifications/clear</t>
        </is>
      </c>
      <c r="C1249" s="8" t="inlineStr">
        <is>
          <t>GROUP</t>
        </is>
      </c>
      <c r="D1249" s="8" t="inlineStr">
        <is>
          <t>worker/src/routes/portal/school_life.ts</t>
        </is>
      </c>
      <c r="E1249" s="8" t="n">
        <v>150</v>
      </c>
      <c r="F1249" s="8" t="inlineStr">
        <is>
          <t>Yes</t>
        </is>
      </c>
      <c r="G1249" s="8" t="n">
        <v>39</v>
      </c>
    </row>
    <row r="1250">
      <c r="A1250" s="8" t="inlineStr">
        <is>
          <t>POST</t>
        </is>
      </c>
      <c r="B1250" s="8" t="inlineStr">
        <is>
          <t>/api/v1/portal/notifications/{id}/read</t>
        </is>
      </c>
      <c r="C1250" s="8" t="inlineStr">
        <is>
          <t>GROUP</t>
        </is>
      </c>
      <c r="D1250" s="8" t="inlineStr">
        <is>
          <t>worker/src/routes/portal/school_life.ts</t>
        </is>
      </c>
      <c r="E1250" s="8" t="n">
        <v>151</v>
      </c>
      <c r="F1250" s="8" t="inlineStr">
        <is>
          <t>Yes</t>
        </is>
      </c>
      <c r="G1250" s="8" t="n">
        <v>39</v>
      </c>
    </row>
    <row r="1251">
      <c r="A1251" s="8" t="inlineStr">
        <is>
          <t>GET</t>
        </is>
      </c>
      <c r="B1251" s="8" t="inlineStr">
        <is>
          <t>/api/v1/portal/cafeteria/purchases</t>
        </is>
      </c>
      <c r="C1251" s="8" t="inlineStr">
        <is>
          <t>GROUP</t>
        </is>
      </c>
      <c r="D1251" s="8" t="inlineStr">
        <is>
          <t>worker/src/routes/portal/school_life.ts</t>
        </is>
      </c>
      <c r="E1251" s="8" t="n">
        <v>153</v>
      </c>
      <c r="F1251" s="8" t="inlineStr">
        <is>
          <t>No</t>
        </is>
      </c>
      <c r="G1251" s="8" t="n">
        <v>39</v>
      </c>
    </row>
    <row r="1252">
      <c r="A1252" s="8" t="inlineStr">
        <is>
          <t>GET</t>
        </is>
      </c>
      <c r="B1252" s="8" t="inlineStr">
        <is>
          <t>/api/v1/me/child-bus</t>
        </is>
      </c>
      <c r="C1252" s="8" t="inlineStr">
        <is>
          <t>SELF</t>
        </is>
      </c>
      <c r="D1252" s="8" t="inlineStr">
        <is>
          <t>worker/src/routes/scheduling/child_bus.ts</t>
        </is>
      </c>
      <c r="E1252" s="8" t="n">
        <v>146</v>
      </c>
      <c r="F1252" s="8" t="inlineStr">
        <is>
          <t>Yes</t>
        </is>
      </c>
      <c r="G1252" s="8" t="n">
        <v>12</v>
      </c>
    </row>
    <row r="1253">
      <c r="A1253" s="8" t="inlineStr">
        <is>
          <t>POST</t>
        </is>
      </c>
      <c r="B1253" s="8" t="inlineStr">
        <is>
          <t>/api/v1/me/child-bus/prefs</t>
        </is>
      </c>
      <c r="C1253" s="8" t="inlineStr">
        <is>
          <t>SELF</t>
        </is>
      </c>
      <c r="D1253" s="8" t="inlineStr">
        <is>
          <t>worker/src/routes/scheduling/child_bus.ts</t>
        </is>
      </c>
      <c r="E1253" s="8" t="n">
        <v>147</v>
      </c>
      <c r="F1253" s="8" t="inlineStr">
        <is>
          <t>Yes</t>
        </is>
      </c>
      <c r="G1253" s="8" t="n">
        <v>12</v>
      </c>
    </row>
    <row r="1254">
      <c r="A1254" s="8" t="inlineStr">
        <is>
          <t>GET</t>
        </is>
      </c>
      <c r="B1254" s="8" t="inlineStr">
        <is>
          <t>/api/v1/timetable-cover/my-periods</t>
        </is>
      </c>
      <c r="C1254" s="8" t="inlineStr">
        <is>
          <t>READ</t>
        </is>
      </c>
      <c r="D1254" s="8" t="inlineStr">
        <is>
          <t>worker/src/routes/scheduling/cover.ts</t>
        </is>
      </c>
      <c r="E1254" s="8" t="n">
        <v>381</v>
      </c>
      <c r="F1254" s="8" t="inlineStr">
        <is>
          <t>Yes</t>
        </is>
      </c>
      <c r="G1254" s="8" t="n">
        <v>17</v>
      </c>
    </row>
    <row r="1255">
      <c r="A1255" s="8" t="inlineStr">
        <is>
          <t>GET</t>
        </is>
      </c>
      <c r="B1255" s="8" t="inlineStr">
        <is>
          <t>/api/v1/timetable-cover/requests</t>
        </is>
      </c>
      <c r="C1255" s="8" t="inlineStr">
        <is>
          <t>READ</t>
        </is>
      </c>
      <c r="D1255" s="8" t="inlineStr">
        <is>
          <t>worker/src/routes/scheduling/cover.ts</t>
        </is>
      </c>
      <c r="E1255" s="8" t="n">
        <v>382</v>
      </c>
      <c r="F1255" s="8" t="inlineStr">
        <is>
          <t>Yes</t>
        </is>
      </c>
      <c r="G1255" s="8" t="n">
        <v>17</v>
      </c>
    </row>
    <row r="1256">
      <c r="A1256" s="8" t="inlineStr">
        <is>
          <t>POST</t>
        </is>
      </c>
      <c r="B1256" s="8" t="inlineStr">
        <is>
          <t>/api/v1/timetable-cover/requests</t>
        </is>
      </c>
      <c r="C1256" s="8" t="inlineStr">
        <is>
          <t>READ</t>
        </is>
      </c>
      <c r="D1256" s="8" t="inlineStr">
        <is>
          <t>worker/src/routes/scheduling/cover.ts</t>
        </is>
      </c>
      <c r="E1256" s="8" t="n">
        <v>383</v>
      </c>
      <c r="F1256" s="8" t="inlineStr">
        <is>
          <t>Yes</t>
        </is>
      </c>
      <c r="G1256" s="8" t="n">
        <v>17</v>
      </c>
    </row>
    <row r="1257">
      <c r="A1257" s="8" t="inlineStr">
        <is>
          <t>GET</t>
        </is>
      </c>
      <c r="B1257" s="8" t="inlineStr">
        <is>
          <t>/api/v1/timetable-cover/requests/{id}</t>
        </is>
      </c>
      <c r="C1257" s="8" t="inlineStr">
        <is>
          <t>READ</t>
        </is>
      </c>
      <c r="D1257" s="8" t="inlineStr">
        <is>
          <t>worker/src/routes/scheduling/cover.ts</t>
        </is>
      </c>
      <c r="E1257" s="8" t="n">
        <v>384</v>
      </c>
      <c r="F1257" s="8" t="inlineStr">
        <is>
          <t>Yes</t>
        </is>
      </c>
      <c r="G1257" s="8" t="n">
        <v>17</v>
      </c>
    </row>
    <row r="1258">
      <c r="A1258" s="8" t="inlineStr">
        <is>
          <t>POST</t>
        </is>
      </c>
      <c r="B1258" s="8" t="inlineStr">
        <is>
          <t>/api/v1/timetable-cover/requests/{id}/cancel</t>
        </is>
      </c>
      <c r="C1258" s="8" t="inlineStr">
        <is>
          <t>READ</t>
        </is>
      </c>
      <c r="D1258" s="8" t="inlineStr">
        <is>
          <t>worker/src/routes/scheduling/cover.ts</t>
        </is>
      </c>
      <c r="E1258" s="8" t="n">
        <v>385</v>
      </c>
      <c r="F1258" s="8" t="inlineStr">
        <is>
          <t>Yes</t>
        </is>
      </c>
      <c r="G1258" s="8" t="n">
        <v>17</v>
      </c>
    </row>
    <row r="1259">
      <c r="A1259" s="8" t="inlineStr">
        <is>
          <t>POST</t>
        </is>
      </c>
      <c r="B1259" s="8" t="inlineStr">
        <is>
          <t>/api/v1/timetable-cover/requests/{id}/decide</t>
        </is>
      </c>
      <c r="C1259" s="8" t="inlineStr">
        <is>
          <t>WRITE</t>
        </is>
      </c>
      <c r="D1259" s="8" t="inlineStr">
        <is>
          <t>worker/src/routes/scheduling/cover.ts</t>
        </is>
      </c>
      <c r="E1259" s="8" t="n">
        <v>386</v>
      </c>
      <c r="F1259" s="8" t="inlineStr">
        <is>
          <t>Yes</t>
        </is>
      </c>
      <c r="G1259" s="8" t="n">
        <v>17</v>
      </c>
    </row>
    <row r="1260">
      <c r="A1260" s="8" t="inlineStr">
        <is>
          <t>GET</t>
        </is>
      </c>
      <c r="B1260" s="8" t="inlineStr">
        <is>
          <t>/api/v1/master-timetable/overview</t>
        </is>
      </c>
      <c r="C1260" s="8" t="inlineStr">
        <is>
          <t>READ</t>
        </is>
      </c>
      <c r="D1260" s="8" t="inlineStr">
        <is>
          <t>worker/src/routes/scheduling/master.ts</t>
        </is>
      </c>
      <c r="E1260" s="8" t="n">
        <v>271</v>
      </c>
      <c r="F1260" s="8" t="inlineStr">
        <is>
          <t>Yes</t>
        </is>
      </c>
      <c r="G1260" s="8" t="n">
        <v>11</v>
      </c>
    </row>
    <row r="1261">
      <c r="A1261" s="8" t="inlineStr">
        <is>
          <t>GET</t>
        </is>
      </c>
      <c r="B1261" s="8" t="inlineStr">
        <is>
          <t>/api/v1/master-timetable/drafts/{id}/publish-preview</t>
        </is>
      </c>
      <c r="C1261" s="8" t="inlineStr">
        <is>
          <t>READ</t>
        </is>
      </c>
      <c r="D1261" s="8" t="inlineStr">
        <is>
          <t>worker/src/routes/scheduling/master.ts</t>
        </is>
      </c>
      <c r="E1261" s="8" t="n">
        <v>272</v>
      </c>
      <c r="F1261" s="8" t="inlineStr">
        <is>
          <t>No</t>
        </is>
      </c>
      <c r="G1261" s="8" t="n">
        <v>11</v>
      </c>
    </row>
    <row r="1262">
      <c r="A1262" s="8" t="inlineStr">
        <is>
          <t>POST</t>
        </is>
      </c>
      <c r="B1262" s="8" t="inlineStr">
        <is>
          <t>/api/v1/master-timetable/drafts/{id}/entries</t>
        </is>
      </c>
      <c r="C1262" s="8" t="inlineStr">
        <is>
          <t>WRITE</t>
        </is>
      </c>
      <c r="D1262" s="8" t="inlineStr">
        <is>
          <t>worker/src/routes/scheduling/master.ts</t>
        </is>
      </c>
      <c r="E1262" s="8" t="n">
        <v>273</v>
      </c>
      <c r="F1262" s="8" t="inlineStr">
        <is>
          <t>No</t>
        </is>
      </c>
      <c r="G1262" s="8" t="n">
        <v>11</v>
      </c>
    </row>
    <row r="1263">
      <c r="A1263" s="8" t="inlineStr">
        <is>
          <t>PUT</t>
        </is>
      </c>
      <c r="B1263" s="8" t="inlineStr">
        <is>
          <t>/api/v1/master-timetable/drafts/{id}/entries/{entryID}</t>
        </is>
      </c>
      <c r="C1263" s="8" t="inlineStr">
        <is>
          <t>WRITE</t>
        </is>
      </c>
      <c r="D1263" s="8" t="inlineStr">
        <is>
          <t>worker/src/routes/scheduling/master.ts</t>
        </is>
      </c>
      <c r="E1263" s="8" t="n">
        <v>274</v>
      </c>
      <c r="F1263" s="8" t="inlineStr">
        <is>
          <t>No</t>
        </is>
      </c>
      <c r="G1263" s="8" t="n">
        <v>11</v>
      </c>
    </row>
    <row r="1264">
      <c r="A1264" s="8" t="inlineStr">
        <is>
          <t>DELETE</t>
        </is>
      </c>
      <c r="B1264" s="8" t="inlineStr">
        <is>
          <t>/api/v1/master-timetable/drafts/{id}/entries/{entryID}</t>
        </is>
      </c>
      <c r="C1264" s="8" t="inlineStr">
        <is>
          <t>WRITE</t>
        </is>
      </c>
      <c r="D1264" s="8" t="inlineStr">
        <is>
          <t>worker/src/routes/scheduling/master.ts</t>
        </is>
      </c>
      <c r="E1264" s="8" t="n">
        <v>279</v>
      </c>
      <c r="F1264" s="8" t="inlineStr">
        <is>
          <t>No</t>
        </is>
      </c>
      <c r="G1264" s="8" t="n">
        <v>11</v>
      </c>
    </row>
    <row r="1265">
      <c r="A1265" s="8" t="inlineStr">
        <is>
          <t>GET</t>
        </is>
      </c>
      <c r="B1265" s="8" t="inlineStr">
        <is>
          <t>/api/v1/mdm-register/days</t>
        </is>
      </c>
      <c r="C1265" s="8" t="inlineStr">
        <is>
          <t>READ</t>
        </is>
      </c>
      <c r="D1265" s="8" t="inlineStr">
        <is>
          <t>worker/src/routes/scheduling/mdm.ts</t>
        </is>
      </c>
      <c r="E1265" s="8" t="n">
        <v>335</v>
      </c>
      <c r="F1265" s="8" t="inlineStr">
        <is>
          <t>No</t>
        </is>
      </c>
      <c r="G1265" s="8" t="n">
        <v>9</v>
      </c>
    </row>
    <row r="1266">
      <c r="A1266" s="8" t="inlineStr">
        <is>
          <t>POST</t>
        </is>
      </c>
      <c r="B1266" s="8" t="inlineStr">
        <is>
          <t>/api/v1/mdm-register/days</t>
        </is>
      </c>
      <c r="C1266" s="8" t="inlineStr">
        <is>
          <t>WRITE</t>
        </is>
      </c>
      <c r="D1266" s="8" t="inlineStr">
        <is>
          <t>worker/src/routes/scheduling/mdm.ts</t>
        </is>
      </c>
      <c r="E1266" s="8" t="n">
        <v>336</v>
      </c>
      <c r="F1266" s="8" t="inlineStr">
        <is>
          <t>No</t>
        </is>
      </c>
      <c r="G1266" s="8" t="n">
        <v>9</v>
      </c>
    </row>
    <row r="1267">
      <c r="A1267" s="8" t="inlineStr">
        <is>
          <t>GET</t>
        </is>
      </c>
      <c r="B1267" s="8" t="inlineStr">
        <is>
          <t>/api/v1/mdm-register/context</t>
        </is>
      </c>
      <c r="C1267" s="8" t="inlineStr">
        <is>
          <t>READ</t>
        </is>
      </c>
      <c r="D1267" s="8" t="inlineStr">
        <is>
          <t>worker/src/routes/scheduling/mdm.ts</t>
        </is>
      </c>
      <c r="E1267" s="8" t="n">
        <v>337</v>
      </c>
      <c r="F1267" s="8" t="inlineStr">
        <is>
          <t>No</t>
        </is>
      </c>
      <c r="G1267" s="8" t="n">
        <v>9</v>
      </c>
    </row>
    <row r="1268">
      <c r="A1268" s="8" t="inlineStr">
        <is>
          <t>GET</t>
        </is>
      </c>
      <c r="B1268" s="8" t="inlineStr">
        <is>
          <t>/api/v1/mdm-register/days/{id}</t>
        </is>
      </c>
      <c r="C1268" s="8" t="inlineStr">
        <is>
          <t>READ</t>
        </is>
      </c>
      <c r="D1268" s="8" t="inlineStr">
        <is>
          <t>worker/src/routes/scheduling/mdm.ts</t>
        </is>
      </c>
      <c r="E1268" s="8" t="n">
        <v>338</v>
      </c>
      <c r="F1268" s="8" t="inlineStr">
        <is>
          <t>No</t>
        </is>
      </c>
      <c r="G1268" s="8" t="n">
        <v>9</v>
      </c>
    </row>
    <row r="1269">
      <c r="A1269" s="8" t="inlineStr">
        <is>
          <t>POST</t>
        </is>
      </c>
      <c r="B1269" s="8" t="inlineStr">
        <is>
          <t>/api/v1/mdm-register/days/{id}/close</t>
        </is>
      </c>
      <c r="C1269" s="8" t="inlineStr">
        <is>
          <t>WRITE</t>
        </is>
      </c>
      <c r="D1269" s="8" t="inlineStr">
        <is>
          <t>worker/src/routes/scheduling/mdm.ts</t>
        </is>
      </c>
      <c r="E1269" s="8" t="n">
        <v>339</v>
      </c>
      <c r="F1269" s="8" t="inlineStr">
        <is>
          <t>No</t>
        </is>
      </c>
      <c r="G1269" s="8" t="n">
        <v>9</v>
      </c>
    </row>
    <row r="1270">
      <c r="A1270" s="8" t="inlineStr">
        <is>
          <t>POST</t>
        </is>
      </c>
      <c r="B1270" s="8" t="inlineStr">
        <is>
          <t>/api/v1/mdm-register/days/{id}/reopen</t>
        </is>
      </c>
      <c r="C1270" s="8" t="inlineStr">
        <is>
          <t>WRITE</t>
        </is>
      </c>
      <c r="D1270" s="8" t="inlineStr">
        <is>
          <t>worker/src/routes/scheduling/mdm.ts</t>
        </is>
      </c>
      <c r="E1270" s="8" t="n">
        <v>340</v>
      </c>
      <c r="F1270" s="8" t="inlineStr">
        <is>
          <t>No</t>
        </is>
      </c>
      <c r="G1270" s="8" t="n">
        <v>9</v>
      </c>
    </row>
    <row r="1271">
      <c r="A1271" s="8" t="inlineStr">
        <is>
          <t>GET</t>
        </is>
      </c>
      <c r="B1271" s="8" t="inlineStr">
        <is>
          <t>/api/v1/transport/trackers</t>
        </is>
      </c>
      <c r="C1271" s="8" t="inlineStr">
        <is>
          <t>READ</t>
        </is>
      </c>
      <c r="D1271" s="8" t="inlineStr">
        <is>
          <t>worker/src/routes/scheduling/office.ts</t>
        </is>
      </c>
      <c r="E1271" s="8" t="n">
        <v>370</v>
      </c>
      <c r="F1271" s="8" t="inlineStr">
        <is>
          <t>Yes</t>
        </is>
      </c>
      <c r="G1271" s="8" t="n">
        <v>13</v>
      </c>
    </row>
    <row r="1272">
      <c r="A1272" s="8" t="inlineStr">
        <is>
          <t>POST</t>
        </is>
      </c>
      <c r="B1272" s="8" t="inlineStr">
        <is>
          <t>/api/v1/transport/trackers/pair</t>
        </is>
      </c>
      <c r="C1272" s="8" t="inlineStr">
        <is>
          <t>WRITE</t>
        </is>
      </c>
      <c r="D1272" s="8" t="inlineStr">
        <is>
          <t>worker/src/routes/scheduling/office.ts</t>
        </is>
      </c>
      <c r="E1272" s="8" t="n">
        <v>371</v>
      </c>
      <c r="F1272" s="8" t="inlineStr">
        <is>
          <t>Yes</t>
        </is>
      </c>
      <c r="G1272" s="8" t="n">
        <v>13</v>
      </c>
    </row>
    <row r="1273">
      <c r="A1273" s="8" t="inlineStr">
        <is>
          <t>PUT</t>
        </is>
      </c>
      <c r="B1273" s="8" t="inlineStr">
        <is>
          <t>/api/v1/transport/trackers/{id}</t>
        </is>
      </c>
      <c r="C1273" s="8" t="inlineStr">
        <is>
          <t>WRITE</t>
        </is>
      </c>
      <c r="D1273" s="8" t="inlineStr">
        <is>
          <t>worker/src/routes/scheduling/office.ts</t>
        </is>
      </c>
      <c r="E1273" s="8" t="n">
        <v>372</v>
      </c>
      <c r="F1273" s="8" t="inlineStr">
        <is>
          <t>Yes</t>
        </is>
      </c>
      <c r="G1273" s="8" t="n">
        <v>13</v>
      </c>
    </row>
    <row r="1274">
      <c r="A1274" s="8" t="inlineStr">
        <is>
          <t>POST</t>
        </is>
      </c>
      <c r="B1274" s="8" t="inlineStr">
        <is>
          <t>/api/v1/transport/trackers/{id}/revoke</t>
        </is>
      </c>
      <c r="C1274" s="8" t="inlineStr">
        <is>
          <t>WRITE</t>
        </is>
      </c>
      <c r="D1274" s="8" t="inlineStr">
        <is>
          <t>worker/src/routes/scheduling/office.ts</t>
        </is>
      </c>
      <c r="E1274" s="8" t="n">
        <v>373</v>
      </c>
      <c r="F1274" s="8" t="inlineStr">
        <is>
          <t>No</t>
        </is>
      </c>
      <c r="G1274" s="8" t="n">
        <v>13</v>
      </c>
    </row>
    <row r="1275">
      <c r="A1275" s="8" t="inlineStr">
        <is>
          <t>POST</t>
        </is>
      </c>
      <c r="B1275" s="8" t="inlineStr">
        <is>
          <t>/api/v1/transport/trackers/{id}/approve</t>
        </is>
      </c>
      <c r="C1275" s="8" t="inlineStr">
        <is>
          <t>WRITE</t>
        </is>
      </c>
      <c r="D1275" s="8" t="inlineStr">
        <is>
          <t>worker/src/routes/scheduling/office.ts</t>
        </is>
      </c>
      <c r="E1275" s="8" t="n">
        <v>374</v>
      </c>
      <c r="F1275" s="8" t="inlineStr">
        <is>
          <t>Yes</t>
        </is>
      </c>
      <c r="G1275" s="8" t="n">
        <v>13</v>
      </c>
    </row>
    <row r="1276">
      <c r="A1276" s="8" t="inlineStr">
        <is>
          <t>GET</t>
        </is>
      </c>
      <c r="B1276" s="8" t="inlineStr">
        <is>
          <t>/api/v1/transport/tracking-policy</t>
        </is>
      </c>
      <c r="C1276" s="8" t="inlineStr">
        <is>
          <t>READ</t>
        </is>
      </c>
      <c r="D1276" s="8" t="inlineStr">
        <is>
          <t>worker/src/routes/scheduling/office.ts</t>
        </is>
      </c>
      <c r="E1276" s="8" t="n">
        <v>375</v>
      </c>
      <c r="F1276" s="8" t="inlineStr">
        <is>
          <t>No</t>
        </is>
      </c>
      <c r="G1276" s="8" t="n">
        <v>13</v>
      </c>
    </row>
    <row r="1277">
      <c r="A1277" s="8" t="inlineStr">
        <is>
          <t>PUT</t>
        </is>
      </c>
      <c r="B1277" s="8" t="inlineStr">
        <is>
          <t>/api/v1/transport/tracking-policy</t>
        </is>
      </c>
      <c r="C1277" s="8" t="inlineStr">
        <is>
          <t>WRITE</t>
        </is>
      </c>
      <c r="D1277" s="8" t="inlineStr">
        <is>
          <t>worker/src/routes/scheduling/office.ts</t>
        </is>
      </c>
      <c r="E1277" s="8" t="n">
        <v>376</v>
      </c>
      <c r="F1277" s="8" t="inlineStr">
        <is>
          <t>No</t>
        </is>
      </c>
      <c r="G1277" s="8" t="n">
        <v>13</v>
      </c>
    </row>
    <row r="1278">
      <c r="A1278" s="8" t="inlineStr">
        <is>
          <t>GET</t>
        </is>
      </c>
      <c r="B1278" s="8" t="inlineStr">
        <is>
          <t>/api/v1/transport/stop-events</t>
        </is>
      </c>
      <c r="C1278" s="8" t="inlineStr">
        <is>
          <t>READ</t>
        </is>
      </c>
      <c r="D1278" s="8" t="inlineStr">
        <is>
          <t>worker/src/routes/scheduling/office.ts</t>
        </is>
      </c>
      <c r="E1278" s="8" t="n">
        <v>377</v>
      </c>
      <c r="F1278" s="8" t="inlineStr">
        <is>
          <t>Yes</t>
        </is>
      </c>
      <c r="G1278" s="8" t="n">
        <v>13</v>
      </c>
    </row>
    <row r="1279">
      <c r="A1279" s="8" t="inlineStr">
        <is>
          <t>GET</t>
        </is>
      </c>
      <c r="B1279" s="8" t="inlineStr">
        <is>
          <t>/api/v1/transport/live</t>
        </is>
      </c>
      <c r="C1279" s="8" t="inlineStr">
        <is>
          <t>READ</t>
        </is>
      </c>
      <c r="D1279" s="8" t="inlineStr">
        <is>
          <t>worker/src/routes/scheduling/office.ts</t>
        </is>
      </c>
      <c r="E1279" s="8" t="n">
        <v>378</v>
      </c>
      <c r="F1279" s="8" t="inlineStr">
        <is>
          <t>Yes</t>
        </is>
      </c>
      <c r="G1279" s="8" t="n">
        <v>13</v>
      </c>
    </row>
    <row r="1280">
      <c r="A1280" s="8" t="inlineStr">
        <is>
          <t>GET</t>
        </is>
      </c>
      <c r="B1280" s="8" t="inlineStr">
        <is>
          <t>/api/v1/transport/safety-events</t>
        </is>
      </c>
      <c r="C1280" s="8" t="inlineStr">
        <is>
          <t>READ</t>
        </is>
      </c>
      <c r="D1280" s="8" t="inlineStr">
        <is>
          <t>worker/src/routes/scheduling/office.ts</t>
        </is>
      </c>
      <c r="E1280" s="8" t="n">
        <v>379</v>
      </c>
      <c r="F1280" s="8" t="inlineStr">
        <is>
          <t>Yes</t>
        </is>
      </c>
      <c r="G1280" s="8" t="n">
        <v>13</v>
      </c>
    </row>
    <row r="1281">
      <c r="A1281" s="8" t="inlineStr">
        <is>
          <t>POST</t>
        </is>
      </c>
      <c r="B1281" s="8" t="inlineStr">
        <is>
          <t>/api/v1/transport/safety-events/{id}/review</t>
        </is>
      </c>
      <c r="C1281" s="8" t="inlineStr">
        <is>
          <t>WRITE</t>
        </is>
      </c>
      <c r="D1281" s="8" t="inlineStr">
        <is>
          <t>worker/src/routes/scheduling/office.ts</t>
        </is>
      </c>
      <c r="E1281" s="8" t="n">
        <v>380</v>
      </c>
      <c r="F1281" s="8" t="inlineStr">
        <is>
          <t>Yes</t>
        </is>
      </c>
      <c r="G1281" s="8" t="n">
        <v>13</v>
      </c>
    </row>
    <row r="1282">
      <c r="A1282" s="8" t="inlineStr">
        <is>
          <t>GET</t>
        </is>
      </c>
      <c r="B1282" s="8" t="inlineStr">
        <is>
          <t>/api/v1/transport/map-stops</t>
        </is>
      </c>
      <c r="C1282" s="8" t="inlineStr">
        <is>
          <t>READ</t>
        </is>
      </c>
      <c r="D1282" s="8" t="inlineStr">
        <is>
          <t>worker/src/routes/scheduling/office.ts</t>
        </is>
      </c>
      <c r="E1282" s="8" t="n">
        <v>381</v>
      </c>
      <c r="F1282" s="8" t="inlineStr">
        <is>
          <t>Yes</t>
        </is>
      </c>
      <c r="G1282" s="8" t="n">
        <v>13</v>
      </c>
    </row>
    <row r="1283">
      <c r="A1283" s="8" t="inlineStr">
        <is>
          <t>GET</t>
        </is>
      </c>
      <c r="B1283" s="8" t="inlineStr">
        <is>
          <t>/api/v1/transport/vehicles/{id}/notices</t>
        </is>
      </c>
      <c r="C1283" s="8" t="inlineStr">
        <is>
          <t>READ</t>
        </is>
      </c>
      <c r="D1283" s="8" t="inlineStr">
        <is>
          <t>worker/src/routes/scheduling/office.ts</t>
        </is>
      </c>
      <c r="E1283" s="8" t="n">
        <v>382</v>
      </c>
      <c r="F1283" s="8" t="inlineStr">
        <is>
          <t>Yes</t>
        </is>
      </c>
      <c r="G1283" s="8" t="n">
        <v>13</v>
      </c>
    </row>
    <row r="1284">
      <c r="A1284" s="8" t="inlineStr">
        <is>
          <t>POST</t>
        </is>
      </c>
      <c r="B1284" s="8" t="inlineStr">
        <is>
          <t>/api/v1/transport/vehicles/{id}/notices</t>
        </is>
      </c>
      <c r="C1284" s="8" t="inlineStr">
        <is>
          <t>WRITE</t>
        </is>
      </c>
      <c r="D1284" s="8" t="inlineStr">
        <is>
          <t>worker/src/routes/scheduling/office.ts</t>
        </is>
      </c>
      <c r="E1284" s="8" t="n">
        <v>383</v>
      </c>
      <c r="F1284" s="8" t="inlineStr">
        <is>
          <t>Yes</t>
        </is>
      </c>
      <c r="G1284" s="8" t="n">
        <v>13</v>
      </c>
    </row>
    <row r="1285">
      <c r="A1285" s="8" t="inlineStr">
        <is>
          <t>GET</t>
        </is>
      </c>
      <c r="B1285" s="8" t="inlineStr">
        <is>
          <t>/api/v1/timetable-optimizer/inputs</t>
        </is>
      </c>
      <c r="C1285" s="8" t="inlineStr">
        <is>
          <t>READ</t>
        </is>
      </c>
      <c r="D1285" s="8" t="inlineStr">
        <is>
          <t>worker/src/routes/scheduling/optimizer.ts</t>
        </is>
      </c>
      <c r="E1285" s="8" t="n">
        <v>497</v>
      </c>
      <c r="F1285" s="8" t="inlineStr">
        <is>
          <t>Yes</t>
        </is>
      </c>
      <c r="G1285" s="8" t="n">
        <v>19</v>
      </c>
    </row>
    <row r="1286">
      <c r="A1286" s="8" t="inlineStr">
        <is>
          <t>GET</t>
        </is>
      </c>
      <c r="B1286" s="8" t="inlineStr">
        <is>
          <t>/api/v1/timetable-optimizer/drafts</t>
        </is>
      </c>
      <c r="C1286" s="8" t="inlineStr">
        <is>
          <t>READ</t>
        </is>
      </c>
      <c r="D1286" s="8" t="inlineStr">
        <is>
          <t>worker/src/routes/scheduling/optimizer.ts</t>
        </is>
      </c>
      <c r="E1286" s="8" t="n">
        <v>498</v>
      </c>
      <c r="F1286" s="8" t="inlineStr">
        <is>
          <t>Yes</t>
        </is>
      </c>
      <c r="G1286" s="8" t="n">
        <v>19</v>
      </c>
    </row>
    <row r="1287">
      <c r="A1287" s="8" t="inlineStr">
        <is>
          <t>POST</t>
        </is>
      </c>
      <c r="B1287" s="8" t="inlineStr">
        <is>
          <t>/api/v1/timetable-optimizer/drafts</t>
        </is>
      </c>
      <c r="C1287" s="8" t="inlineStr">
        <is>
          <t>WRITE</t>
        </is>
      </c>
      <c r="D1287" s="8" t="inlineStr">
        <is>
          <t>worker/src/routes/scheduling/optimizer.ts</t>
        </is>
      </c>
      <c r="E1287" s="8" t="n">
        <v>499</v>
      </c>
      <c r="F1287" s="8" t="inlineStr">
        <is>
          <t>Yes</t>
        </is>
      </c>
      <c r="G1287" s="8" t="n">
        <v>19</v>
      </c>
    </row>
    <row r="1288">
      <c r="A1288" s="8" t="inlineStr">
        <is>
          <t>PUT</t>
        </is>
      </c>
      <c r="B1288" s="8" t="inlineStr">
        <is>
          <t>/api/v1/timetable-optimizer/requirements</t>
        </is>
      </c>
      <c r="C1288" s="8" t="inlineStr">
        <is>
          <t>WRITE</t>
        </is>
      </c>
      <c r="D1288" s="8" t="inlineStr">
        <is>
          <t>worker/src/routes/scheduling/optimizer.ts</t>
        </is>
      </c>
      <c r="E1288" s="8" t="n">
        <v>500</v>
      </c>
      <c r="F1288" s="8" t="inlineStr">
        <is>
          <t>Yes</t>
        </is>
      </c>
      <c r="G1288" s="8" t="n">
        <v>19</v>
      </c>
    </row>
    <row r="1289">
      <c r="A1289" s="8" t="inlineStr">
        <is>
          <t>PUT</t>
        </is>
      </c>
      <c r="B1289" s="8" t="inlineStr">
        <is>
          <t>/api/v1/timetable-optimizer/load-rules</t>
        </is>
      </c>
      <c r="C1289" s="8" t="inlineStr">
        <is>
          <t>WRITE</t>
        </is>
      </c>
      <c r="D1289" s="8" t="inlineStr">
        <is>
          <t>worker/src/routes/scheduling/optimizer.ts</t>
        </is>
      </c>
      <c r="E1289" s="8" t="n">
        <v>501</v>
      </c>
      <c r="F1289" s="8" t="inlineStr">
        <is>
          <t>Yes</t>
        </is>
      </c>
      <c r="G1289" s="8" t="n">
        <v>19</v>
      </c>
    </row>
    <row r="1290">
      <c r="A1290" s="8" t="inlineStr">
        <is>
          <t>POST</t>
        </is>
      </c>
      <c r="B1290" s="8" t="inlineStr">
        <is>
          <t>/api/v1/timetable-optimizer/unavailability</t>
        </is>
      </c>
      <c r="C1290" s="8" t="inlineStr">
        <is>
          <t>WRITE</t>
        </is>
      </c>
      <c r="D1290" s="8" t="inlineStr">
        <is>
          <t>worker/src/routes/scheduling/optimizer.ts</t>
        </is>
      </c>
      <c r="E1290" s="8" t="n">
        <v>502</v>
      </c>
      <c r="F1290" s="8" t="inlineStr">
        <is>
          <t>Yes</t>
        </is>
      </c>
      <c r="G1290" s="8" t="n">
        <v>19</v>
      </c>
    </row>
    <row r="1291">
      <c r="A1291" s="8" t="inlineStr">
        <is>
          <t>DELETE</t>
        </is>
      </c>
      <c r="B1291" s="8" t="inlineStr">
        <is>
          <t>/api/v1/timetable-optimizer/unavailability/{id}</t>
        </is>
      </c>
      <c r="C1291" s="8" t="inlineStr">
        <is>
          <t>WRITE</t>
        </is>
      </c>
      <c r="D1291" s="8" t="inlineStr">
        <is>
          <t>worker/src/routes/scheduling/optimizer.ts</t>
        </is>
      </c>
      <c r="E1291" s="8" t="n">
        <v>503</v>
      </c>
      <c r="F1291" s="8" t="inlineStr">
        <is>
          <t>Yes</t>
        </is>
      </c>
      <c r="G1291" s="8" t="n">
        <v>19</v>
      </c>
    </row>
    <row r="1292">
      <c r="A1292" s="8" t="inlineStr">
        <is>
          <t>GET</t>
        </is>
      </c>
      <c r="B1292" s="8" t="inlineStr">
        <is>
          <t>/api/v1/timetable-optimizer/drafts/{id}</t>
        </is>
      </c>
      <c r="C1292" s="8" t="inlineStr">
        <is>
          <t>READ</t>
        </is>
      </c>
      <c r="D1292" s="8" t="inlineStr">
        <is>
          <t>worker/src/routes/scheduling/optimizer.ts</t>
        </is>
      </c>
      <c r="E1292" s="8" t="n">
        <v>504</v>
      </c>
      <c r="F1292" s="8" t="inlineStr">
        <is>
          <t>Yes</t>
        </is>
      </c>
      <c r="G1292" s="8" t="n">
        <v>19</v>
      </c>
    </row>
    <row r="1293">
      <c r="A1293" s="8" t="inlineStr">
        <is>
          <t>POST</t>
        </is>
      </c>
      <c r="B1293" s="8" t="inlineStr">
        <is>
          <t>/api/v1/timetable-optimizer/drafts/{id}/publish</t>
        </is>
      </c>
      <c r="C1293" s="8" t="inlineStr">
        <is>
          <t>WRITE</t>
        </is>
      </c>
      <c r="D1293" s="8" t="inlineStr">
        <is>
          <t>worker/src/routes/scheduling/optimizer.ts</t>
        </is>
      </c>
      <c r="E1293" s="8" t="n">
        <v>505</v>
      </c>
      <c r="F1293" s="8" t="inlineStr">
        <is>
          <t>Yes</t>
        </is>
      </c>
      <c r="G1293" s="8" t="n">
        <v>19</v>
      </c>
    </row>
    <row r="1294">
      <c r="A1294" s="8" t="inlineStr">
        <is>
          <t>POST</t>
        </is>
      </c>
      <c r="B1294" s="8" t="inlineStr">
        <is>
          <t>/api/v1/timetable-optimizer/drafts/{id}/discard</t>
        </is>
      </c>
      <c r="C1294" s="8" t="inlineStr">
        <is>
          <t>WRITE</t>
        </is>
      </c>
      <c r="D1294" s="8" t="inlineStr">
        <is>
          <t>worker/src/routes/scheduling/optimizer.ts</t>
        </is>
      </c>
      <c r="E1294" s="8" t="n">
        <v>506</v>
      </c>
      <c r="F1294" s="8" t="inlineStr">
        <is>
          <t>Yes</t>
        </is>
      </c>
      <c r="G1294" s="8" t="n">
        <v>19</v>
      </c>
    </row>
    <row r="1295">
      <c r="A1295" s="8" t="inlineStr">
        <is>
          <t>GET</t>
        </is>
      </c>
      <c r="B1295" s="8" t="inlineStr">
        <is>
          <t>/api/v1/department-timetable</t>
        </is>
      </c>
      <c r="C1295" s="8" t="inlineStr">
        <is>
          <t>READ</t>
        </is>
      </c>
      <c r="D1295" s="8" t="inlineStr">
        <is>
          <t>worker/src/routes/scheduling/optimizer.ts</t>
        </is>
      </c>
      <c r="E1295" s="8" t="n">
        <v>507</v>
      </c>
      <c r="F1295" s="8" t="inlineStr">
        <is>
          <t>No</t>
        </is>
      </c>
      <c r="G1295" s="8" t="n">
        <v>19</v>
      </c>
    </row>
    <row r="1296">
      <c r="A1296" s="8" t="inlineStr">
        <is>
          <t>POST</t>
        </is>
      </c>
      <c r="B1296" s="8" t="inlineStr">
        <is>
          <t>/api/v1/platform-notices/{id}/seen</t>
        </is>
      </c>
      <c r="C1296" s="8" t="inlineStr">
        <is>
          <t>auth</t>
        </is>
      </c>
      <c r="D1296" s="8" t="inlineStr">
        <is>
          <t>worker/src/routes/seller/announcements.ts</t>
        </is>
      </c>
      <c r="E1296" s="8" t="n">
        <v>141</v>
      </c>
      <c r="F1296" s="8" t="inlineStr">
        <is>
          <t>Yes</t>
        </is>
      </c>
      <c r="G1296" s="8" t="n">
        <v>6</v>
      </c>
    </row>
    <row r="1297">
      <c r="A1297" s="8" t="inlineStr">
        <is>
          <t>POST</t>
        </is>
      </c>
      <c r="B1297" s="8" t="inlineStr">
        <is>
          <t>/api/v1/platform-notices/{id}/dismiss</t>
        </is>
      </c>
      <c r="C1297" s="8" t="inlineStr">
        <is>
          <t>auth</t>
        </is>
      </c>
      <c r="D1297" s="8" t="inlineStr">
        <is>
          <t>worker/src/routes/seller/announcements.ts</t>
        </is>
      </c>
      <c r="E1297" s="8" t="n">
        <v>142</v>
      </c>
      <c r="F1297" s="8" t="inlineStr">
        <is>
          <t>Yes</t>
        </is>
      </c>
      <c r="G1297" s="8" t="n">
        <v>6</v>
      </c>
    </row>
    <row r="1298">
      <c r="A1298" s="8" t="inlineStr">
        <is>
          <t>GET</t>
        </is>
      </c>
      <c r="B1298" s="8" t="inlineStr">
        <is>
          <t>/api/v1/seller/announcements</t>
        </is>
      </c>
      <c r="C1298" s="8" t="inlineStr">
        <is>
          <t>PERM</t>
        </is>
      </c>
      <c r="D1298" s="8" t="inlineStr">
        <is>
          <t>worker/src/routes/seller/announcements.ts</t>
        </is>
      </c>
      <c r="E1298" s="8" t="n">
        <v>144</v>
      </c>
      <c r="F1298" s="8" t="inlineStr">
        <is>
          <t>Yes</t>
        </is>
      </c>
      <c r="G1298" s="8" t="n">
        <v>6</v>
      </c>
    </row>
    <row r="1299">
      <c r="A1299" s="8" t="inlineStr">
        <is>
          <t>POST</t>
        </is>
      </c>
      <c r="B1299" s="8" t="inlineStr">
        <is>
          <t>/api/v1/seller/announcements</t>
        </is>
      </c>
      <c r="C1299" s="8" t="inlineStr">
        <is>
          <t>PERM</t>
        </is>
      </c>
      <c r="D1299" s="8" t="inlineStr">
        <is>
          <t>worker/src/routes/seller/announcements.ts</t>
        </is>
      </c>
      <c r="E1299" s="8" t="n">
        <v>167</v>
      </c>
      <c r="F1299" s="8" t="inlineStr">
        <is>
          <t>Yes</t>
        </is>
      </c>
      <c r="G1299" s="8" t="n">
        <v>6</v>
      </c>
    </row>
    <row r="1300">
      <c r="A1300" s="8" t="inlineStr">
        <is>
          <t>PUT</t>
        </is>
      </c>
      <c r="B1300" s="8" t="inlineStr">
        <is>
          <t>/api/v1/seller/announcements/{id}</t>
        </is>
      </c>
      <c r="C1300" s="8" t="inlineStr">
        <is>
          <t>PERM</t>
        </is>
      </c>
      <c r="D1300" s="8" t="inlineStr">
        <is>
          <t>worker/src/routes/seller/announcements.ts</t>
        </is>
      </c>
      <c r="E1300" s="8" t="n">
        <v>180</v>
      </c>
      <c r="F1300" s="8" t="inlineStr">
        <is>
          <t>Yes</t>
        </is>
      </c>
      <c r="G1300" s="8" t="n">
        <v>6</v>
      </c>
    </row>
    <row r="1301">
      <c r="A1301" s="8" t="inlineStr">
        <is>
          <t>POST</t>
        </is>
      </c>
      <c r="B1301" s="8" t="inlineStr">
        <is>
          <t>/api/v1/seller/announcements/{id}/retire</t>
        </is>
      </c>
      <c r="C1301" s="8" t="inlineStr">
        <is>
          <t>PERM</t>
        </is>
      </c>
      <c r="D1301" s="8" t="inlineStr">
        <is>
          <t>worker/src/routes/seller/announcements.ts</t>
        </is>
      </c>
      <c r="E1301" s="8" t="n">
        <v>199</v>
      </c>
      <c r="F1301" s="8" t="inlineStr">
        <is>
          <t>Yes</t>
        </is>
      </c>
      <c r="G1301" s="8" t="n">
        <v>6</v>
      </c>
    </row>
    <row r="1302">
      <c r="A1302" s="8" t="inlineStr">
        <is>
          <t>GET</t>
        </is>
      </c>
      <c r="B1302" s="8" t="inlineStr">
        <is>
          <t>/api/v1/seller/announcements/{id}/reads</t>
        </is>
      </c>
      <c r="C1302" s="8" t="inlineStr">
        <is>
          <t>PERM</t>
        </is>
      </c>
      <c r="D1302" s="8" t="inlineStr">
        <is>
          <t>worker/src/routes/seller/announcements.ts</t>
        </is>
      </c>
      <c r="E1302" s="8" t="n">
        <v>208</v>
      </c>
      <c r="F1302" s="8" t="inlineStr">
        <is>
          <t>Yes</t>
        </is>
      </c>
      <c r="G1302" s="8" t="n">
        <v>6</v>
      </c>
    </row>
    <row r="1303">
      <c r="A1303" s="8" t="inlineStr">
        <is>
          <t>GET</t>
        </is>
      </c>
      <c r="B1303" s="8" t="inlineStr">
        <is>
          <t>/api/v1/seller/billing/settings</t>
        </is>
      </c>
      <c r="C1303" s="8" t="inlineStr">
        <is>
          <t>PERM</t>
        </is>
      </c>
      <c r="D1303" s="8" t="inlineStr">
        <is>
          <t>worker/src/routes/seller/billing.ts</t>
        </is>
      </c>
      <c r="E1303" s="8" t="n">
        <v>429</v>
      </c>
      <c r="F1303" s="8" t="inlineStr">
        <is>
          <t>Yes</t>
        </is>
      </c>
      <c r="G1303" s="8" t="n">
        <v>12</v>
      </c>
    </row>
    <row r="1304">
      <c r="A1304" s="8" t="inlineStr">
        <is>
          <t>PUT</t>
        </is>
      </c>
      <c r="B1304" s="8" t="inlineStr">
        <is>
          <t>/api/v1/seller/billing/settings</t>
        </is>
      </c>
      <c r="C1304" s="8" t="inlineStr">
        <is>
          <t>PERM</t>
        </is>
      </c>
      <c r="D1304" s="8" t="inlineStr">
        <is>
          <t>worker/src/routes/seller/billing.ts</t>
        </is>
      </c>
      <c r="E1304" s="8" t="n">
        <v>434</v>
      </c>
      <c r="F1304" s="8" t="inlineStr">
        <is>
          <t>Yes</t>
        </is>
      </c>
      <c r="G1304" s="8" t="n">
        <v>12</v>
      </c>
    </row>
    <row r="1305">
      <c r="A1305" s="8" t="inlineStr">
        <is>
          <t>GET</t>
        </is>
      </c>
      <c r="B1305" s="8" t="inlineStr">
        <is>
          <t>/api/v1/seller/billing/schools</t>
        </is>
      </c>
      <c r="C1305" s="8" t="inlineStr">
        <is>
          <t>PERM</t>
        </is>
      </c>
      <c r="D1305" s="8" t="inlineStr">
        <is>
          <t>worker/src/routes/seller/billing.ts</t>
        </is>
      </c>
      <c r="E1305" s="8" t="n">
        <v>469</v>
      </c>
      <c r="F1305" s="8" t="inlineStr">
        <is>
          <t>Yes</t>
        </is>
      </c>
      <c r="G1305" s="8" t="n">
        <v>12</v>
      </c>
    </row>
    <row r="1306">
      <c r="A1306" s="8" t="inlineStr">
        <is>
          <t>GET</t>
        </is>
      </c>
      <c r="B1306" s="8" t="inlineStr">
        <is>
          <t>/api/v1/seller/billing/invoices</t>
        </is>
      </c>
      <c r="C1306" s="8" t="inlineStr">
        <is>
          <t>PERM</t>
        </is>
      </c>
      <c r="D1306" s="8" t="inlineStr">
        <is>
          <t>worker/src/routes/seller/billing.ts</t>
        </is>
      </c>
      <c r="E1306" s="8" t="n">
        <v>489</v>
      </c>
      <c r="F1306" s="8" t="inlineStr">
        <is>
          <t>Yes</t>
        </is>
      </c>
      <c r="G1306" s="8" t="n">
        <v>12</v>
      </c>
    </row>
    <row r="1307">
      <c r="A1307" s="8" t="inlineStr">
        <is>
          <t>POST</t>
        </is>
      </c>
      <c r="B1307" s="8" t="inlineStr">
        <is>
          <t>/api/v1/seller/billing/invoices</t>
        </is>
      </c>
      <c r="C1307" s="8" t="inlineStr">
        <is>
          <t>PERM</t>
        </is>
      </c>
      <c r="D1307" s="8" t="inlineStr">
        <is>
          <t>worker/src/routes/seller/billing.ts</t>
        </is>
      </c>
      <c r="E1307" s="8" t="n">
        <v>500</v>
      </c>
      <c r="F1307" s="8" t="inlineStr">
        <is>
          <t>Yes</t>
        </is>
      </c>
      <c r="G1307" s="8" t="n">
        <v>12</v>
      </c>
    </row>
    <row r="1308">
      <c r="A1308" s="8" t="inlineStr">
        <is>
          <t>GET</t>
        </is>
      </c>
      <c r="B1308" s="8" t="inlineStr">
        <is>
          <t>/api/v1/seller/billing/invoices/{id}</t>
        </is>
      </c>
      <c r="C1308" s="8" t="inlineStr">
        <is>
          <t>PERM</t>
        </is>
      </c>
      <c r="D1308" s="8" t="inlineStr">
        <is>
          <t>worker/src/routes/seller/billing.ts</t>
        </is>
      </c>
      <c r="E1308" s="8" t="n">
        <v>506</v>
      </c>
      <c r="F1308" s="8" t="inlineStr">
        <is>
          <t>No</t>
        </is>
      </c>
      <c r="G1308" s="8" t="n">
        <v>12</v>
      </c>
    </row>
    <row r="1309">
      <c r="A1309" s="8" t="inlineStr">
        <is>
          <t>GET</t>
        </is>
      </c>
      <c r="B1309" s="8" t="inlineStr">
        <is>
          <t>/api/v1/seller/billing/invoices/{id}/pdf</t>
        </is>
      </c>
      <c r="C1309" s="8" t="inlineStr">
        <is>
          <t>PERM</t>
        </is>
      </c>
      <c r="D1309" s="8" t="inlineStr">
        <is>
          <t>worker/src/routes/seller/billing.ts</t>
        </is>
      </c>
      <c r="E1309" s="8" t="n">
        <v>512</v>
      </c>
      <c r="F1309" s="8" t="inlineStr">
        <is>
          <t>Yes</t>
        </is>
      </c>
      <c r="G1309" s="8" t="n">
        <v>12</v>
      </c>
    </row>
    <row r="1310">
      <c r="A1310" s="8" t="inlineStr">
        <is>
          <t>POST</t>
        </is>
      </c>
      <c r="B1310" s="8" t="inlineStr">
        <is>
          <t>/api/v1/seller/billing/invoices/{id}/payments</t>
        </is>
      </c>
      <c r="C1310" s="8" t="inlineStr">
        <is>
          <t>PERM</t>
        </is>
      </c>
      <c r="D1310" s="8" t="inlineStr">
        <is>
          <t>worker/src/routes/seller/billing.ts</t>
        </is>
      </c>
      <c r="E1310" s="8" t="n">
        <v>518</v>
      </c>
      <c r="F1310" s="8" t="inlineStr">
        <is>
          <t>Yes</t>
        </is>
      </c>
      <c r="G1310" s="8" t="n">
        <v>12</v>
      </c>
    </row>
    <row r="1311">
      <c r="A1311" s="8" t="inlineStr">
        <is>
          <t>POST</t>
        </is>
      </c>
      <c r="B1311" s="8" t="inlineStr">
        <is>
          <t>/api/v1/seller/billing/invoices/{id}/void</t>
        </is>
      </c>
      <c r="C1311" s="8" t="inlineStr">
        <is>
          <t>PERM</t>
        </is>
      </c>
      <c r="D1311" s="8" t="inlineStr">
        <is>
          <t>worker/src/routes/seller/billing.ts</t>
        </is>
      </c>
      <c r="E1311" s="8" t="n">
        <v>529</v>
      </c>
      <c r="F1311" s="8" t="inlineStr">
        <is>
          <t>Yes</t>
        </is>
      </c>
      <c r="G1311" s="8" t="n">
        <v>12</v>
      </c>
    </row>
    <row r="1312">
      <c r="A1312" s="8" t="inlineStr">
        <is>
          <t>POST</t>
        </is>
      </c>
      <c r="B1312" s="8" t="inlineStr">
        <is>
          <t>/api/v1/seller/billing/invoices/{id}/send</t>
        </is>
      </c>
      <c r="C1312" s="8" t="inlineStr">
        <is>
          <t>PERM</t>
        </is>
      </c>
      <c r="D1312" s="8" t="inlineStr">
        <is>
          <t>worker/src/routes/seller/billing.ts</t>
        </is>
      </c>
      <c r="E1312" s="8" t="n">
        <v>540</v>
      </c>
      <c r="F1312" s="8" t="inlineStr">
        <is>
          <t>No</t>
        </is>
      </c>
      <c r="G1312" s="8" t="n">
        <v>12</v>
      </c>
    </row>
    <row r="1313">
      <c r="A1313" s="8" t="inlineStr">
        <is>
          <t>GET</t>
        </is>
      </c>
      <c r="B1313" s="8" t="inlineStr">
        <is>
          <t>/api/v1/seller/billing/status-log</t>
        </is>
      </c>
      <c r="C1313" s="8" t="inlineStr">
        <is>
          <t>PERM</t>
        </is>
      </c>
      <c r="D1313" s="8" t="inlineStr">
        <is>
          <t>worker/src/routes/seller/billing.ts</t>
        </is>
      </c>
      <c r="E1313" s="8" t="n">
        <v>551</v>
      </c>
      <c r="F1313" s="8" t="inlineStr">
        <is>
          <t>No</t>
        </is>
      </c>
      <c r="G1313" s="8" t="n">
        <v>12</v>
      </c>
    </row>
    <row r="1314">
      <c r="A1314" s="8" t="inlineStr">
        <is>
          <t>POST</t>
        </is>
      </c>
      <c r="B1314" s="8" t="inlineStr">
        <is>
          <t>/api/v1/seller/billing/run</t>
        </is>
      </c>
      <c r="C1314" s="8" t="inlineStr">
        <is>
          <t>PERM</t>
        </is>
      </c>
      <c r="D1314" s="8" t="inlineStr">
        <is>
          <t>worker/src/routes/seller/billing.ts</t>
        </is>
      </c>
      <c r="E1314" s="8" t="n">
        <v>558</v>
      </c>
      <c r="F1314" s="8" t="inlineStr">
        <is>
          <t>Yes</t>
        </is>
      </c>
      <c r="G1314" s="8" t="n">
        <v>12</v>
      </c>
    </row>
    <row r="1315">
      <c r="A1315" s="8" t="inlineStr">
        <is>
          <t>GET</t>
        </is>
      </c>
      <c r="B1315" s="8" t="inlineStr">
        <is>
          <t>/api/v1/school-billing</t>
        </is>
      </c>
      <c r="C1315" s="8" t="inlineStr">
        <is>
          <t>auth</t>
        </is>
      </c>
      <c r="D1315" s="8" t="inlineStr">
        <is>
          <t>worker/src/routes/seller/billing.ts</t>
        </is>
      </c>
      <c r="E1315" s="8" t="n">
        <v>566</v>
      </c>
      <c r="F1315" s="8" t="inlineStr">
        <is>
          <t>Yes</t>
        </is>
      </c>
      <c r="G1315" s="8" t="n">
        <v>12</v>
      </c>
    </row>
    <row r="1316">
      <c r="A1316" s="8" t="inlineStr">
        <is>
          <t>GET</t>
        </is>
      </c>
      <c r="B1316" s="8" t="inlineStr">
        <is>
          <t>/api/v1/school-billing/invoices/{id}/pdf</t>
        </is>
      </c>
      <c r="C1316" s="8" t="inlineStr">
        <is>
          <t>auth</t>
        </is>
      </c>
      <c r="D1316" s="8" t="inlineStr">
        <is>
          <t>worker/src/routes/seller/billing.ts</t>
        </is>
      </c>
      <c r="E1316" s="8" t="n">
        <v>581</v>
      </c>
      <c r="F1316" s="8" t="inlineStr">
        <is>
          <t>Yes</t>
        </is>
      </c>
      <c r="G1316" s="8" t="n">
        <v>12</v>
      </c>
    </row>
    <row r="1317">
      <c r="A1317" s="8" t="inlineStr">
        <is>
          <t>POST</t>
        </is>
      </c>
      <c r="B1317" s="8" t="inlineStr">
        <is>
          <t>/api/v1/school-billing/invoices/{id}/checkout</t>
        </is>
      </c>
      <c r="C1317" s="8" t="inlineStr">
        <is>
          <t>auth</t>
        </is>
      </c>
      <c r="D1317" s="8" t="inlineStr">
        <is>
          <t>worker/src/routes/seller/billing.ts</t>
        </is>
      </c>
      <c r="E1317" s="8" t="n">
        <v>589</v>
      </c>
      <c r="F1317" s="8" t="inlineStr">
        <is>
          <t>Yes</t>
        </is>
      </c>
      <c r="G1317" s="8" t="n">
        <v>12</v>
      </c>
    </row>
    <row r="1318">
      <c r="A1318" s="8" t="inlineStr">
        <is>
          <t>POST</t>
        </is>
      </c>
      <c r="B1318" s="8" t="inlineStr">
        <is>
          <t>/api/v1/school-billing/checkout/{order}/callback</t>
        </is>
      </c>
      <c r="C1318" s="8" t="inlineStr">
        <is>
          <t>auth</t>
        </is>
      </c>
      <c r="D1318" s="8" t="inlineStr">
        <is>
          <t>worker/src/routes/seller/billing.ts</t>
        </is>
      </c>
      <c r="E1318" s="8" t="n">
        <v>604</v>
      </c>
      <c r="F1318" s="8" t="inlineStr">
        <is>
          <t>Yes</t>
        </is>
      </c>
      <c r="G1318" s="8" t="n">
        <v>12</v>
      </c>
    </row>
    <row r="1319">
      <c r="A1319" s="8" t="inlineStr">
        <is>
          <t>GET</t>
        </is>
      </c>
      <c r="B1319" s="8" t="inlineStr">
        <is>
          <t>/api/v1/seller/features</t>
        </is>
      </c>
      <c r="C1319" s="8" t="inlineStr">
        <is>
          <t>PERM</t>
        </is>
      </c>
      <c r="D1319" s="8" t="inlineStr">
        <is>
          <t>worker/src/routes/seller/features.ts</t>
        </is>
      </c>
      <c r="E1319" s="8" t="n">
        <v>219</v>
      </c>
      <c r="F1319" s="8" t="inlineStr">
        <is>
          <t>Yes</t>
        </is>
      </c>
      <c r="G1319" s="8" t="n">
        <v>3</v>
      </c>
    </row>
    <row r="1320">
      <c r="A1320" s="8" t="inlineStr">
        <is>
          <t>GET</t>
        </is>
      </c>
      <c r="B1320" s="8" t="inlineStr">
        <is>
          <t>/api/v1/seller/features/schools/{id}</t>
        </is>
      </c>
      <c r="C1320" s="8" t="inlineStr">
        <is>
          <t>PERM</t>
        </is>
      </c>
      <c r="D1320" s="8" t="inlineStr">
        <is>
          <t>worker/src/routes/seller/features.ts</t>
        </is>
      </c>
      <c r="E1320" s="8" t="n">
        <v>234</v>
      </c>
      <c r="F1320" s="8" t="inlineStr">
        <is>
          <t>Yes</t>
        </is>
      </c>
      <c r="G1320" s="8" t="n">
        <v>3</v>
      </c>
    </row>
    <row r="1321">
      <c r="A1321" s="8" t="inlineStr">
        <is>
          <t>PUT</t>
        </is>
      </c>
      <c r="B1321" s="8" t="inlineStr">
        <is>
          <t>/api/v1/seller/features/schools/{id}</t>
        </is>
      </c>
      <c r="C1321" s="8" t="inlineStr">
        <is>
          <t>PERM</t>
        </is>
      </c>
      <c r="D1321" s="8" t="inlineStr">
        <is>
          <t>worker/src/routes/seller/features.ts</t>
        </is>
      </c>
      <c r="E1321" s="8" t="n">
        <v>254</v>
      </c>
      <c r="F1321" s="8" t="inlineStr">
        <is>
          <t>Yes</t>
        </is>
      </c>
      <c r="G1321" s="8" t="n">
        <v>3</v>
      </c>
    </row>
    <row r="1322">
      <c r="A1322" s="8" t="inlineStr">
        <is>
          <t>DELETE</t>
        </is>
      </c>
      <c r="B1322" s="8" t="inlineStr">
        <is>
          <t>/api/v1/seller/features/schools/{id}</t>
        </is>
      </c>
      <c r="C1322" s="8" t="inlineStr">
        <is>
          <t>PERM</t>
        </is>
      </c>
      <c r="D1322" s="8" t="inlineStr">
        <is>
          <t>worker/src/routes/seller/features.ts</t>
        </is>
      </c>
      <c r="E1322" s="8" t="n">
        <v>269</v>
      </c>
      <c r="F1322" s="8" t="inlineStr">
        <is>
          <t>Yes</t>
        </is>
      </c>
      <c r="G1322" s="8" t="n">
        <v>3</v>
      </c>
    </row>
    <row r="1323">
      <c r="A1323" s="8" t="inlineStr">
        <is>
          <t>POST</t>
        </is>
      </c>
      <c r="B1323" s="8" t="inlineStr">
        <is>
          <t>/api/v1/seller/features/rollout</t>
        </is>
      </c>
      <c r="C1323" s="8" t="inlineStr">
        <is>
          <t>PERM</t>
        </is>
      </c>
      <c r="D1323" s="8" t="inlineStr">
        <is>
          <t>worker/src/routes/seller/features.ts</t>
        </is>
      </c>
      <c r="E1323" s="8" t="n">
        <v>279</v>
      </c>
      <c r="F1323" s="8" t="inlineStr">
        <is>
          <t>Yes</t>
        </is>
      </c>
      <c r="G1323" s="8" t="n">
        <v>3</v>
      </c>
    </row>
    <row r="1324">
      <c r="A1324" s="8" t="inlineStr">
        <is>
          <t>GET</t>
        </is>
      </c>
      <c r="B1324" s="8" t="inlineStr">
        <is>
          <t>/api/v1/seller/school-groups</t>
        </is>
      </c>
      <c r="C1324" s="8" t="inlineStr">
        <is>
          <t>PERM</t>
        </is>
      </c>
      <c r="D1324" s="8" t="inlineStr">
        <is>
          <t>worker/src/routes/seller/groups.ts</t>
        </is>
      </c>
      <c r="E1324" s="8" t="n">
        <v>148</v>
      </c>
      <c r="F1324" s="8" t="inlineStr">
        <is>
          <t>Yes</t>
        </is>
      </c>
      <c r="G1324" s="8" t="n">
        <v>14</v>
      </c>
    </row>
    <row r="1325">
      <c r="A1325" s="8" t="inlineStr">
        <is>
          <t>POST</t>
        </is>
      </c>
      <c r="B1325" s="8" t="inlineStr">
        <is>
          <t>/api/v1/seller/school-groups</t>
        </is>
      </c>
      <c r="C1325" s="8" t="inlineStr">
        <is>
          <t>PERM</t>
        </is>
      </c>
      <c r="D1325" s="8" t="inlineStr">
        <is>
          <t>worker/src/routes/seller/groups.ts</t>
        </is>
      </c>
      <c r="E1325" s="8" t="n">
        <v>166</v>
      </c>
      <c r="F1325" s="8" t="inlineStr">
        <is>
          <t>Yes</t>
        </is>
      </c>
      <c r="G1325" s="8" t="n">
        <v>14</v>
      </c>
    </row>
    <row r="1326">
      <c r="A1326" s="8" t="inlineStr">
        <is>
          <t>PUT</t>
        </is>
      </c>
      <c r="B1326" s="8" t="inlineStr">
        <is>
          <t>/api/v1/seller/school-groups/{id}</t>
        </is>
      </c>
      <c r="C1326" s="8" t="inlineStr">
        <is>
          <t>PERM</t>
        </is>
      </c>
      <c r="D1326" s="8" t="inlineStr">
        <is>
          <t>worker/src/routes/seller/groups.ts</t>
        </is>
      </c>
      <c r="E1326" s="8" t="n">
        <v>188</v>
      </c>
      <c r="F1326" s="8" t="inlineStr">
        <is>
          <t>Yes</t>
        </is>
      </c>
      <c r="G1326" s="8" t="n">
        <v>14</v>
      </c>
    </row>
    <row r="1327">
      <c r="A1327" s="8" t="inlineStr">
        <is>
          <t>DELETE</t>
        </is>
      </c>
      <c r="B1327" s="8" t="inlineStr">
        <is>
          <t>/api/v1/seller/school-groups/{id}</t>
        </is>
      </c>
      <c r="C1327" s="8" t="inlineStr">
        <is>
          <t>PERM</t>
        </is>
      </c>
      <c r="D1327" s="8" t="inlineStr">
        <is>
          <t>worker/src/routes/seller/groups.ts</t>
        </is>
      </c>
      <c r="E1327" s="8" t="n">
        <v>203</v>
      </c>
      <c r="F1327" s="8" t="inlineStr">
        <is>
          <t>Yes</t>
        </is>
      </c>
      <c r="G1327" s="8" t="n">
        <v>14</v>
      </c>
    </row>
    <row r="1328">
      <c r="A1328" s="8" t="inlineStr">
        <is>
          <t>POST</t>
        </is>
      </c>
      <c r="B1328" s="8" t="inlineStr">
        <is>
          <t>/api/v1/seller/school-groups/{id}/schools</t>
        </is>
      </c>
      <c r="C1328" s="8" t="inlineStr">
        <is>
          <t>PERM</t>
        </is>
      </c>
      <c r="D1328" s="8" t="inlineStr">
        <is>
          <t>worker/src/routes/seller/groups.ts</t>
        </is>
      </c>
      <c r="E1328" s="8" t="n">
        <v>213</v>
      </c>
      <c r="F1328" s="8" t="inlineStr">
        <is>
          <t>No</t>
        </is>
      </c>
      <c r="G1328" s="8" t="n">
        <v>14</v>
      </c>
    </row>
    <row r="1329">
      <c r="A1329" s="8" t="inlineStr">
        <is>
          <t>DELETE</t>
        </is>
      </c>
      <c r="B1329" s="8" t="inlineStr">
        <is>
          <t>/api/v1/seller/school-groups/{id}/schools/{instID}</t>
        </is>
      </c>
      <c r="C1329" s="8" t="inlineStr">
        <is>
          <t>PERM</t>
        </is>
      </c>
      <c r="D1329" s="8" t="inlineStr">
        <is>
          <t>worker/src/routes/seller/groups.ts</t>
        </is>
      </c>
      <c r="E1329" s="8" t="n">
        <v>233</v>
      </c>
      <c r="F1329" s="8" t="inlineStr">
        <is>
          <t>No</t>
        </is>
      </c>
      <c r="G1329" s="8" t="n">
        <v>14</v>
      </c>
    </row>
    <row r="1330">
      <c r="A1330" s="8" t="inlineStr">
        <is>
          <t>POST</t>
        </is>
      </c>
      <c r="B1330" s="8" t="inlineStr">
        <is>
          <t>/api/v1/seller/school-groups/{id}/admins</t>
        </is>
      </c>
      <c r="C1330" s="8" t="inlineStr">
        <is>
          <t>PERM</t>
        </is>
      </c>
      <c r="D1330" s="8" t="inlineStr">
        <is>
          <t>worker/src/routes/seller/groups.ts</t>
        </is>
      </c>
      <c r="E1330" s="8" t="n">
        <v>246</v>
      </c>
      <c r="F1330" s="8" t="inlineStr">
        <is>
          <t>Yes</t>
        </is>
      </c>
      <c r="G1330" s="8" t="n">
        <v>14</v>
      </c>
    </row>
    <row r="1331">
      <c r="A1331" s="8" t="inlineStr">
        <is>
          <t>DELETE</t>
        </is>
      </c>
      <c r="B1331" s="8" t="inlineStr">
        <is>
          <t>/api/v1/seller/school-groups/{id}/admins/{userID}</t>
        </is>
      </c>
      <c r="C1331" s="8" t="inlineStr">
        <is>
          <t>PERM</t>
        </is>
      </c>
      <c r="D1331" s="8" t="inlineStr">
        <is>
          <t>worker/src/routes/seller/groups.ts</t>
        </is>
      </c>
      <c r="E1331" s="8" t="n">
        <v>265</v>
      </c>
      <c r="F1331" s="8" t="inlineStr">
        <is>
          <t>No</t>
        </is>
      </c>
      <c r="G1331" s="8" t="n">
        <v>14</v>
      </c>
    </row>
    <row r="1332">
      <c r="A1332" s="8" t="inlineStr">
        <is>
          <t>GET</t>
        </is>
      </c>
      <c r="B1332" s="8" t="inlineStr">
        <is>
          <t>/api/v1/me/groups</t>
        </is>
      </c>
      <c r="C1332" s="8" t="inlineStr">
        <is>
          <t>auth</t>
        </is>
      </c>
      <c r="D1332" s="8" t="inlineStr">
        <is>
          <t>worker/src/routes/seller/groups.ts</t>
        </is>
      </c>
      <c r="E1332" s="8" t="n">
        <v>277</v>
      </c>
      <c r="F1332" s="8" t="inlineStr">
        <is>
          <t>Yes</t>
        </is>
      </c>
      <c r="G1332" s="8" t="n">
        <v>14</v>
      </c>
    </row>
    <row r="1333">
      <c r="A1333" s="8" t="inlineStr">
        <is>
          <t>GET</t>
        </is>
      </c>
      <c r="B1333" s="8" t="inlineStr">
        <is>
          <t>/api/v1/groups/{id}/dashboard</t>
        </is>
      </c>
      <c r="C1333" s="8" t="inlineStr">
        <is>
          <t>auth</t>
        </is>
      </c>
      <c r="D1333" s="8" t="inlineStr">
        <is>
          <t>worker/src/routes/seller/groups.ts</t>
        </is>
      </c>
      <c r="E1333" s="8" t="n">
        <v>291</v>
      </c>
      <c r="F1333" s="8" t="inlineStr">
        <is>
          <t>Yes</t>
        </is>
      </c>
      <c r="G1333" s="8" t="n">
        <v>14</v>
      </c>
    </row>
    <row r="1334">
      <c r="A1334" s="8" t="inlineStr">
        <is>
          <t>GET</t>
        </is>
      </c>
      <c r="B1334" s="8" t="inlineStr">
        <is>
          <t>/api/v1/seller/health</t>
        </is>
      </c>
      <c r="C1334" s="8" t="inlineStr">
        <is>
          <t>PERM</t>
        </is>
      </c>
      <c r="D1334" s="8" t="inlineStr">
        <is>
          <t>worker/src/routes/seller/health.ts</t>
        </is>
      </c>
      <c r="E1334" s="8" t="n">
        <v>14</v>
      </c>
      <c r="F1334" s="8" t="inlineStr">
        <is>
          <t>Yes</t>
        </is>
      </c>
      <c r="G1334" s="8" t="n">
        <v>3</v>
      </c>
    </row>
    <row r="1335">
      <c r="A1335" s="8" t="inlineStr">
        <is>
          <t>POST</t>
        </is>
      </c>
      <c r="B1335" s="8" t="inlineStr">
        <is>
          <t>/api/v1/seller/health/refresh</t>
        </is>
      </c>
      <c r="C1335" s="8" t="inlineStr">
        <is>
          <t>PERM</t>
        </is>
      </c>
      <c r="D1335" s="8" t="inlineStr">
        <is>
          <t>worker/src/routes/seller/health.ts</t>
        </is>
      </c>
      <c r="E1335" s="8" t="n">
        <v>23</v>
      </c>
      <c r="F1335" s="8" t="inlineStr">
        <is>
          <t>Yes</t>
        </is>
      </c>
      <c r="G1335" s="8" t="n">
        <v>3</v>
      </c>
    </row>
    <row r="1336">
      <c r="A1336" s="8" t="inlineStr">
        <is>
          <t>POST</t>
        </is>
      </c>
      <c r="B1336" s="8" t="inlineStr">
        <is>
          <t>/api/v1/seller/health/usage-alerts/run</t>
        </is>
      </c>
      <c r="C1336" s="8" t="inlineStr">
        <is>
          <t>PERM</t>
        </is>
      </c>
      <c r="D1336" s="8" t="inlineStr">
        <is>
          <t>worker/src/routes/seller/health.ts</t>
        </is>
      </c>
      <c r="E1336" s="8" t="n">
        <v>29</v>
      </c>
      <c r="F1336" s="8" t="inlineStr">
        <is>
          <t>No</t>
        </is>
      </c>
      <c r="G1336" s="8" t="n">
        <v>3</v>
      </c>
    </row>
    <row r="1337">
      <c r="A1337" s="8" t="inlineStr">
        <is>
          <t>GET</t>
        </is>
      </c>
      <c r="B1337" s="8" t="inlineStr">
        <is>
          <t>/api/v1/seller/health/{id}</t>
        </is>
      </c>
      <c r="C1337" s="8" t="inlineStr">
        <is>
          <t>PERM</t>
        </is>
      </c>
      <c r="D1337" s="8" t="inlineStr">
        <is>
          <t>worker/src/routes/seller/health.ts</t>
        </is>
      </c>
      <c r="E1337" s="8" t="n">
        <v>36</v>
      </c>
      <c r="F1337" s="8" t="inlineStr">
        <is>
          <t>Yes</t>
        </is>
      </c>
      <c r="G1337" s="8" t="n">
        <v>3</v>
      </c>
    </row>
    <row r="1338">
      <c r="A1338" s="8" t="inlineStr">
        <is>
          <t>GET</t>
        </is>
      </c>
      <c r="B1338" s="8" t="inlineStr">
        <is>
          <t>/api/v1/usage-alerts</t>
        </is>
      </c>
      <c r="C1338" s="8" t="inlineStr">
        <is>
          <t>auth</t>
        </is>
      </c>
      <c r="D1338" s="8" t="inlineStr">
        <is>
          <t>worker/src/routes/seller/health.ts</t>
        </is>
      </c>
      <c r="E1338" s="8" t="n">
        <v>48</v>
      </c>
      <c r="F1338" s="8" t="inlineStr">
        <is>
          <t>Yes</t>
        </is>
      </c>
      <c r="G1338" s="8" t="n">
        <v>3</v>
      </c>
    </row>
    <row r="1339">
      <c r="A1339" s="8" t="inlineStr">
        <is>
          <t>GET</t>
        </is>
      </c>
      <c r="B1339" s="8" t="inlineStr">
        <is>
          <t>/api/v1/seller/backups/fleet</t>
        </is>
      </c>
      <c r="C1339" s="8" t="inlineStr">
        <is>
          <t>PERM</t>
        </is>
      </c>
      <c r="D1339" s="8" t="inlineStr">
        <is>
          <t>worker/src/routes/seller/lifecycle.ts</t>
        </is>
      </c>
      <c r="E1339" s="8" t="n">
        <v>170</v>
      </c>
      <c r="F1339" s="8" t="inlineStr">
        <is>
          <t>Yes</t>
        </is>
      </c>
      <c r="G1339" s="8" t="n">
        <v>8</v>
      </c>
    </row>
    <row r="1340">
      <c r="A1340" s="8" t="inlineStr">
        <is>
          <t>GET</t>
        </is>
      </c>
      <c r="B1340" s="8" t="inlineStr">
        <is>
          <t>/api/v1/seller/backups</t>
        </is>
      </c>
      <c r="C1340" s="8" t="inlineStr">
        <is>
          <t>PERM</t>
        </is>
      </c>
      <c r="D1340" s="8" t="inlineStr">
        <is>
          <t>worker/src/routes/seller/lifecycle.ts</t>
        </is>
      </c>
      <c r="E1340" s="8" t="n">
        <v>189</v>
      </c>
      <c r="F1340" s="8" t="inlineStr">
        <is>
          <t>Yes</t>
        </is>
      </c>
      <c r="G1340" s="8" t="n">
        <v>8</v>
      </c>
    </row>
    <row r="1341">
      <c r="A1341" s="8" t="inlineStr">
        <is>
          <t>POST</t>
        </is>
      </c>
      <c r="B1341" s="8" t="inlineStr">
        <is>
          <t>/api/v1/seller/backups/run</t>
        </is>
      </c>
      <c r="C1341" s="8" t="inlineStr">
        <is>
          <t>PERM</t>
        </is>
      </c>
      <c r="D1341" s="8" t="inlineStr">
        <is>
          <t>worker/src/routes/seller/lifecycle.ts</t>
        </is>
      </c>
      <c r="E1341" s="8" t="n">
        <v>200</v>
      </c>
      <c r="F1341" s="8" t="inlineStr">
        <is>
          <t>Yes</t>
        </is>
      </c>
      <c r="G1341" s="8" t="n">
        <v>8</v>
      </c>
    </row>
    <row r="1342">
      <c r="A1342" s="8" t="inlineStr">
        <is>
          <t>GET</t>
        </is>
      </c>
      <c r="B1342" s="8" t="inlineStr">
        <is>
          <t>/api/v1/seller/backups/{id}/download</t>
        </is>
      </c>
      <c r="C1342" s="8" t="inlineStr">
        <is>
          <t>PERM</t>
        </is>
      </c>
      <c r="D1342" s="8" t="inlineStr">
        <is>
          <t>worker/src/routes/seller/lifecycle.ts</t>
        </is>
      </c>
      <c r="E1342" s="8" t="n">
        <v>214</v>
      </c>
      <c r="F1342" s="8" t="inlineStr">
        <is>
          <t>No</t>
        </is>
      </c>
      <c r="G1342" s="8" t="n">
        <v>8</v>
      </c>
    </row>
    <row r="1343">
      <c r="A1343" s="8" t="inlineStr">
        <is>
          <t>GET</t>
        </is>
      </c>
      <c r="B1343" s="8" t="inlineStr">
        <is>
          <t>/api/v1/seller/tenants/{id}/restores</t>
        </is>
      </c>
      <c r="C1343" s="8" t="inlineStr">
        <is>
          <t>PERM</t>
        </is>
      </c>
      <c r="D1343" s="8" t="inlineStr">
        <is>
          <t>worker/src/routes/seller/lifecycle.ts</t>
        </is>
      </c>
      <c r="E1343" s="8" t="n">
        <v>228</v>
      </c>
      <c r="F1343" s="8" t="inlineStr">
        <is>
          <t>Yes</t>
        </is>
      </c>
      <c r="G1343" s="8" t="n">
        <v>8</v>
      </c>
    </row>
    <row r="1344">
      <c r="A1344" s="8" t="inlineStr">
        <is>
          <t>POST</t>
        </is>
      </c>
      <c r="B1344" s="8" t="inlineStr">
        <is>
          <t>/api/v1/seller/tenants/{id}/restore</t>
        </is>
      </c>
      <c r="C1344" s="8" t="inlineStr">
        <is>
          <t>PERM</t>
        </is>
      </c>
      <c r="D1344" s="8" t="inlineStr">
        <is>
          <t>worker/src/routes/seller/lifecycle.ts</t>
        </is>
      </c>
      <c r="E1344" s="8" t="n">
        <v>260</v>
      </c>
      <c r="F1344" s="8" t="inlineStr">
        <is>
          <t>Yes</t>
        </is>
      </c>
      <c r="G1344" s="8" t="n">
        <v>8</v>
      </c>
    </row>
    <row r="1345">
      <c r="A1345" s="8" t="inlineStr">
        <is>
          <t>POST</t>
        </is>
      </c>
      <c r="B1345" s="8" t="inlineStr">
        <is>
          <t>/api/v1/seller/restores/{id}/undo</t>
        </is>
      </c>
      <c r="C1345" s="8" t="inlineStr">
        <is>
          <t>PERM</t>
        </is>
      </c>
      <c r="D1345" s="8" t="inlineStr">
        <is>
          <t>worker/src/routes/seller/lifecycle.ts</t>
        </is>
      </c>
      <c r="E1345" s="8" t="n">
        <v>277</v>
      </c>
      <c r="F1345" s="8" t="inlineStr">
        <is>
          <t>Yes</t>
        </is>
      </c>
      <c r="G1345" s="8" t="n">
        <v>8</v>
      </c>
    </row>
    <row r="1346">
      <c r="A1346" s="8" t="inlineStr">
        <is>
          <t>GET</t>
        </is>
      </c>
      <c r="B1346" s="8" t="inlineStr">
        <is>
          <t>/api/v1/seller/tenants/{id}/exports</t>
        </is>
      </c>
      <c r="C1346" s="8" t="inlineStr">
        <is>
          <t>PERM</t>
        </is>
      </c>
      <c r="D1346" s="8" t="inlineStr">
        <is>
          <t>worker/src/routes/seller/lifecycle.ts</t>
        </is>
      </c>
      <c r="E1346" s="8" t="n">
        <v>289</v>
      </c>
      <c r="F1346" s="8" t="inlineStr">
        <is>
          <t>Yes</t>
        </is>
      </c>
      <c r="G1346" s="8" t="n">
        <v>8</v>
      </c>
    </row>
    <row r="1347">
      <c r="A1347" s="8" t="inlineStr">
        <is>
          <t>POST</t>
        </is>
      </c>
      <c r="B1347" s="8" t="inlineStr">
        <is>
          <t>/api/v1/seller/tenants/{id}/exports</t>
        </is>
      </c>
      <c r="C1347" s="8" t="inlineStr">
        <is>
          <t>PERM</t>
        </is>
      </c>
      <c r="D1347" s="8" t="inlineStr">
        <is>
          <t>worker/src/routes/seller/lifecycle.ts</t>
        </is>
      </c>
      <c r="E1347" s="8" t="n">
        <v>293</v>
      </c>
      <c r="F1347" s="8" t="inlineStr">
        <is>
          <t>Yes</t>
        </is>
      </c>
      <c r="G1347" s="8" t="n">
        <v>8</v>
      </c>
    </row>
    <row r="1348">
      <c r="A1348" s="8" t="inlineStr">
        <is>
          <t>GET</t>
        </is>
      </c>
      <c r="B1348" s="8" t="inlineStr">
        <is>
          <t>/api/v1/admin/data-export</t>
        </is>
      </c>
      <c r="C1348" s="8" t="inlineStr">
        <is>
          <t>SCHOOL_EXPORT_PERM</t>
        </is>
      </c>
      <c r="D1348" s="8" t="inlineStr">
        <is>
          <t>worker/src/routes/seller/lifecycle.ts</t>
        </is>
      </c>
      <c r="E1348" s="8" t="n">
        <v>301</v>
      </c>
      <c r="F1348" s="8" t="inlineStr">
        <is>
          <t>Yes</t>
        </is>
      </c>
      <c r="G1348" s="8" t="n">
        <v>8</v>
      </c>
    </row>
    <row r="1349">
      <c r="A1349" s="8" t="inlineStr">
        <is>
          <t>POST</t>
        </is>
      </c>
      <c r="B1349" s="8" t="inlineStr">
        <is>
          <t>/api/v1/admin/data-export</t>
        </is>
      </c>
      <c r="C1349" s="8" t="inlineStr">
        <is>
          <t>SCHOOL_EXPORT_PERM</t>
        </is>
      </c>
      <c r="D1349" s="8" t="inlineStr">
        <is>
          <t>worker/src/routes/seller/lifecycle.ts</t>
        </is>
      </c>
      <c r="E1349" s="8" t="n">
        <v>306</v>
      </c>
      <c r="F1349" s="8" t="inlineStr">
        <is>
          <t>Yes</t>
        </is>
      </c>
      <c r="G1349" s="8" t="n">
        <v>8</v>
      </c>
    </row>
    <row r="1350">
      <c r="A1350" s="8" t="inlineStr">
        <is>
          <t>GET</t>
        </is>
      </c>
      <c r="B1350" s="8" t="inlineStr">
        <is>
          <t>/api/v1/exports/{id}/download</t>
        </is>
      </c>
      <c r="C1350" s="8" t="inlineStr">
        <is>
          <t>auth</t>
        </is>
      </c>
      <c r="D1350" s="8" t="inlineStr">
        <is>
          <t>worker/src/routes/seller/lifecycle.ts</t>
        </is>
      </c>
      <c r="E1350" s="8" t="n">
        <v>312</v>
      </c>
      <c r="F1350" s="8" t="inlineStr">
        <is>
          <t>No</t>
        </is>
      </c>
      <c r="G1350" s="8" t="n">
        <v>8</v>
      </c>
    </row>
    <row r="1351">
      <c r="A1351" s="8" t="inlineStr">
        <is>
          <t>GET</t>
        </is>
      </c>
      <c r="B1351" s="8" t="inlineStr">
        <is>
          <t>/api/v1/seller/lifecycle</t>
        </is>
      </c>
      <c r="C1351" s="8" t="inlineStr">
        <is>
          <t>PERM</t>
        </is>
      </c>
      <c r="D1351" s="8" t="inlineStr">
        <is>
          <t>worker/src/routes/seller/lifecycle.ts</t>
        </is>
      </c>
      <c r="E1351" s="8" t="n">
        <v>331</v>
      </c>
      <c r="F1351" s="8" t="inlineStr">
        <is>
          <t>Yes</t>
        </is>
      </c>
      <c r="G1351" s="8" t="n">
        <v>8</v>
      </c>
    </row>
    <row r="1352">
      <c r="A1352" s="8" t="inlineStr">
        <is>
          <t>GET</t>
        </is>
      </c>
      <c r="B1352" s="8" t="inlineStr">
        <is>
          <t>/api/v1/seller/tenants/{id}/lifecycle</t>
        </is>
      </c>
      <c r="C1352" s="8" t="inlineStr">
        <is>
          <t>PERM</t>
        </is>
      </c>
      <c r="D1352" s="8" t="inlineStr">
        <is>
          <t>worker/src/routes/seller/lifecycle.ts</t>
        </is>
      </c>
      <c r="E1352" s="8" t="n">
        <v>340</v>
      </c>
      <c r="F1352" s="8" t="inlineStr">
        <is>
          <t>Yes</t>
        </is>
      </c>
      <c r="G1352" s="8" t="n">
        <v>8</v>
      </c>
    </row>
    <row r="1353">
      <c r="A1353" s="8" t="inlineStr">
        <is>
          <t>POST</t>
        </is>
      </c>
      <c r="B1353" s="8" t="inlineStr">
        <is>
          <t>/api/v1/seller/tenants/{id}/lifecycle/{step}</t>
        </is>
      </c>
      <c r="C1353" s="8" t="inlineStr">
        <is>
          <t>PERM</t>
        </is>
      </c>
      <c r="D1353" s="8" t="inlineStr">
        <is>
          <t>worker/src/routes/seller/lifecycle.ts</t>
        </is>
      </c>
      <c r="E1353" s="8" t="n">
        <v>348</v>
      </c>
      <c r="F1353" s="8" t="inlineStr">
        <is>
          <t>Yes</t>
        </is>
      </c>
      <c r="G1353" s="8" t="n">
        <v>8</v>
      </c>
    </row>
    <row r="1354">
      <c r="A1354" s="8" t="inlineStr">
        <is>
          <t>GET</t>
        </is>
      </c>
      <c r="B1354" s="8" t="inlineStr">
        <is>
          <t>/api/v1/school-status</t>
        </is>
      </c>
      <c r="C1354" s="8" t="inlineStr">
        <is>
          <t>auth</t>
        </is>
      </c>
      <c r="D1354" s="8" t="inlineStr">
        <is>
          <t>worker/src/routes/seller/lifecycle.ts</t>
        </is>
      </c>
      <c r="E1354" s="8" t="n">
        <v>433</v>
      </c>
      <c r="F1354" s="8" t="inlineStr">
        <is>
          <t>Yes</t>
        </is>
      </c>
      <c r="G1354" s="8" t="n">
        <v>8</v>
      </c>
    </row>
    <row r="1355">
      <c r="A1355" s="8" t="inlineStr">
        <is>
          <t>GET</t>
        </is>
      </c>
      <c r="B1355" s="8" t="inlineStr">
        <is>
          <t>/api/v1/seller/audit</t>
        </is>
      </c>
      <c r="C1355" s="8" t="inlineStr">
        <is>
          <t>PERM</t>
        </is>
      </c>
      <c r="D1355" s="8" t="inlineStr">
        <is>
          <t>worker/src/routes/seller/lifecycle.ts</t>
        </is>
      </c>
      <c r="E1355" s="8" t="n">
        <v>450</v>
      </c>
      <c r="F1355" s="8" t="inlineStr">
        <is>
          <t>Yes</t>
        </is>
      </c>
      <c r="G1355" s="8" t="n">
        <v>8</v>
      </c>
    </row>
    <row r="1356">
      <c r="A1356" s="8" t="inlineStr">
        <is>
          <t>GET</t>
        </is>
      </c>
      <c r="B1356" s="8" t="inlineStr">
        <is>
          <t>/api/v1/admin/security/seller-audit</t>
        </is>
      </c>
      <c r="C1356" s="8" t="inlineStr">
        <is>
          <t>SCHOOL_AUDIT_PERM</t>
        </is>
      </c>
      <c r="D1356" s="8" t="inlineStr">
        <is>
          <t>worker/src/routes/seller/lifecycle.ts</t>
        </is>
      </c>
      <c r="E1356" s="8" t="n">
        <v>455</v>
      </c>
      <c r="F1356" s="8" t="inlineStr">
        <is>
          <t>Yes</t>
        </is>
      </c>
      <c r="G1356" s="8" t="n">
        <v>8</v>
      </c>
    </row>
    <row r="1357">
      <c r="A1357" s="8" t="inlineStr">
        <is>
          <t>GET</t>
        </is>
      </c>
      <c r="B1357" s="8" t="inlineStr">
        <is>
          <t>/api/v1/seller/onboarding</t>
        </is>
      </c>
      <c r="C1357" s="8" t="inlineStr">
        <is>
          <t>PERM</t>
        </is>
      </c>
      <c r="D1357" s="8" t="inlineStr">
        <is>
          <t>worker/src/routes/seller/onboarding.ts</t>
        </is>
      </c>
      <c r="E1357" s="8" t="n">
        <v>151</v>
      </c>
      <c r="F1357" s="8" t="inlineStr">
        <is>
          <t>Yes</t>
        </is>
      </c>
      <c r="G1357" s="8" t="n">
        <v>13</v>
      </c>
    </row>
    <row r="1358">
      <c r="A1358" s="8" t="inlineStr">
        <is>
          <t>POST</t>
        </is>
      </c>
      <c r="B1358" s="8" t="inlineStr">
        <is>
          <t>/api/v1/seller/onboarding/scan</t>
        </is>
      </c>
      <c r="C1358" s="8" t="inlineStr">
        <is>
          <t>PERM</t>
        </is>
      </c>
      <c r="D1358" s="8" t="inlineStr">
        <is>
          <t>worker/src/routes/seller/onboarding.ts</t>
        </is>
      </c>
      <c r="E1358" s="8" t="n">
        <v>163</v>
      </c>
      <c r="F1358" s="8" t="inlineStr">
        <is>
          <t>Yes</t>
        </is>
      </c>
      <c r="G1358" s="8" t="n">
        <v>13</v>
      </c>
    </row>
    <row r="1359">
      <c r="A1359" s="8" t="inlineStr">
        <is>
          <t>POST</t>
        </is>
      </c>
      <c r="B1359" s="8" t="inlineStr">
        <is>
          <t>/api/v1/seller/onboarding/{id}/nudge</t>
        </is>
      </c>
      <c r="C1359" s="8" t="inlineStr">
        <is>
          <t>PERM</t>
        </is>
      </c>
      <c r="D1359" s="8" t="inlineStr">
        <is>
          <t>worker/src/routes/seller/onboarding.ts</t>
        </is>
      </c>
      <c r="E1359" s="8" t="n">
        <v>171</v>
      </c>
      <c r="F1359" s="8" t="inlineStr">
        <is>
          <t>Yes</t>
        </is>
      </c>
      <c r="G1359" s="8" t="n">
        <v>13</v>
      </c>
    </row>
    <row r="1360">
      <c r="A1360" s="8" t="inlineStr">
        <is>
          <t>GET</t>
        </is>
      </c>
      <c r="B1360" s="8" t="inlineStr">
        <is>
          <t>/api/v1/seller/recharges</t>
        </is>
      </c>
      <c r="C1360" s="8" t="inlineStr">
        <is>
          <t>PERM</t>
        </is>
      </c>
      <c r="D1360" s="8" t="inlineStr">
        <is>
          <t>worker/src/routes/seller/platform.ts</t>
        </is>
      </c>
      <c r="E1360" s="8" t="n">
        <v>92</v>
      </c>
      <c r="F1360" s="8" t="inlineStr">
        <is>
          <t>Yes</t>
        </is>
      </c>
      <c r="G1360" s="8" t="n">
        <v>19</v>
      </c>
    </row>
    <row r="1361">
      <c r="A1361" s="8" t="inlineStr">
        <is>
          <t>POST</t>
        </is>
      </c>
      <c r="B1361" s="8" t="inlineStr">
        <is>
          <t>/api/v1/seller/recharges/{id}</t>
        </is>
      </c>
      <c r="C1361" s="8" t="inlineStr">
        <is>
          <t>PERM</t>
        </is>
      </c>
      <c r="D1361" s="8" t="inlineStr">
        <is>
          <t>worker/src/routes/seller/platform.ts</t>
        </is>
      </c>
      <c r="E1361" s="8" t="n">
        <v>115</v>
      </c>
      <c r="F1361" s="8" t="inlineStr">
        <is>
          <t>Yes</t>
        </is>
      </c>
      <c r="G1361" s="8" t="n">
        <v>19</v>
      </c>
    </row>
    <row r="1362">
      <c r="A1362" s="8" t="inlineStr">
        <is>
          <t>GET</t>
        </is>
      </c>
      <c r="B1362" s="8" t="inlineStr">
        <is>
          <t>/api/v1/seller/enquiries</t>
        </is>
      </c>
      <c r="C1362" s="8" t="inlineStr">
        <is>
          <t>PERM</t>
        </is>
      </c>
      <c r="D1362" s="8" t="inlineStr">
        <is>
          <t>worker/src/routes/seller/platform.ts</t>
        </is>
      </c>
      <c r="E1362" s="8" t="n">
        <v>174</v>
      </c>
      <c r="F1362" s="8" t="inlineStr">
        <is>
          <t>Yes</t>
        </is>
      </c>
      <c r="G1362" s="8" t="n">
        <v>19</v>
      </c>
    </row>
    <row r="1363">
      <c r="A1363" s="8" t="inlineStr">
        <is>
          <t>GET</t>
        </is>
      </c>
      <c r="B1363" s="8" t="inlineStr">
        <is>
          <t>/api/v1/seller/enquiries/pipeline</t>
        </is>
      </c>
      <c r="C1363" s="8" t="inlineStr">
        <is>
          <t>PERM</t>
        </is>
      </c>
      <c r="D1363" s="8" t="inlineStr">
        <is>
          <t>worker/src/routes/seller/platform.ts</t>
        </is>
      </c>
      <c r="E1363" s="8" t="n">
        <v>205</v>
      </c>
      <c r="F1363" s="8" t="inlineStr">
        <is>
          <t>No</t>
        </is>
      </c>
      <c r="G1363" s="8" t="n">
        <v>19</v>
      </c>
    </row>
    <row r="1364">
      <c r="A1364" s="8" t="inlineStr">
        <is>
          <t>GET</t>
        </is>
      </c>
      <c r="B1364" s="8" t="inlineStr">
        <is>
          <t>/api/v1/seller/enquiries/{id}/notes</t>
        </is>
      </c>
      <c r="C1364" s="8" t="inlineStr">
        <is>
          <t>PERM</t>
        </is>
      </c>
      <c r="D1364" s="8" t="inlineStr">
        <is>
          <t>worker/src/routes/seller/platform.ts</t>
        </is>
      </c>
      <c r="E1364" s="8" t="n">
        <v>223</v>
      </c>
      <c r="F1364" s="8" t="inlineStr">
        <is>
          <t>No</t>
        </is>
      </c>
      <c r="G1364" s="8" t="n">
        <v>19</v>
      </c>
    </row>
    <row r="1365">
      <c r="A1365" s="8" t="inlineStr">
        <is>
          <t>PUT</t>
        </is>
      </c>
      <c r="B1365" s="8" t="inlineStr">
        <is>
          <t>/api/v1/seller/enquiries/{id}</t>
        </is>
      </c>
      <c r="C1365" s="8" t="inlineStr">
        <is>
          <t>PERM</t>
        </is>
      </c>
      <c r="D1365" s="8" t="inlineStr">
        <is>
          <t>worker/src/routes/seller/platform.ts</t>
        </is>
      </c>
      <c r="E1365" s="8" t="n">
        <v>237</v>
      </c>
      <c r="F1365" s="8" t="inlineStr">
        <is>
          <t>No</t>
        </is>
      </c>
      <c r="G1365" s="8" t="n">
        <v>19</v>
      </c>
    </row>
    <row r="1366">
      <c r="A1366" s="8" t="inlineStr">
        <is>
          <t>GET</t>
        </is>
      </c>
      <c r="B1366" s="8" t="inlineStr">
        <is>
          <t>/api/v1/seller/events</t>
        </is>
      </c>
      <c r="C1366" s="8" t="inlineStr">
        <is>
          <t>PERM</t>
        </is>
      </c>
      <c r="D1366" s="8" t="inlineStr">
        <is>
          <t>worker/src/routes/seller/platform.ts</t>
        </is>
      </c>
      <c r="E1366" s="8" t="n">
        <v>315</v>
      </c>
      <c r="F1366" s="8" t="inlineStr">
        <is>
          <t>Yes</t>
        </is>
      </c>
      <c r="G1366" s="8" t="n">
        <v>19</v>
      </c>
    </row>
    <row r="1367">
      <c r="A1367" s="8" t="inlineStr">
        <is>
          <t>GET</t>
        </is>
      </c>
      <c r="B1367" s="8" t="inlineStr">
        <is>
          <t>/api/v1/seller/usage</t>
        </is>
      </c>
      <c r="C1367" s="8" t="inlineStr">
        <is>
          <t>PERM</t>
        </is>
      </c>
      <c r="D1367" s="8" t="inlineStr">
        <is>
          <t>worker/src/routes/seller/platform.ts</t>
        </is>
      </c>
      <c r="E1367" s="8" t="n">
        <v>345</v>
      </c>
      <c r="F1367" s="8" t="inlineStr">
        <is>
          <t>Yes</t>
        </is>
      </c>
      <c r="G1367" s="8" t="n">
        <v>19</v>
      </c>
    </row>
    <row r="1368">
      <c r="A1368" s="8" t="inlineStr">
        <is>
          <t>PUT</t>
        </is>
      </c>
      <c r="B1368" s="8" t="inlineStr">
        <is>
          <t>/api/v1/seller/costs</t>
        </is>
      </c>
      <c r="C1368" s="8" t="inlineStr">
        <is>
          <t>PERM</t>
        </is>
      </c>
      <c r="D1368" s="8" t="inlineStr">
        <is>
          <t>worker/src/routes/seller/platform.ts</t>
        </is>
      </c>
      <c r="E1368" s="8" t="n">
        <v>423</v>
      </c>
      <c r="F1368" s="8" t="inlineStr">
        <is>
          <t>Yes</t>
        </is>
      </c>
      <c r="G1368" s="8" t="n">
        <v>19</v>
      </c>
    </row>
    <row r="1369">
      <c r="A1369" s="8" t="inlineStr">
        <is>
          <t>GET</t>
        </is>
      </c>
      <c r="B1369" s="8" t="inlineStr">
        <is>
          <t>/api/v1/seller/broadcasts</t>
        </is>
      </c>
      <c r="C1369" s="8" t="inlineStr">
        <is>
          <t>PERM</t>
        </is>
      </c>
      <c r="D1369" s="8" t="inlineStr">
        <is>
          <t>worker/src/routes/seller/platform.ts</t>
        </is>
      </c>
      <c r="E1369" s="8" t="n">
        <v>445</v>
      </c>
      <c r="F1369" s="8" t="inlineStr">
        <is>
          <t>Yes</t>
        </is>
      </c>
      <c r="G1369" s="8" t="n">
        <v>19</v>
      </c>
    </row>
    <row r="1370">
      <c r="A1370" s="8" t="inlineStr">
        <is>
          <t>POST</t>
        </is>
      </c>
      <c r="B1370" s="8" t="inlineStr">
        <is>
          <t>/api/v1/seller/broadcasts</t>
        </is>
      </c>
      <c r="C1370" s="8" t="inlineStr">
        <is>
          <t>PERM</t>
        </is>
      </c>
      <c r="D1370" s="8" t="inlineStr">
        <is>
          <t>worker/src/routes/seller/platform.ts</t>
        </is>
      </c>
      <c r="E1370" s="8" t="n">
        <v>467</v>
      </c>
      <c r="F1370" s="8" t="inlineStr">
        <is>
          <t>Yes</t>
        </is>
      </c>
      <c r="G1370" s="8" t="n">
        <v>19</v>
      </c>
    </row>
    <row r="1371">
      <c r="A1371" s="8" t="inlineStr">
        <is>
          <t>DELETE</t>
        </is>
      </c>
      <c r="B1371" s="8" t="inlineStr">
        <is>
          <t>/api/v1/seller/broadcasts/{id}</t>
        </is>
      </c>
      <c r="C1371" s="8" t="inlineStr">
        <is>
          <t>PERM</t>
        </is>
      </c>
      <c r="D1371" s="8" t="inlineStr">
        <is>
          <t>worker/src/routes/seller/platform.ts</t>
        </is>
      </c>
      <c r="E1371" s="8" t="n">
        <v>493</v>
      </c>
      <c r="F1371" s="8" t="inlineStr">
        <is>
          <t>Yes</t>
        </is>
      </c>
      <c r="G1371" s="8" t="n">
        <v>19</v>
      </c>
    </row>
    <row r="1372">
      <c r="A1372" s="8" t="inlineStr">
        <is>
          <t>GET</t>
        </is>
      </c>
      <c r="B1372" s="8" t="inlineStr">
        <is>
          <t>/api/v1/seller/provisioning/slug</t>
        </is>
      </c>
      <c r="C1372" s="8" t="inlineStr">
        <is>
          <t>PERM</t>
        </is>
      </c>
      <c r="D1372" s="8" t="inlineStr">
        <is>
          <t>worker/src/routes/seller/provisioning.ts</t>
        </is>
      </c>
      <c r="E1372" s="8" t="n">
        <v>78</v>
      </c>
      <c r="F1372" s="8" t="inlineStr">
        <is>
          <t>Yes</t>
        </is>
      </c>
      <c r="G1372" s="8" t="n">
        <v>4</v>
      </c>
    </row>
    <row r="1373">
      <c r="A1373" s="8" t="inlineStr">
        <is>
          <t>GET</t>
        </is>
      </c>
      <c r="B1373" s="8" t="inlineStr">
        <is>
          <t>/api/v1/seller/provisioning</t>
        </is>
      </c>
      <c r="C1373" s="8" t="inlineStr">
        <is>
          <t>PERM</t>
        </is>
      </c>
      <c r="D1373" s="8" t="inlineStr">
        <is>
          <t>worker/src/routes/seller/provisioning.ts</t>
        </is>
      </c>
      <c r="E1373" s="8" t="n">
        <v>87</v>
      </c>
      <c r="F1373" s="8" t="inlineStr">
        <is>
          <t>Yes</t>
        </is>
      </c>
      <c r="G1373" s="8" t="n">
        <v>4</v>
      </c>
    </row>
    <row r="1374">
      <c r="A1374" s="8" t="inlineStr">
        <is>
          <t>GET</t>
        </is>
      </c>
      <c r="B1374" s="8" t="inlineStr">
        <is>
          <t>/api/v1/seller/provisioning/{id}</t>
        </is>
      </c>
      <c r="C1374" s="8" t="inlineStr">
        <is>
          <t>PERM</t>
        </is>
      </c>
      <c r="D1374" s="8" t="inlineStr">
        <is>
          <t>worker/src/routes/seller/provisioning.ts</t>
        </is>
      </c>
      <c r="E1374" s="8" t="n">
        <v>95</v>
      </c>
      <c r="F1374" s="8" t="inlineStr">
        <is>
          <t>Yes</t>
        </is>
      </c>
      <c r="G1374" s="8" t="n">
        <v>4</v>
      </c>
    </row>
    <row r="1375">
      <c r="A1375" s="8" t="inlineStr">
        <is>
          <t>POST</t>
        </is>
      </c>
      <c r="B1375" s="8" t="inlineStr">
        <is>
          <t>/api/v1/seller/provisioning</t>
        </is>
      </c>
      <c r="C1375" s="8" t="inlineStr">
        <is>
          <t>PERM</t>
        </is>
      </c>
      <c r="D1375" s="8" t="inlineStr">
        <is>
          <t>worker/src/routes/seller/provisioning.ts</t>
        </is>
      </c>
      <c r="E1375" s="8" t="n">
        <v>100</v>
      </c>
      <c r="F1375" s="8" t="inlineStr">
        <is>
          <t>Yes</t>
        </is>
      </c>
      <c r="G1375" s="8" t="n">
        <v>4</v>
      </c>
    </row>
    <row r="1376">
      <c r="A1376" s="8" t="inlineStr">
        <is>
          <t>POST</t>
        </is>
      </c>
      <c r="B1376" s="8" t="inlineStr">
        <is>
          <t>/api/v1/seller/provisioning/{id}/retry</t>
        </is>
      </c>
      <c r="C1376" s="8" t="inlineStr">
        <is>
          <t>PERM</t>
        </is>
      </c>
      <c r="D1376" s="8" t="inlineStr">
        <is>
          <t>worker/src/routes/seller/provisioning.ts</t>
        </is>
      </c>
      <c r="E1376" s="8" t="n">
        <v>167</v>
      </c>
      <c r="F1376" s="8" t="inlineStr">
        <is>
          <t>Yes</t>
        </is>
      </c>
      <c r="G1376" s="8" t="n">
        <v>4</v>
      </c>
    </row>
    <row r="1377">
      <c r="A1377" s="8" t="inlineStr">
        <is>
          <t>DELETE</t>
        </is>
      </c>
      <c r="B1377" s="8" t="inlineStr">
        <is>
          <t>/api/v1/seller/provisioning/{id}</t>
        </is>
      </c>
      <c r="C1377" s="8" t="inlineStr">
        <is>
          <t>PERM</t>
        </is>
      </c>
      <c r="D1377" s="8" t="inlineStr">
        <is>
          <t>worker/src/routes/seller/provisioning.ts</t>
        </is>
      </c>
      <c r="E1377" s="8" t="n">
        <v>178</v>
      </c>
      <c r="F1377" s="8" t="inlineStr">
        <is>
          <t>Yes</t>
        </is>
      </c>
      <c r="G1377" s="8" t="n">
        <v>4</v>
      </c>
    </row>
    <row r="1378">
      <c r="A1378" s="8" t="inlineStr">
        <is>
          <t>GET</t>
        </is>
      </c>
      <c r="B1378" s="8" t="inlineStr">
        <is>
          <t>/api/v1/seller/tenants</t>
        </is>
      </c>
      <c r="C1378" s="8" t="inlineStr">
        <is>
          <t>PERM</t>
        </is>
      </c>
      <c r="D1378" s="8" t="inlineStr">
        <is>
          <t>worker/src/routes/seller/tenants.ts</t>
        </is>
      </c>
      <c r="E1378" s="8" t="n">
        <v>170</v>
      </c>
      <c r="F1378" s="8" t="inlineStr">
        <is>
          <t>Yes</t>
        </is>
      </c>
      <c r="G1378" s="8" t="n">
        <v>28</v>
      </c>
    </row>
    <row r="1379">
      <c r="A1379" s="8" t="inlineStr">
        <is>
          <t>POST</t>
        </is>
      </c>
      <c r="B1379" s="8" t="inlineStr">
        <is>
          <t>/api/v1/seller/tenants</t>
        </is>
      </c>
      <c r="C1379" s="8" t="inlineStr">
        <is>
          <t>PERM</t>
        </is>
      </c>
      <c r="D1379" s="8" t="inlineStr">
        <is>
          <t>worker/src/routes/seller/tenants.ts</t>
        </is>
      </c>
      <c r="E1379" s="8" t="n">
        <v>222</v>
      </c>
      <c r="F1379" s="8" t="inlineStr">
        <is>
          <t>Yes</t>
        </is>
      </c>
      <c r="G1379" s="8" t="n">
        <v>28</v>
      </c>
    </row>
    <row r="1380">
      <c r="A1380" s="8" t="inlineStr">
        <is>
          <t>PUT</t>
        </is>
      </c>
      <c r="B1380" s="8" t="inlineStr">
        <is>
          <t>/api/v1/seller/tenants/{id}/subscription</t>
        </is>
      </c>
      <c r="C1380" s="8" t="inlineStr">
        <is>
          <t>PERM</t>
        </is>
      </c>
      <c r="D1380" s="8" t="inlineStr">
        <is>
          <t>worker/src/routes/seller/tenants.ts</t>
        </is>
      </c>
      <c r="E1380" s="8" t="n">
        <v>309</v>
      </c>
      <c r="F1380" s="8" t="inlineStr">
        <is>
          <t>Yes</t>
        </is>
      </c>
      <c r="G1380" s="8" t="n">
        <v>28</v>
      </c>
    </row>
    <row r="1381">
      <c r="A1381" s="8" t="inlineStr">
        <is>
          <t>POST</t>
        </is>
      </c>
      <c r="B1381" s="8" t="inlineStr">
        <is>
          <t>/api/v1/seller/tenants/{id}/reset-admin</t>
        </is>
      </c>
      <c r="C1381" s="8" t="inlineStr">
        <is>
          <t>PERM</t>
        </is>
      </c>
      <c r="D1381" s="8" t="inlineStr">
        <is>
          <t>worker/src/routes/seller/tenants.ts</t>
        </is>
      </c>
      <c r="E1381" s="8" t="n">
        <v>353</v>
      </c>
      <c r="F1381" s="8" t="inlineStr">
        <is>
          <t>Yes</t>
        </is>
      </c>
      <c r="G1381" s="8" t="n">
        <v>28</v>
      </c>
    </row>
    <row r="1382">
      <c r="A1382" s="8" t="inlineStr">
        <is>
          <t>GET</t>
        </is>
      </c>
      <c r="B1382" s="8" t="inlineStr">
        <is>
          <t>/api/v1/seller/tenants/{id}/branding</t>
        </is>
      </c>
      <c r="C1382" s="8" t="inlineStr">
        <is>
          <t>PERM</t>
        </is>
      </c>
      <c r="D1382" s="8" t="inlineStr">
        <is>
          <t>worker/src/routes/seller/tenants.ts</t>
        </is>
      </c>
      <c r="E1382" s="8" t="n">
        <v>375</v>
      </c>
      <c r="F1382" s="8" t="inlineStr">
        <is>
          <t>Yes</t>
        </is>
      </c>
      <c r="G1382" s="8" t="n">
        <v>28</v>
      </c>
    </row>
    <row r="1383">
      <c r="A1383" s="8" t="inlineStr">
        <is>
          <t>PUT</t>
        </is>
      </c>
      <c r="B1383" s="8" t="inlineStr">
        <is>
          <t>/api/v1/seller/tenants/{id}/branding</t>
        </is>
      </c>
      <c r="C1383" s="8" t="inlineStr">
        <is>
          <t>PERM</t>
        </is>
      </c>
      <c r="D1383" s="8" t="inlineStr">
        <is>
          <t>worker/src/routes/seller/tenants.ts</t>
        </is>
      </c>
      <c r="E1383" s="8" t="n">
        <v>382</v>
      </c>
      <c r="F1383" s="8" t="inlineStr">
        <is>
          <t>Yes</t>
        </is>
      </c>
      <c r="G1383" s="8" t="n">
        <v>28</v>
      </c>
    </row>
    <row r="1384">
      <c r="A1384" s="8" t="inlineStr">
        <is>
          <t>POST</t>
        </is>
      </c>
      <c r="B1384" s="8" t="inlineStr">
        <is>
          <t>/api/v1/seller/tenants/{id}/logo</t>
        </is>
      </c>
      <c r="C1384" s="8" t="inlineStr">
        <is>
          <t>PERM</t>
        </is>
      </c>
      <c r="D1384" s="8" t="inlineStr">
        <is>
          <t>worker/src/routes/seller/tenants.ts</t>
        </is>
      </c>
      <c r="E1384" s="8" t="n">
        <v>420</v>
      </c>
      <c r="F1384" s="8" t="inlineStr">
        <is>
          <t>Yes</t>
        </is>
      </c>
      <c r="G1384" s="8" t="n">
        <v>28</v>
      </c>
    </row>
    <row r="1385">
      <c r="A1385" s="8" t="inlineStr">
        <is>
          <t>GET</t>
        </is>
      </c>
      <c r="B1385" s="8" t="inlineStr">
        <is>
          <t>/api/v1/seller/plans</t>
        </is>
      </c>
      <c r="C1385" s="8" t="inlineStr">
        <is>
          <t>PERM</t>
        </is>
      </c>
      <c r="D1385" s="8" t="inlineStr">
        <is>
          <t>worker/src/routes/seller/tenants.ts</t>
        </is>
      </c>
      <c r="E1385" s="8" t="n">
        <v>438</v>
      </c>
      <c r="F1385" s="8" t="inlineStr">
        <is>
          <t>Yes</t>
        </is>
      </c>
      <c r="G1385" s="8" t="n">
        <v>28</v>
      </c>
    </row>
    <row r="1386">
      <c r="A1386" s="8" t="inlineStr">
        <is>
          <t>POST</t>
        </is>
      </c>
      <c r="B1386" s="8" t="inlineStr">
        <is>
          <t>/api/v1/seller/plans</t>
        </is>
      </c>
      <c r="C1386" s="8" t="inlineStr">
        <is>
          <t>PERM</t>
        </is>
      </c>
      <c r="D1386" s="8" t="inlineStr">
        <is>
          <t>worker/src/routes/seller/tenants.ts</t>
        </is>
      </c>
      <c r="E1386" s="8" t="n">
        <v>461</v>
      </c>
      <c r="F1386" s="8" t="inlineStr">
        <is>
          <t>Yes</t>
        </is>
      </c>
      <c r="G1386" s="8" t="n">
        <v>28</v>
      </c>
    </row>
    <row r="1387">
      <c r="A1387" s="8" t="inlineStr">
        <is>
          <t>PUT</t>
        </is>
      </c>
      <c r="B1387" s="8" t="inlineStr">
        <is>
          <t>/api/v1/seller/plans/{code}</t>
        </is>
      </c>
      <c r="C1387" s="8" t="inlineStr">
        <is>
          <t>PERM</t>
        </is>
      </c>
      <c r="D1387" s="8" t="inlineStr">
        <is>
          <t>worker/src/routes/seller/tenants.ts</t>
        </is>
      </c>
      <c r="E1387" s="8" t="n">
        <v>474</v>
      </c>
      <c r="F1387" s="8" t="inlineStr">
        <is>
          <t>Yes</t>
        </is>
      </c>
      <c r="G1387" s="8" t="n">
        <v>28</v>
      </c>
    </row>
    <row r="1388">
      <c r="A1388" s="8" t="inlineStr">
        <is>
          <t>DELETE</t>
        </is>
      </c>
      <c r="B1388" s="8" t="inlineStr">
        <is>
          <t>/api/v1/seller/plans/{code}</t>
        </is>
      </c>
      <c r="C1388" s="8" t="inlineStr">
        <is>
          <t>PERM</t>
        </is>
      </c>
      <c r="D1388" s="8" t="inlineStr">
        <is>
          <t>worker/src/routes/seller/tenants.ts</t>
        </is>
      </c>
      <c r="E1388" s="8" t="n">
        <v>487</v>
      </c>
      <c r="F1388" s="8" t="inlineStr">
        <is>
          <t>Yes</t>
        </is>
      </c>
      <c r="G1388" s="8" t="n">
        <v>28</v>
      </c>
    </row>
    <row r="1389">
      <c r="A1389" s="8" t="inlineStr">
        <is>
          <t>GET</t>
        </is>
      </c>
      <c r="B1389" s="8" t="inlineStr">
        <is>
          <t>/api/v1/seller/limits</t>
        </is>
      </c>
      <c r="C1389" s="8" t="inlineStr">
        <is>
          <t>PERM</t>
        </is>
      </c>
      <c r="D1389" s="8" t="inlineStr">
        <is>
          <t>worker/src/routes/seller/tenants.ts</t>
        </is>
      </c>
      <c r="E1389" s="8" t="n">
        <v>497</v>
      </c>
      <c r="F1389" s="8" t="inlineStr">
        <is>
          <t>No</t>
        </is>
      </c>
      <c r="G1389" s="8" t="n">
        <v>28</v>
      </c>
    </row>
    <row r="1390">
      <c r="A1390" s="8" t="inlineStr">
        <is>
          <t>PUT</t>
        </is>
      </c>
      <c r="B1390" s="8" t="inlineStr">
        <is>
          <t>/api/v1/seller/limits</t>
        </is>
      </c>
      <c r="C1390" s="8" t="inlineStr">
        <is>
          <t>PERM</t>
        </is>
      </c>
      <c r="D1390" s="8" t="inlineStr">
        <is>
          <t>worker/src/routes/seller/tenants.ts</t>
        </is>
      </c>
      <c r="E1390" s="8" t="n">
        <v>522</v>
      </c>
      <c r="F1390" s="8" t="inlineStr">
        <is>
          <t>No</t>
        </is>
      </c>
      <c r="G1390" s="8" t="n">
        <v>28</v>
      </c>
    </row>
    <row r="1391">
      <c r="A1391" s="8" t="inlineStr">
        <is>
          <t>GET</t>
        </is>
      </c>
      <c r="B1391" s="8" t="inlineStr">
        <is>
          <t>/api/v1/seller/tickets</t>
        </is>
      </c>
      <c r="C1391" s="8" t="inlineStr">
        <is>
          <t>PERM</t>
        </is>
      </c>
      <c r="D1391" s="8" t="inlineStr">
        <is>
          <t>worker/src/routes/seller/tenants.ts</t>
        </is>
      </c>
      <c r="E1391" s="8" t="n">
        <v>537</v>
      </c>
      <c r="F1391" s="8" t="inlineStr">
        <is>
          <t>No</t>
        </is>
      </c>
      <c r="G1391" s="8" t="n">
        <v>28</v>
      </c>
    </row>
    <row r="1392">
      <c r="A1392" s="8" t="inlineStr">
        <is>
          <t>GET</t>
        </is>
      </c>
      <c r="B1392" s="8" t="inlineStr">
        <is>
          <t>/api/v1/seller/support-accounts</t>
        </is>
      </c>
      <c r="C1392" s="8" t="inlineStr">
        <is>
          <t>PERM</t>
        </is>
      </c>
      <c r="D1392" s="8" t="inlineStr">
        <is>
          <t>worker/src/routes/seller/tenants.ts</t>
        </is>
      </c>
      <c r="E1392" s="8" t="n">
        <v>572</v>
      </c>
      <c r="F1392" s="8" t="inlineStr">
        <is>
          <t>No</t>
        </is>
      </c>
      <c r="G1392" s="8" t="n">
        <v>28</v>
      </c>
    </row>
    <row r="1393">
      <c r="A1393" s="8" t="inlineStr">
        <is>
          <t>POST</t>
        </is>
      </c>
      <c r="B1393" s="8" t="inlineStr">
        <is>
          <t>/api/v1/seller/support-accounts</t>
        </is>
      </c>
      <c r="C1393" s="8" t="inlineStr">
        <is>
          <t>PERM</t>
        </is>
      </c>
      <c r="D1393" s="8" t="inlineStr">
        <is>
          <t>worker/src/routes/seller/tenants.ts</t>
        </is>
      </c>
      <c r="E1393" s="8" t="n">
        <v>590</v>
      </c>
      <c r="F1393" s="8" t="inlineStr">
        <is>
          <t>No</t>
        </is>
      </c>
      <c r="G1393" s="8" t="n">
        <v>28</v>
      </c>
    </row>
    <row r="1394">
      <c r="A1394" s="8" t="inlineStr">
        <is>
          <t>GET</t>
        </is>
      </c>
      <c r="B1394" s="8" t="inlineStr">
        <is>
          <t>/api/v1/seller/staff</t>
        </is>
      </c>
      <c r="C1394" s="8" t="inlineStr">
        <is>
          <t>PERM</t>
        </is>
      </c>
      <c r="D1394" s="8" t="inlineStr">
        <is>
          <t>worker/src/routes/seller/tenants.ts</t>
        </is>
      </c>
      <c r="E1394" s="8" t="n">
        <v>666</v>
      </c>
      <c r="F1394" s="8" t="inlineStr">
        <is>
          <t>Yes</t>
        </is>
      </c>
      <c r="G1394" s="8" t="n">
        <v>28</v>
      </c>
    </row>
    <row r="1395">
      <c r="A1395" s="8" t="inlineStr">
        <is>
          <t>POST</t>
        </is>
      </c>
      <c r="B1395" s="8" t="inlineStr">
        <is>
          <t>/api/v1/seller/staff</t>
        </is>
      </c>
      <c r="C1395" s="8" t="inlineStr">
        <is>
          <t>PERM</t>
        </is>
      </c>
      <c r="D1395" s="8" t="inlineStr">
        <is>
          <t>worker/src/routes/seller/tenants.ts</t>
        </is>
      </c>
      <c r="E1395" s="8" t="n">
        <v>684</v>
      </c>
      <c r="F1395" s="8" t="inlineStr">
        <is>
          <t>Yes</t>
        </is>
      </c>
      <c r="G1395" s="8" t="n">
        <v>28</v>
      </c>
    </row>
    <row r="1396">
      <c r="A1396" s="8" t="inlineStr">
        <is>
          <t>POST</t>
        </is>
      </c>
      <c r="B1396" s="8" t="inlineStr">
        <is>
          <t>/api/v1/seller/staff/{id}/status</t>
        </is>
      </c>
      <c r="C1396" s="8" t="inlineStr">
        <is>
          <t>PERM</t>
        </is>
      </c>
      <c r="D1396" s="8" t="inlineStr">
        <is>
          <t>worker/src/routes/seller/tenants.ts</t>
        </is>
      </c>
      <c r="E1396" s="8" t="n">
        <v>724</v>
      </c>
      <c r="F1396" s="8" t="inlineStr">
        <is>
          <t>Yes</t>
        </is>
      </c>
      <c r="G1396" s="8" t="n">
        <v>28</v>
      </c>
    </row>
    <row r="1397">
      <c r="A1397" s="8" t="inlineStr">
        <is>
          <t>POST</t>
        </is>
      </c>
      <c r="B1397" s="8" t="inlineStr">
        <is>
          <t>/api/v1/seller/staff/{id}/role</t>
        </is>
      </c>
      <c r="C1397" s="8" t="inlineStr">
        <is>
          <t>PERM</t>
        </is>
      </c>
      <c r="D1397" s="8" t="inlineStr">
        <is>
          <t>worker/src/routes/seller/tenants.ts</t>
        </is>
      </c>
      <c r="E1397" s="8" t="n">
        <v>746</v>
      </c>
      <c r="F1397" s="8" t="inlineStr">
        <is>
          <t>Yes</t>
        </is>
      </c>
      <c r="G1397" s="8" t="n">
        <v>28</v>
      </c>
    </row>
    <row r="1398">
      <c r="A1398" s="8" t="inlineStr">
        <is>
          <t>POST</t>
        </is>
      </c>
      <c r="B1398" s="8" t="inlineStr">
        <is>
          <t>/api/v1/seller/staff/{id}/password</t>
        </is>
      </c>
      <c r="C1398" s="8" t="inlineStr">
        <is>
          <t>PERM</t>
        </is>
      </c>
      <c r="D1398" s="8" t="inlineStr">
        <is>
          <t>worker/src/routes/seller/tenants.ts</t>
        </is>
      </c>
      <c r="E1398" s="8" t="n">
        <v>767</v>
      </c>
      <c r="F1398" s="8" t="inlineStr">
        <is>
          <t>Yes</t>
        </is>
      </c>
      <c r="G1398" s="8" t="n">
        <v>28</v>
      </c>
    </row>
    <row r="1399">
      <c r="A1399" s="8" t="inlineStr">
        <is>
          <t>GET</t>
        </is>
      </c>
      <c r="B1399" s="8" t="inlineStr">
        <is>
          <t>/api/v1/seller/board-members</t>
        </is>
      </c>
      <c r="C1399" s="8" t="inlineStr">
        <is>
          <t>PERM</t>
        </is>
      </c>
      <c r="D1399" s="8" t="inlineStr">
        <is>
          <t>worker/src/routes/seller/tenants.ts</t>
        </is>
      </c>
      <c r="E1399" s="8" t="n">
        <v>784</v>
      </c>
      <c r="F1399" s="8" t="inlineStr">
        <is>
          <t>Yes</t>
        </is>
      </c>
      <c r="G1399" s="8" t="n">
        <v>28</v>
      </c>
    </row>
    <row r="1400">
      <c r="A1400" s="8" t="inlineStr">
        <is>
          <t>POST</t>
        </is>
      </c>
      <c r="B1400" s="8" t="inlineStr">
        <is>
          <t>/api/v1/seller/board-members</t>
        </is>
      </c>
      <c r="C1400" s="8" t="inlineStr">
        <is>
          <t>PERM</t>
        </is>
      </c>
      <c r="D1400" s="8" t="inlineStr">
        <is>
          <t>worker/src/routes/seller/tenants.ts</t>
        </is>
      </c>
      <c r="E1400" s="8" t="n">
        <v>814</v>
      </c>
      <c r="F1400" s="8" t="inlineStr">
        <is>
          <t>Yes</t>
        </is>
      </c>
      <c r="G1400" s="8" t="n">
        <v>28</v>
      </c>
    </row>
    <row r="1401">
      <c r="A1401" s="8" t="inlineStr">
        <is>
          <t>DELETE</t>
        </is>
      </c>
      <c r="B1401" s="8" t="inlineStr">
        <is>
          <t>/api/v1/seller/board-members/{userID}/institutions/{instID}</t>
        </is>
      </c>
      <c r="C1401" s="8" t="inlineStr">
        <is>
          <t>PERM</t>
        </is>
      </c>
      <c r="D1401" s="8" t="inlineStr">
        <is>
          <t>worker/src/routes/seller/tenants.ts</t>
        </is>
      </c>
      <c r="E1401" s="8" t="n">
        <v>820</v>
      </c>
      <c r="F1401" s="8" t="inlineStr">
        <is>
          <t>Yes</t>
        </is>
      </c>
      <c r="G1401" s="8" t="n">
        <v>28</v>
      </c>
    </row>
    <row r="1402">
      <c r="A1402" s="8" t="inlineStr">
        <is>
          <t>POST</t>
        </is>
      </c>
      <c r="B1402" s="8" t="inlineStr">
        <is>
          <t>/api/v1/setup/academic-years</t>
        </is>
      </c>
      <c r="C1402" s="8" t="inlineStr">
        <is>
          <t>academics.write</t>
        </is>
      </c>
      <c r="D1402" s="8" t="inlineStr">
        <is>
          <t>worker/src/routes/setup/academics.ts</t>
        </is>
      </c>
      <c r="E1402" s="8" t="n">
        <v>22</v>
      </c>
      <c r="F1402" s="8" t="inlineStr">
        <is>
          <t>Yes</t>
        </is>
      </c>
      <c r="G1402" s="8" t="n">
        <v>30</v>
      </c>
    </row>
    <row r="1403">
      <c r="A1403" s="8" t="inlineStr">
        <is>
          <t>PATCH</t>
        </is>
      </c>
      <c r="B1403" s="8" t="inlineStr">
        <is>
          <t>/api/v1/setup/academic-years/{id}</t>
        </is>
      </c>
      <c r="C1403" s="8" t="inlineStr">
        <is>
          <t>academics.write</t>
        </is>
      </c>
      <c r="D1403" s="8" t="inlineStr">
        <is>
          <t>worker/src/routes/setup/academics.ts</t>
        </is>
      </c>
      <c r="E1403" s="8" t="n">
        <v>38</v>
      </c>
      <c r="F1403" s="8" t="inlineStr">
        <is>
          <t>Yes</t>
        </is>
      </c>
      <c r="G1403" s="8" t="n">
        <v>30</v>
      </c>
    </row>
    <row r="1404">
      <c r="A1404" s="8" t="inlineStr">
        <is>
          <t>POST</t>
        </is>
      </c>
      <c r="B1404" s="8" t="inlineStr">
        <is>
          <t>/api/v1/setup/classes</t>
        </is>
      </c>
      <c r="C1404" s="8" t="inlineStr">
        <is>
          <t>academics.write</t>
        </is>
      </c>
      <c r="D1404" s="8" t="inlineStr">
        <is>
          <t>worker/src/routes/setup/academics.ts</t>
        </is>
      </c>
      <c r="E1404" s="8" t="n">
        <v>63</v>
      </c>
      <c r="F1404" s="8" t="inlineStr">
        <is>
          <t>Yes</t>
        </is>
      </c>
      <c r="G1404" s="8" t="n">
        <v>30</v>
      </c>
    </row>
    <row r="1405">
      <c r="A1405" s="8" t="inlineStr">
        <is>
          <t>PATCH</t>
        </is>
      </c>
      <c r="B1405" s="8" t="inlineStr">
        <is>
          <t>/api/v1/setup/classes/{id}</t>
        </is>
      </c>
      <c r="C1405" s="8" t="inlineStr">
        <is>
          <t>academics.write</t>
        </is>
      </c>
      <c r="D1405" s="8" t="inlineStr">
        <is>
          <t>worker/src/routes/setup/academics.ts</t>
        </is>
      </c>
      <c r="E1405" s="8" t="n">
        <v>94</v>
      </c>
      <c r="F1405" s="8" t="inlineStr">
        <is>
          <t>Yes</t>
        </is>
      </c>
      <c r="G1405" s="8" t="n">
        <v>30</v>
      </c>
    </row>
    <row r="1406">
      <c r="A1406" s="8" t="inlineStr">
        <is>
          <t>DELETE</t>
        </is>
      </c>
      <c r="B1406" s="8" t="inlineStr">
        <is>
          <t>/api/v1/setup/classes/{id}</t>
        </is>
      </c>
      <c r="C1406" s="8" t="inlineStr">
        <is>
          <t>academics.write</t>
        </is>
      </c>
      <c r="D1406" s="8" t="inlineStr">
        <is>
          <t>worker/src/routes/setup/academics.ts</t>
        </is>
      </c>
      <c r="E1406" s="8" t="n">
        <v>114</v>
      </c>
      <c r="F1406" s="8" t="inlineStr">
        <is>
          <t>Yes</t>
        </is>
      </c>
      <c r="G1406" s="8" t="n">
        <v>30</v>
      </c>
    </row>
    <row r="1407">
      <c r="A1407" s="8" t="inlineStr">
        <is>
          <t>POST</t>
        </is>
      </c>
      <c r="B1407" s="8" t="inlineStr">
        <is>
          <t>/api/v1/setup/sections</t>
        </is>
      </c>
      <c r="C1407" s="8" t="inlineStr">
        <is>
          <t>academics.write</t>
        </is>
      </c>
      <c r="D1407" s="8" t="inlineStr">
        <is>
          <t>worker/src/routes/setup/academics.ts</t>
        </is>
      </c>
      <c r="E1407" s="8" t="n">
        <v>130</v>
      </c>
      <c r="F1407" s="8" t="inlineStr">
        <is>
          <t>Yes</t>
        </is>
      </c>
      <c r="G1407" s="8" t="n">
        <v>30</v>
      </c>
    </row>
    <row r="1408">
      <c r="A1408" s="8" t="inlineStr">
        <is>
          <t>PATCH</t>
        </is>
      </c>
      <c r="B1408" s="8" t="inlineStr">
        <is>
          <t>/api/v1/setup/sections/{id}</t>
        </is>
      </c>
      <c r="C1408" s="8" t="inlineStr">
        <is>
          <t>academics.write</t>
        </is>
      </c>
      <c r="D1408" s="8" t="inlineStr">
        <is>
          <t>worker/src/routes/setup/academics.ts</t>
        </is>
      </c>
      <c r="E1408" s="8" t="n">
        <v>154</v>
      </c>
      <c r="F1408" s="8" t="inlineStr">
        <is>
          <t>Yes</t>
        </is>
      </c>
      <c r="G1408" s="8" t="n">
        <v>30</v>
      </c>
    </row>
    <row r="1409">
      <c r="A1409" s="8" t="inlineStr">
        <is>
          <t>DELETE</t>
        </is>
      </c>
      <c r="B1409" s="8" t="inlineStr">
        <is>
          <t>/api/v1/setup/sections/{id}</t>
        </is>
      </c>
      <c r="C1409" s="8" t="inlineStr">
        <is>
          <t>academics.write</t>
        </is>
      </c>
      <c r="D1409" s="8" t="inlineStr">
        <is>
          <t>worker/src/routes/setup/academics.ts</t>
        </is>
      </c>
      <c r="E1409" s="8" t="n">
        <v>179</v>
      </c>
      <c r="F1409" s="8" t="inlineStr">
        <is>
          <t>Yes</t>
        </is>
      </c>
      <c r="G1409" s="8" t="n">
        <v>30</v>
      </c>
    </row>
    <row r="1410">
      <c r="A1410" s="8" t="inlineStr">
        <is>
          <t>POST</t>
        </is>
      </c>
      <c r="B1410" s="8" t="inlineStr">
        <is>
          <t>/api/v1/setup/subjects</t>
        </is>
      </c>
      <c r="C1410" s="8" t="inlineStr">
        <is>
          <t>academics.write</t>
        </is>
      </c>
      <c r="D1410" s="8" t="inlineStr">
        <is>
          <t>worker/src/routes/setup/academics.ts</t>
        </is>
      </c>
      <c r="E1410" s="8" t="n">
        <v>194</v>
      </c>
      <c r="F1410" s="8" t="inlineStr">
        <is>
          <t>Yes</t>
        </is>
      </c>
      <c r="G1410" s="8" t="n">
        <v>30</v>
      </c>
    </row>
    <row r="1411">
      <c r="A1411" s="8" t="inlineStr">
        <is>
          <t>PATCH</t>
        </is>
      </c>
      <c r="B1411" s="8" t="inlineStr">
        <is>
          <t>/api/v1/setup/subjects/{id}</t>
        </is>
      </c>
      <c r="C1411" s="8" t="inlineStr">
        <is>
          <t>academics.write</t>
        </is>
      </c>
      <c r="D1411" s="8" t="inlineStr">
        <is>
          <t>worker/src/routes/setup/academics.ts</t>
        </is>
      </c>
      <c r="E1411" s="8" t="n">
        <v>214</v>
      </c>
      <c r="F1411" s="8" t="inlineStr">
        <is>
          <t>Yes</t>
        </is>
      </c>
      <c r="G1411" s="8" t="n">
        <v>30</v>
      </c>
    </row>
    <row r="1412">
      <c r="A1412" s="8" t="inlineStr">
        <is>
          <t>DELETE</t>
        </is>
      </c>
      <c r="B1412" s="8" t="inlineStr">
        <is>
          <t>/api/v1/setup/subjects/{id}</t>
        </is>
      </c>
      <c r="C1412" s="8" t="inlineStr">
        <is>
          <t>academics.write</t>
        </is>
      </c>
      <c r="D1412" s="8" t="inlineStr">
        <is>
          <t>worker/src/routes/setup/academics.ts</t>
        </is>
      </c>
      <c r="E1412" s="8" t="n">
        <v>233</v>
      </c>
      <c r="F1412" s="8" t="inlineStr">
        <is>
          <t>Yes</t>
        </is>
      </c>
      <c r="G1412" s="8" t="n">
        <v>30</v>
      </c>
    </row>
    <row r="1413">
      <c r="A1413" s="8" t="inlineStr">
        <is>
          <t>PUT</t>
        </is>
      </c>
      <c r="B1413" s="8" t="inlineStr">
        <is>
          <t>/api/v1/setup/periods</t>
        </is>
      </c>
      <c r="C1413" s="8" t="inlineStr">
        <is>
          <t>academics.write</t>
        </is>
      </c>
      <c r="D1413" s="8" t="inlineStr">
        <is>
          <t>worker/src/routes/setup/academics.ts</t>
        </is>
      </c>
      <c r="E1413" s="8" t="n">
        <v>247</v>
      </c>
      <c r="F1413" s="8" t="inlineStr">
        <is>
          <t>Yes</t>
        </is>
      </c>
      <c r="G1413" s="8" t="n">
        <v>30</v>
      </c>
    </row>
    <row r="1414">
      <c r="A1414" s="8" t="inlineStr">
        <is>
          <t>GET</t>
        </is>
      </c>
      <c r="B1414" s="8" t="inlineStr">
        <is>
          <t>/api/v1/setup/class-subjects</t>
        </is>
      </c>
      <c r="C1414" s="8" t="inlineStr">
        <is>
          <t>academics.read</t>
        </is>
      </c>
      <c r="D1414" s="8" t="inlineStr">
        <is>
          <t>worker/src/routes/setup/academics.ts</t>
        </is>
      </c>
      <c r="E1414" s="8" t="n">
        <v>294</v>
      </c>
      <c r="F1414" s="8" t="inlineStr">
        <is>
          <t>Yes</t>
        </is>
      </c>
      <c r="G1414" s="8" t="n">
        <v>30</v>
      </c>
    </row>
    <row r="1415">
      <c r="A1415" s="8" t="inlineStr">
        <is>
          <t>PUT</t>
        </is>
      </c>
      <c r="B1415" s="8" t="inlineStr">
        <is>
          <t>/api/v1/setup/class-subjects</t>
        </is>
      </c>
      <c r="C1415" s="8" t="inlineStr">
        <is>
          <t>academics.write</t>
        </is>
      </c>
      <c r="D1415" s="8" t="inlineStr">
        <is>
          <t>worker/src/routes/setup/academics.ts</t>
        </is>
      </c>
      <c r="E1415" s="8" t="n">
        <v>314</v>
      </c>
      <c r="F1415" s="8" t="inlineStr">
        <is>
          <t>Yes</t>
        </is>
      </c>
      <c r="G1415" s="8" t="n">
        <v>30</v>
      </c>
    </row>
    <row r="1416">
      <c r="A1416" s="8" t="inlineStr">
        <is>
          <t>POST</t>
        </is>
      </c>
      <c r="B1416" s="8" t="inlineStr">
        <is>
          <t>/api/v1/setup/class-teacher</t>
        </is>
      </c>
      <c r="C1416" s="8" t="inlineStr">
        <is>
          <t>academics.write</t>
        </is>
      </c>
      <c r="D1416" s="8" t="inlineStr">
        <is>
          <t>worker/src/routes/setup/academics.ts</t>
        </is>
      </c>
      <c r="E1416" s="8" t="n">
        <v>339</v>
      </c>
      <c r="F1416" s="8" t="inlineStr">
        <is>
          <t>Yes</t>
        </is>
      </c>
      <c r="G1416" s="8" t="n">
        <v>30</v>
      </c>
    </row>
    <row r="1417">
      <c r="A1417" s="8" t="inlineStr">
        <is>
          <t>POST</t>
        </is>
      </c>
      <c r="B1417" s="8" t="inlineStr">
        <is>
          <t>/api/v1/setup/assign-teacher</t>
        </is>
      </c>
      <c r="C1417" s="8" t="inlineStr">
        <is>
          <t>academics.write</t>
        </is>
      </c>
      <c r="D1417" s="8" t="inlineStr">
        <is>
          <t>worker/src/routes/setup/academics.ts</t>
        </is>
      </c>
      <c r="E1417" s="8" t="n">
        <v>382</v>
      </c>
      <c r="F1417" s="8" t="inlineStr">
        <is>
          <t>Yes</t>
        </is>
      </c>
      <c r="G1417" s="8" t="n">
        <v>30</v>
      </c>
    </row>
    <row r="1418">
      <c r="A1418" s="8" t="inlineStr">
        <is>
          <t>GET</t>
        </is>
      </c>
      <c r="B1418" s="8" t="inlineStr">
        <is>
          <t>/api/v1/setup/grading-scales</t>
        </is>
      </c>
      <c r="C1418" s="8" t="inlineStr">
        <is>
          <t>academics.exams.read</t>
        </is>
      </c>
      <c r="D1418" s="8" t="inlineStr">
        <is>
          <t>worker/src/routes/setup/academics.ts</t>
        </is>
      </c>
      <c r="E1418" s="8" t="n">
        <v>394</v>
      </c>
      <c r="F1418" s="8" t="inlineStr">
        <is>
          <t>Yes</t>
        </is>
      </c>
      <c r="G1418" s="8" t="n">
        <v>30</v>
      </c>
    </row>
    <row r="1419">
      <c r="A1419" s="8" t="inlineStr">
        <is>
          <t>POST</t>
        </is>
      </c>
      <c r="B1419" s="8" t="inlineStr">
        <is>
          <t>/api/v1/setup/grading-scales</t>
        </is>
      </c>
      <c r="C1419" s="8" t="inlineStr">
        <is>
          <t>academics.exams.write</t>
        </is>
      </c>
      <c r="D1419" s="8" t="inlineStr">
        <is>
          <t>worker/src/routes/setup/academics.ts</t>
        </is>
      </c>
      <c r="E1419" s="8" t="n">
        <v>410</v>
      </c>
      <c r="F1419" s="8" t="inlineStr">
        <is>
          <t>Yes</t>
        </is>
      </c>
      <c r="G1419" s="8" t="n">
        <v>30</v>
      </c>
    </row>
    <row r="1420">
      <c r="A1420" s="8" t="inlineStr">
        <is>
          <t>DELETE</t>
        </is>
      </c>
      <c r="B1420" s="8" t="inlineStr">
        <is>
          <t>/api/v1/setup/grading-scales/{id}</t>
        </is>
      </c>
      <c r="C1420" s="8" t="inlineStr">
        <is>
          <t>academics.exams.write</t>
        </is>
      </c>
      <c r="D1420" s="8" t="inlineStr">
        <is>
          <t>worker/src/routes/setup/academics.ts</t>
        </is>
      </c>
      <c r="E1420" s="8" t="n">
        <v>438</v>
      </c>
      <c r="F1420" s="8" t="inlineStr">
        <is>
          <t>Yes</t>
        </is>
      </c>
      <c r="G1420" s="8" t="n">
        <v>30</v>
      </c>
    </row>
    <row r="1421">
      <c r="A1421" s="8" t="inlineStr">
        <is>
          <t>PATCH</t>
        </is>
      </c>
      <c r="B1421" s="8" t="inlineStr">
        <is>
          <t>/api/v1/setup/grading-scales/{id}</t>
        </is>
      </c>
      <c r="C1421" s="8" t="inlineStr">
        <is>
          <t>academics.exams.write</t>
        </is>
      </c>
      <c r="D1421" s="8" t="inlineStr">
        <is>
          <t>worker/src/routes/setup/academics.ts</t>
        </is>
      </c>
      <c r="E1421" s="8" t="n">
        <v>453</v>
      </c>
      <c r="F1421" s="8" t="inlineStr">
        <is>
          <t>Yes</t>
        </is>
      </c>
      <c r="G1421" s="8" t="n">
        <v>30</v>
      </c>
    </row>
    <row r="1422">
      <c r="A1422" s="8" t="inlineStr">
        <is>
          <t>POST</t>
        </is>
      </c>
      <c r="B1422" s="8" t="inlineStr">
        <is>
          <t>/api/v1/setup/exams</t>
        </is>
      </c>
      <c r="C1422" s="8" t="inlineStr">
        <is>
          <t>academics.exams.write</t>
        </is>
      </c>
      <c r="D1422" s="8" t="inlineStr">
        <is>
          <t>worker/src/routes/setup/academics.ts</t>
        </is>
      </c>
      <c r="E1422" s="8" t="n">
        <v>468</v>
      </c>
      <c r="F1422" s="8" t="inlineStr">
        <is>
          <t>Yes</t>
        </is>
      </c>
      <c r="G1422" s="8" t="n">
        <v>30</v>
      </c>
    </row>
    <row r="1423">
      <c r="A1423" s="8" t="inlineStr">
        <is>
          <t>PATCH</t>
        </is>
      </c>
      <c r="B1423" s="8" t="inlineStr">
        <is>
          <t>/api/v1/setup/exams/{id}</t>
        </is>
      </c>
      <c r="C1423" s="8" t="inlineStr">
        <is>
          <t>academics.exams.write</t>
        </is>
      </c>
      <c r="D1423" s="8" t="inlineStr">
        <is>
          <t>worker/src/routes/setup/academics.ts</t>
        </is>
      </c>
      <c r="E1423" s="8" t="n">
        <v>507</v>
      </c>
      <c r="F1423" s="8" t="inlineStr">
        <is>
          <t>Yes</t>
        </is>
      </c>
      <c r="G1423" s="8" t="n">
        <v>30</v>
      </c>
    </row>
    <row r="1424">
      <c r="A1424" s="8" t="inlineStr">
        <is>
          <t>DELETE</t>
        </is>
      </c>
      <c r="B1424" s="8" t="inlineStr">
        <is>
          <t>/api/v1/setup/exams/{id}</t>
        </is>
      </c>
      <c r="C1424" s="8" t="inlineStr">
        <is>
          <t>academics.exams.write</t>
        </is>
      </c>
      <c r="D1424" s="8" t="inlineStr">
        <is>
          <t>worker/src/routes/setup/academics.ts</t>
        </is>
      </c>
      <c r="E1424" s="8" t="n">
        <v>526</v>
      </c>
      <c r="F1424" s="8" t="inlineStr">
        <is>
          <t>Yes</t>
        </is>
      </c>
      <c r="G1424" s="8" t="n">
        <v>30</v>
      </c>
    </row>
    <row r="1425">
      <c r="A1425" s="8" t="inlineStr">
        <is>
          <t>GET</t>
        </is>
      </c>
      <c r="B1425" s="8" t="inlineStr">
        <is>
          <t>/api/v1/setup/fee-heads</t>
        </is>
      </c>
      <c r="C1425" s="8" t="inlineStr">
        <is>
          <t>finance.fees.read</t>
        </is>
      </c>
      <c r="D1425" s="8" t="inlineStr">
        <is>
          <t>worker/src/routes/setup/academics.ts</t>
        </is>
      </c>
      <c r="E1425" s="8" t="n">
        <v>541</v>
      </c>
      <c r="F1425" s="8" t="inlineStr">
        <is>
          <t>Yes</t>
        </is>
      </c>
      <c r="G1425" s="8" t="n">
        <v>30</v>
      </c>
    </row>
    <row r="1426">
      <c r="A1426" s="8" t="inlineStr">
        <is>
          <t>POST</t>
        </is>
      </c>
      <c r="B1426" s="8" t="inlineStr">
        <is>
          <t>/api/v1/setup/fee-heads</t>
        </is>
      </c>
      <c r="C1426" s="8" t="inlineStr">
        <is>
          <t>finance.fees.write</t>
        </is>
      </c>
      <c r="D1426" s="8" t="inlineStr">
        <is>
          <t>worker/src/routes/setup/academics.ts</t>
        </is>
      </c>
      <c r="E1426" s="8" t="n">
        <v>558</v>
      </c>
      <c r="F1426" s="8" t="inlineStr">
        <is>
          <t>Yes</t>
        </is>
      </c>
      <c r="G1426" s="8" t="n">
        <v>30</v>
      </c>
    </row>
    <row r="1427">
      <c r="A1427" s="8" t="inlineStr">
        <is>
          <t>PATCH</t>
        </is>
      </c>
      <c r="B1427" s="8" t="inlineStr">
        <is>
          <t>/api/v1/setup/fee-heads/{id}</t>
        </is>
      </c>
      <c r="C1427" s="8" t="inlineStr">
        <is>
          <t>finance.fees.write</t>
        </is>
      </c>
      <c r="D1427" s="8" t="inlineStr">
        <is>
          <t>worker/src/routes/setup/academics.ts</t>
        </is>
      </c>
      <c r="E1427" s="8" t="n">
        <v>579</v>
      </c>
      <c r="F1427" s="8" t="inlineStr">
        <is>
          <t>Yes</t>
        </is>
      </c>
      <c r="G1427" s="8" t="n">
        <v>30</v>
      </c>
    </row>
    <row r="1428">
      <c r="A1428" s="8" t="inlineStr">
        <is>
          <t>DELETE</t>
        </is>
      </c>
      <c r="B1428" s="8" t="inlineStr">
        <is>
          <t>/api/v1/setup/fee-heads/{id}</t>
        </is>
      </c>
      <c r="C1428" s="8" t="inlineStr">
        <is>
          <t>finance.fees.write</t>
        </is>
      </c>
      <c r="D1428" s="8" t="inlineStr">
        <is>
          <t>worker/src/routes/setup/academics.ts</t>
        </is>
      </c>
      <c r="E1428" s="8" t="n">
        <v>599</v>
      </c>
      <c r="F1428" s="8" t="inlineStr">
        <is>
          <t>Yes</t>
        </is>
      </c>
      <c r="G1428" s="8" t="n">
        <v>30</v>
      </c>
    </row>
    <row r="1429">
      <c r="A1429" s="8" t="inlineStr">
        <is>
          <t>GET</t>
        </is>
      </c>
      <c r="B1429" s="8" t="inlineStr">
        <is>
          <t>/api/v1/setup/fee-heads/{id}/optins</t>
        </is>
      </c>
      <c r="C1429" s="8" t="inlineStr">
        <is>
          <t>finance.fees.read</t>
        </is>
      </c>
      <c r="D1429" s="8" t="inlineStr">
        <is>
          <t>worker/src/routes/setup/academics.ts</t>
        </is>
      </c>
      <c r="E1429" s="8" t="n">
        <v>614</v>
      </c>
      <c r="F1429" s="8" t="inlineStr">
        <is>
          <t>Yes</t>
        </is>
      </c>
      <c r="G1429" s="8" t="n">
        <v>30</v>
      </c>
    </row>
    <row r="1430">
      <c r="A1430" s="8" t="inlineStr">
        <is>
          <t>PUT</t>
        </is>
      </c>
      <c r="B1430" s="8" t="inlineStr">
        <is>
          <t>/api/v1/setup/fee-heads/{id}/optins</t>
        </is>
      </c>
      <c r="C1430" s="8" t="inlineStr">
        <is>
          <t>finance.fees.write</t>
        </is>
      </c>
      <c r="D1430" s="8" t="inlineStr">
        <is>
          <t>worker/src/routes/setup/academics.ts</t>
        </is>
      </c>
      <c r="E1430" s="8" t="n">
        <v>632</v>
      </c>
      <c r="F1430" s="8" t="inlineStr">
        <is>
          <t>Yes</t>
        </is>
      </c>
      <c r="G1430" s="8" t="n">
        <v>30</v>
      </c>
    </row>
    <row r="1431">
      <c r="A1431" s="8" t="inlineStr">
        <is>
          <t>GET</t>
        </is>
      </c>
      <c r="B1431" s="8" t="inlineStr">
        <is>
          <t>/api/v1/setup/fee-classes</t>
        </is>
      </c>
      <c r="C1431" s="8" t="inlineStr">
        <is>
          <t>finance.fees.read</t>
        </is>
      </c>
      <c r="D1431" s="8" t="inlineStr">
        <is>
          <t>worker/src/routes/setup/academics.ts</t>
        </is>
      </c>
      <c r="E1431" s="8" t="n">
        <v>662</v>
      </c>
      <c r="F1431" s="8" t="inlineStr">
        <is>
          <t>Yes</t>
        </is>
      </c>
      <c r="G1431" s="8" t="n">
        <v>30</v>
      </c>
    </row>
    <row r="1432">
      <c r="A1432" s="8" t="inlineStr">
        <is>
          <t>POST</t>
        </is>
      </c>
      <c r="B1432" s="8" t="inlineStr">
        <is>
          <t>/api/v1/setup/fee-structures</t>
        </is>
      </c>
      <c r="C1432" s="8" t="inlineStr">
        <is>
          <t>finance.fees.write</t>
        </is>
      </c>
      <c r="D1432" s="8" t="inlineStr">
        <is>
          <t>worker/src/routes/setup/academics.ts</t>
        </is>
      </c>
      <c r="E1432" s="8" t="n">
        <v>669</v>
      </c>
      <c r="F1432" s="8" t="inlineStr">
        <is>
          <t>Yes</t>
        </is>
      </c>
      <c r="G1432" s="8" t="n">
        <v>30</v>
      </c>
    </row>
    <row r="1433">
      <c r="A1433" s="8" t="inlineStr">
        <is>
          <t>GET</t>
        </is>
      </c>
      <c r="B1433" s="8" t="inlineStr">
        <is>
          <t>/api/v1/setup/fee-structures</t>
        </is>
      </c>
      <c r="C1433" s="8" t="inlineStr">
        <is>
          <t>finance.fees.read</t>
        </is>
      </c>
      <c r="D1433" s="8" t="inlineStr">
        <is>
          <t>worker/src/routes/setup/academics.ts</t>
        </is>
      </c>
      <c r="E1433" s="8" t="n">
        <v>700</v>
      </c>
      <c r="F1433" s="8" t="inlineStr">
        <is>
          <t>Yes</t>
        </is>
      </c>
      <c r="G1433" s="8" t="n">
        <v>30</v>
      </c>
    </row>
    <row r="1434">
      <c r="A1434" s="8" t="inlineStr">
        <is>
          <t>DELETE</t>
        </is>
      </c>
      <c r="B1434" s="8" t="inlineStr">
        <is>
          <t>/api/v1/setup/fee-structures/{id}</t>
        </is>
      </c>
      <c r="C1434" s="8" t="inlineStr">
        <is>
          <t>finance.fees.write</t>
        </is>
      </c>
      <c r="D1434" s="8" t="inlineStr">
        <is>
          <t>worker/src/routes/setup/academics.ts</t>
        </is>
      </c>
      <c r="E1434" s="8" t="n">
        <v>717</v>
      </c>
      <c r="F1434" s="8" t="inlineStr">
        <is>
          <t>Yes</t>
        </is>
      </c>
      <c r="G1434" s="8" t="n">
        <v>30</v>
      </c>
    </row>
    <row r="1435">
      <c r="A1435" s="8" t="inlineStr">
        <is>
          <t>PATCH</t>
        </is>
      </c>
      <c r="B1435" s="8" t="inlineStr">
        <is>
          <t>/api/v1/setup/fee-structures/{id}</t>
        </is>
      </c>
      <c r="C1435" s="8" t="inlineStr">
        <is>
          <t>finance.fees.write</t>
        </is>
      </c>
      <c r="D1435" s="8" t="inlineStr">
        <is>
          <t>worker/src/routes/setup/academics.ts</t>
        </is>
      </c>
      <c r="E1435" s="8" t="n">
        <v>726</v>
      </c>
      <c r="F1435" s="8" t="inlineStr">
        <is>
          <t>Yes</t>
        </is>
      </c>
      <c r="G1435" s="8" t="n">
        <v>30</v>
      </c>
    </row>
    <row r="1436">
      <c r="A1436" s="8" t="inlineStr">
        <is>
          <t>GET</t>
        </is>
      </c>
      <c r="B1436" s="8" t="inlineStr">
        <is>
          <t>/api/v1/setup/status</t>
        </is>
      </c>
      <c r="C1436" s="8" t="inlineStr">
        <is>
          <t>institution.read</t>
        </is>
      </c>
      <c r="D1436" s="8" t="inlineStr">
        <is>
          <t>worker/src/routes/setup/academics.ts</t>
        </is>
      </c>
      <c r="E1436" s="8" t="n">
        <v>761</v>
      </c>
      <c r="F1436" s="8" t="inlineStr">
        <is>
          <t>Yes</t>
        </is>
      </c>
      <c r="G1436" s="8" t="n">
        <v>30</v>
      </c>
    </row>
    <row r="1437">
      <c r="A1437" s="8" t="inlineStr">
        <is>
          <t>GET</t>
        </is>
      </c>
      <c r="B1437" s="8" t="inlineStr">
        <is>
          <t>/api/v1/setup/import/history</t>
        </is>
      </c>
      <c r="C1437" s="8" t="inlineStr">
        <is>
          <t>auth</t>
        </is>
      </c>
      <c r="D1437" s="8" t="inlineStr">
        <is>
          <t>worker/src/routes/setup/imports.ts</t>
        </is>
      </c>
      <c r="E1437" s="8" t="n">
        <v>1489</v>
      </c>
      <c r="F1437" s="8" t="inlineStr">
        <is>
          <t>Yes</t>
        </is>
      </c>
      <c r="G1437" s="8" t="n">
        <v>40</v>
      </c>
    </row>
    <row r="1438">
      <c r="A1438" s="8" t="inlineStr">
        <is>
          <t>POST</t>
        </is>
      </c>
      <c r="B1438" s="8" t="inlineStr">
        <is>
          <t>/api/v1/setup/import/history/{id}/undo</t>
        </is>
      </c>
      <c r="C1438" s="8" t="inlineStr">
        <is>
          <t>auth</t>
        </is>
      </c>
      <c r="D1438" s="8" t="inlineStr">
        <is>
          <t>worker/src/routes/setup/imports.ts</t>
        </is>
      </c>
      <c r="E1438" s="8" t="n">
        <v>1509</v>
      </c>
      <c r="F1438" s="8" t="inlineStr">
        <is>
          <t>Yes</t>
        </is>
      </c>
      <c r="G1438" s="8" t="n">
        <v>40</v>
      </c>
    </row>
    <row r="1439">
      <c r="A1439" s="8" t="inlineStr">
        <is>
          <t>GET</t>
        </is>
      </c>
      <c r="B1439" s="8" t="inlineStr">
        <is>
          <t>/api/v1/setup/import/history/{id}/content</t>
        </is>
      </c>
      <c r="C1439" s="8" t="inlineStr">
        <is>
          <t>auth</t>
        </is>
      </c>
      <c r="D1439" s="8" t="inlineStr">
        <is>
          <t>worker/src/routes/setup/imports.ts</t>
        </is>
      </c>
      <c r="E1439" s="8" t="n">
        <v>1545</v>
      </c>
      <c r="F1439" s="8" t="inlineStr">
        <is>
          <t>Yes</t>
        </is>
      </c>
      <c r="G1439" s="8" t="n">
        <v>40</v>
      </c>
    </row>
    <row r="1440">
      <c r="A1440" s="8" t="inlineStr">
        <is>
          <t>GET</t>
        </is>
      </c>
      <c r="B1440" s="8" t="inlineStr">
        <is>
          <t>/api/v1/setup/import/{entity}/template</t>
        </is>
      </c>
      <c r="C1440" s="8" t="inlineStr">
        <is>
          <t>auth</t>
        </is>
      </c>
      <c r="D1440" s="8" t="inlineStr">
        <is>
          <t>worker/src/routes/setup/imports.ts</t>
        </is>
      </c>
      <c r="E1440" s="8" t="n">
        <v>1556</v>
      </c>
      <c r="F1440" s="8" t="inlineStr">
        <is>
          <t>Yes</t>
        </is>
      </c>
      <c r="G1440" s="8" t="n">
        <v>40</v>
      </c>
    </row>
    <row r="1441">
      <c r="A1441" s="8" t="inlineStr">
        <is>
          <t>GET</t>
        </is>
      </c>
      <c r="B1441" s="8" t="inlineStr">
        <is>
          <t>/api/v1/setup/import/{entity}/fields</t>
        </is>
      </c>
      <c r="C1441" s="8" t="inlineStr">
        <is>
          <t>auth</t>
        </is>
      </c>
      <c r="D1441" s="8" t="inlineStr">
        <is>
          <t>worker/src/routes/setup/imports.ts</t>
        </is>
      </c>
      <c r="E1441" s="8" t="n">
        <v>1566</v>
      </c>
      <c r="F1441" s="8" t="inlineStr">
        <is>
          <t>Yes</t>
        </is>
      </c>
      <c r="G1441" s="8" t="n">
        <v>40</v>
      </c>
    </row>
    <row r="1442">
      <c r="A1442" s="8" t="inlineStr">
        <is>
          <t>POST</t>
        </is>
      </c>
      <c r="B1442" s="8" t="inlineStr">
        <is>
          <t>/api/v1/setup/import/{entity}</t>
        </is>
      </c>
      <c r="C1442" s="8" t="inlineStr">
        <is>
          <t>auth</t>
        </is>
      </c>
      <c r="D1442" s="8" t="inlineStr">
        <is>
          <t>worker/src/routes/setup/imports.ts</t>
        </is>
      </c>
      <c r="E1442" s="8" t="n">
        <v>1581</v>
      </c>
      <c r="F1442" s="8" t="inlineStr">
        <is>
          <t>Yes</t>
        </is>
      </c>
      <c r="G1442" s="8" t="n">
        <v>40</v>
      </c>
    </row>
    <row r="1443">
      <c r="A1443" s="8" t="inlineStr">
        <is>
          <t>GET</t>
        </is>
      </c>
      <c r="B1443" s="8" t="inlineStr">
        <is>
          <t>/api/v1/setup/institution</t>
        </is>
      </c>
      <c r="C1443" s="8" t="inlineStr">
        <is>
          <t>institution.read</t>
        </is>
      </c>
      <c r="D1443" s="8" t="inlineStr">
        <is>
          <t>worker/src/routes/setup/profile.ts</t>
        </is>
      </c>
      <c r="E1443" s="8" t="n">
        <v>162</v>
      </c>
      <c r="F1443" s="8" t="inlineStr">
        <is>
          <t>Yes</t>
        </is>
      </c>
      <c r="G1443" s="8" t="n">
        <v>6</v>
      </c>
    </row>
    <row r="1444">
      <c r="A1444" s="8" t="inlineStr">
        <is>
          <t>GET</t>
        </is>
      </c>
      <c r="B1444" s="8" t="inlineStr">
        <is>
          <t>/api/v1/setup/institution/options</t>
        </is>
      </c>
      <c r="C1444" s="8" t="inlineStr">
        <is>
          <t>institution.read</t>
        </is>
      </c>
      <c r="D1444" s="8" t="inlineStr">
        <is>
          <t>worker/src/routes/setup/profile.ts</t>
        </is>
      </c>
      <c r="E1444" s="8" t="n">
        <v>178</v>
      </c>
      <c r="F1444" s="8" t="inlineStr">
        <is>
          <t>Yes</t>
        </is>
      </c>
      <c r="G1444" s="8" t="n">
        <v>6</v>
      </c>
    </row>
    <row r="1445">
      <c r="A1445" s="8" t="inlineStr">
        <is>
          <t>GET</t>
        </is>
      </c>
      <c r="B1445" s="8" t="inlineStr">
        <is>
          <t>/api/v1/setup/boards</t>
        </is>
      </c>
      <c r="C1445" s="8" t="inlineStr">
        <is>
          <t>institution.read</t>
        </is>
      </c>
      <c r="D1445" s="8" t="inlineStr">
        <is>
          <t>worker/src/routes/setup/profile.ts</t>
        </is>
      </c>
      <c r="E1445" s="8" t="n">
        <v>183</v>
      </c>
      <c r="F1445" s="8" t="inlineStr">
        <is>
          <t>Yes</t>
        </is>
      </c>
      <c r="G1445" s="8" t="n">
        <v>6</v>
      </c>
    </row>
    <row r="1446">
      <c r="A1446" s="8" t="inlineStr">
        <is>
          <t>POST</t>
        </is>
      </c>
      <c r="B1446" s="8" t="inlineStr">
        <is>
          <t>/api/v1/setup/boards/apply</t>
        </is>
      </c>
      <c r="C1446" s="8" t="inlineStr">
        <is>
          <t>institution.settings.write</t>
        </is>
      </c>
      <c r="D1446" s="8" t="inlineStr">
        <is>
          <t>worker/src/routes/setup/profile.ts</t>
        </is>
      </c>
      <c r="E1446" s="8" t="n">
        <v>185</v>
      </c>
      <c r="F1446" s="8" t="inlineStr">
        <is>
          <t>Yes</t>
        </is>
      </c>
      <c r="G1446" s="8" t="n">
        <v>6</v>
      </c>
    </row>
    <row r="1447">
      <c r="A1447" s="8" t="inlineStr">
        <is>
          <t>GET</t>
        </is>
      </c>
      <c r="B1447" s="8" t="inlineStr">
        <is>
          <t>/api/v1/setup/option-kinds</t>
        </is>
      </c>
      <c r="C1447" s="8" t="inlineStr">
        <is>
          <t>institution.read</t>
        </is>
      </c>
      <c r="D1447" s="8" t="inlineStr">
        <is>
          <t>worker/src/routes/setup/profile.ts</t>
        </is>
      </c>
      <c r="E1447" s="8" t="n">
        <v>209</v>
      </c>
      <c r="F1447" s="8" t="inlineStr">
        <is>
          <t>Yes</t>
        </is>
      </c>
      <c r="G1447" s="8" t="n">
        <v>6</v>
      </c>
    </row>
    <row r="1448">
      <c r="A1448" s="8" t="inlineStr">
        <is>
          <t>GET</t>
        </is>
      </c>
      <c r="B1448" s="8" t="inlineStr">
        <is>
          <t>/api/v1/setup/options</t>
        </is>
      </c>
      <c r="C1448" s="8" t="inlineStr">
        <is>
          <t>institution.read</t>
        </is>
      </c>
      <c r="D1448" s="8" t="inlineStr">
        <is>
          <t>worker/src/routes/setup/profile.ts</t>
        </is>
      </c>
      <c r="E1448" s="8" t="n">
        <v>216</v>
      </c>
      <c r="F1448" s="8" t="inlineStr">
        <is>
          <t>Yes</t>
        </is>
      </c>
      <c r="G1448" s="8" t="n">
        <v>6</v>
      </c>
    </row>
    <row r="1449">
      <c r="A1449" s="8" t="inlineStr">
        <is>
          <t>POST</t>
        </is>
      </c>
      <c r="B1449" s="8" t="inlineStr">
        <is>
          <t>/api/v1/setup/options</t>
        </is>
      </c>
      <c r="C1449" s="8" t="inlineStr">
        <is>
          <t>institution.settings.write</t>
        </is>
      </c>
      <c r="D1449" s="8" t="inlineStr">
        <is>
          <t>worker/src/routes/setup/profile.ts</t>
        </is>
      </c>
      <c r="E1449" s="8" t="n">
        <v>225</v>
      </c>
      <c r="F1449" s="8" t="inlineStr">
        <is>
          <t>Yes</t>
        </is>
      </c>
      <c r="G1449" s="8" t="n">
        <v>6</v>
      </c>
    </row>
    <row r="1450">
      <c r="A1450" s="8" t="inlineStr">
        <is>
          <t>DELETE</t>
        </is>
      </c>
      <c r="B1450" s="8" t="inlineStr">
        <is>
          <t>/api/v1/setup/options/{id}</t>
        </is>
      </c>
      <c r="C1450" s="8" t="inlineStr">
        <is>
          <t>institution.settings.write</t>
        </is>
      </c>
      <c r="D1450" s="8" t="inlineStr">
        <is>
          <t>worker/src/routes/setup/profile.ts</t>
        </is>
      </c>
      <c r="E1450" s="8" t="n">
        <v>259</v>
      </c>
      <c r="F1450" s="8" t="inlineStr">
        <is>
          <t>Yes</t>
        </is>
      </c>
      <c r="G1450" s="8" t="n">
        <v>6</v>
      </c>
    </row>
    <row r="1451">
      <c r="A1451" s="8" t="inlineStr">
        <is>
          <t>PUT</t>
        </is>
      </c>
      <c r="B1451" s="8" t="inlineStr">
        <is>
          <t>/api/v1/setup/institution</t>
        </is>
      </c>
      <c r="C1451" s="8" t="inlineStr">
        <is>
          <t>institution.write</t>
        </is>
      </c>
      <c r="D1451" s="8" t="inlineStr">
        <is>
          <t>worker/src/routes/setup/profile.ts</t>
        </is>
      </c>
      <c r="E1451" s="8" t="n">
        <v>268</v>
      </c>
      <c r="F1451" s="8" t="inlineStr">
        <is>
          <t>Yes</t>
        </is>
      </c>
      <c r="G1451" s="8" t="n">
        <v>6</v>
      </c>
    </row>
    <row r="1452">
      <c r="A1452" s="8" t="inlineStr">
        <is>
          <t>GET</t>
        </is>
      </c>
      <c r="B1452" s="8" t="inlineStr">
        <is>
          <t>/api/v1/setup/payments</t>
        </is>
      </c>
      <c r="C1452" s="8" t="inlineStr">
        <is>
          <t>institution.read</t>
        </is>
      </c>
      <c r="D1452" s="8" t="inlineStr">
        <is>
          <t>worker/src/routes/setup/profile.ts</t>
        </is>
      </c>
      <c r="E1452" s="8" t="n">
        <v>326</v>
      </c>
      <c r="F1452" s="8" t="inlineStr">
        <is>
          <t>Yes</t>
        </is>
      </c>
      <c r="G1452" s="8" t="n">
        <v>6</v>
      </c>
    </row>
    <row r="1453">
      <c r="A1453" s="8" t="inlineStr">
        <is>
          <t>PUT</t>
        </is>
      </c>
      <c r="B1453" s="8" t="inlineStr">
        <is>
          <t>/api/v1/setup/payments</t>
        </is>
      </c>
      <c r="C1453" s="8" t="inlineStr">
        <is>
          <t>institution.write</t>
        </is>
      </c>
      <c r="D1453" s="8" t="inlineStr">
        <is>
          <t>worker/src/routes/setup/profile.ts</t>
        </is>
      </c>
      <c r="E1453" s="8" t="n">
        <v>337</v>
      </c>
      <c r="F1453" s="8" t="inlineStr">
        <is>
          <t>Yes</t>
        </is>
      </c>
      <c r="G1453" s="8" t="n">
        <v>6</v>
      </c>
    </row>
    <row r="1454">
      <c r="A1454" s="8" t="inlineStr">
        <is>
          <t>GET</t>
        </is>
      </c>
      <c r="B1454" s="8" t="inlineStr">
        <is>
          <t>/api/v1/setup/campuses</t>
        </is>
      </c>
      <c r="C1454" s="8" t="inlineStr">
        <is>
          <t>institution.read</t>
        </is>
      </c>
      <c r="D1454" s="8" t="inlineStr">
        <is>
          <t>worker/src/routes/setup/profile.ts</t>
        </is>
      </c>
      <c r="E1454" s="8" t="n">
        <v>356</v>
      </c>
      <c r="F1454" s="8" t="inlineStr">
        <is>
          <t>Yes</t>
        </is>
      </c>
      <c r="G1454" s="8" t="n">
        <v>6</v>
      </c>
    </row>
    <row r="1455">
      <c r="A1455" s="8" t="inlineStr">
        <is>
          <t>POST</t>
        </is>
      </c>
      <c r="B1455" s="8" t="inlineStr">
        <is>
          <t>/api/v1/setup/campuses</t>
        </is>
      </c>
      <c r="C1455" s="8" t="inlineStr">
        <is>
          <t>institution.write</t>
        </is>
      </c>
      <c r="D1455" s="8" t="inlineStr">
        <is>
          <t>worker/src/routes/setup/profile.ts</t>
        </is>
      </c>
      <c r="E1455" s="8" t="n">
        <v>371</v>
      </c>
      <c r="F1455" s="8" t="inlineStr">
        <is>
          <t>Yes</t>
        </is>
      </c>
      <c r="G1455" s="8" t="n">
        <v>6</v>
      </c>
    </row>
    <row r="1456">
      <c r="A1456" s="8" t="inlineStr">
        <is>
          <t>PUT</t>
        </is>
      </c>
      <c r="B1456" s="8" t="inlineStr">
        <is>
          <t>/api/v1/setup/campuses/{id}</t>
        </is>
      </c>
      <c r="C1456" s="8" t="inlineStr">
        <is>
          <t>institution.write</t>
        </is>
      </c>
      <c r="D1456" s="8" t="inlineStr">
        <is>
          <t>worker/src/routes/setup/profile.ts</t>
        </is>
      </c>
      <c r="E1456" s="8" t="n">
        <v>392</v>
      </c>
      <c r="F1456" s="8" t="inlineStr">
        <is>
          <t>Yes</t>
        </is>
      </c>
      <c r="G1456" s="8" t="n">
        <v>6</v>
      </c>
    </row>
    <row r="1457">
      <c r="A1457" s="8" t="inlineStr">
        <is>
          <t>POST</t>
        </is>
      </c>
      <c r="B1457" s="8" t="inlineStr">
        <is>
          <t>/api/v1/setup/reset</t>
        </is>
      </c>
      <c r="C1457" s="8" t="inlineStr">
        <is>
          <t>institution.settings.write</t>
        </is>
      </c>
      <c r="D1457" s="8" t="inlineStr">
        <is>
          <t>worker/src/routes/setup/reset.ts</t>
        </is>
      </c>
      <c r="E1457" s="8" t="n">
        <v>17</v>
      </c>
      <c r="F1457" s="8" t="inlineStr">
        <is>
          <t>Yes</t>
        </is>
      </c>
      <c r="G1457" s="8" t="n">
        <v>1</v>
      </c>
    </row>
    <row r="1458">
      <c r="A1458" s="8" t="inlineStr">
        <is>
          <t>POST</t>
        </is>
      </c>
      <c r="B1458" s="8" t="inlineStr">
        <is>
          <t>/api/v1/setup/employees</t>
        </is>
      </c>
      <c r="C1458" s="8" t="inlineStr">
        <is>
          <t>hr.employees.write</t>
        </is>
      </c>
      <c r="D1458" s="8" t="inlineStr">
        <is>
          <t>worker/src/routes/setup/staff.ts</t>
        </is>
      </c>
      <c r="E1458" s="8" t="n">
        <v>207</v>
      </c>
      <c r="F1458" s="8" t="inlineStr">
        <is>
          <t>Yes</t>
        </is>
      </c>
      <c r="G1458" s="8" t="n">
        <v>22</v>
      </c>
    </row>
    <row r="1459">
      <c r="A1459" s="8" t="inlineStr">
        <is>
          <t>PATCH</t>
        </is>
      </c>
      <c r="B1459" s="8" t="inlineStr">
        <is>
          <t>/api/v1/setup/employees/{id}</t>
        </is>
      </c>
      <c r="C1459" s="8" t="inlineStr">
        <is>
          <t>hr.employees.write</t>
        </is>
      </c>
      <c r="D1459" s="8" t="inlineStr">
        <is>
          <t>worker/src/routes/setup/staff.ts</t>
        </is>
      </c>
      <c r="E1459" s="8" t="n">
        <v>236</v>
      </c>
      <c r="F1459" s="8" t="inlineStr">
        <is>
          <t>Yes</t>
        </is>
      </c>
      <c r="G1459" s="8" t="n">
        <v>22</v>
      </c>
    </row>
    <row r="1460">
      <c r="A1460" s="8" t="inlineStr">
        <is>
          <t>GET</t>
        </is>
      </c>
      <c r="B1460" s="8" t="inlineStr">
        <is>
          <t>/api/v1/setup/work-patterns</t>
        </is>
      </c>
      <c r="C1460" s="8" t="inlineStr">
        <is>
          <t>hr.employees.read</t>
        </is>
      </c>
      <c r="D1460" s="8" t="inlineStr">
        <is>
          <t>worker/src/routes/setup/staff.ts</t>
        </is>
      </c>
      <c r="E1460" s="8" t="n">
        <v>312</v>
      </c>
      <c r="F1460" s="8" t="inlineStr">
        <is>
          <t>Yes</t>
        </is>
      </c>
      <c r="G1460" s="8" t="n">
        <v>22</v>
      </c>
    </row>
    <row r="1461">
      <c r="A1461" s="8" t="inlineStr">
        <is>
          <t>GET</t>
        </is>
      </c>
      <c r="B1461" s="8" t="inlineStr">
        <is>
          <t>/api/v1/setup/work-patterns/staff</t>
        </is>
      </c>
      <c r="C1461" s="8" t="inlineStr">
        <is>
          <t>hr.employees.read</t>
        </is>
      </c>
      <c r="D1461" s="8" t="inlineStr">
        <is>
          <t>worker/src/routes/setup/staff.ts</t>
        </is>
      </c>
      <c r="E1461" s="8" t="n">
        <v>335</v>
      </c>
      <c r="F1461" s="8" t="inlineStr">
        <is>
          <t>Yes</t>
        </is>
      </c>
      <c r="G1461" s="8" t="n">
        <v>22</v>
      </c>
    </row>
    <row r="1462">
      <c r="A1462" s="8" t="inlineStr">
        <is>
          <t>GET</t>
        </is>
      </c>
      <c r="B1462" s="8" t="inlineStr">
        <is>
          <t>/api/v1/setup/departments</t>
        </is>
      </c>
      <c r="C1462" s="8" t="inlineStr">
        <is>
          <t>hr.employees.read</t>
        </is>
      </c>
      <c r="D1462" s="8" t="inlineStr">
        <is>
          <t>worker/src/routes/setup/staff.ts</t>
        </is>
      </c>
      <c r="E1462" s="8" t="n">
        <v>345</v>
      </c>
      <c r="F1462" s="8" t="inlineStr">
        <is>
          <t>Yes</t>
        </is>
      </c>
      <c r="G1462" s="8" t="n">
        <v>22</v>
      </c>
    </row>
    <row r="1463">
      <c r="A1463" s="8" t="inlineStr">
        <is>
          <t>POST</t>
        </is>
      </c>
      <c r="B1463" s="8" t="inlineStr">
        <is>
          <t>/api/v1/setup/work-patterns</t>
        </is>
      </c>
      <c r="C1463" s="8" t="inlineStr">
        <is>
          <t>hr.employees.write</t>
        </is>
      </c>
      <c r="D1463" s="8" t="inlineStr">
        <is>
          <t>worker/src/routes/setup/staff.ts</t>
        </is>
      </c>
      <c r="E1463" s="8" t="n">
        <v>351</v>
      </c>
      <c r="F1463" s="8" t="inlineStr">
        <is>
          <t>Yes</t>
        </is>
      </c>
      <c r="G1463" s="8" t="n">
        <v>22</v>
      </c>
    </row>
    <row r="1464">
      <c r="A1464" s="8" t="inlineStr">
        <is>
          <t>DELETE</t>
        </is>
      </c>
      <c r="B1464" s="8" t="inlineStr">
        <is>
          <t>/api/v1/setup/work-patterns/{id}</t>
        </is>
      </c>
      <c r="C1464" s="8" t="inlineStr">
        <is>
          <t>hr.employees.write</t>
        </is>
      </c>
      <c r="D1464" s="8" t="inlineStr">
        <is>
          <t>worker/src/routes/setup/staff.ts</t>
        </is>
      </c>
      <c r="E1464" s="8" t="n">
        <v>393</v>
      </c>
      <c r="F1464" s="8" t="inlineStr">
        <is>
          <t>Yes</t>
        </is>
      </c>
      <c r="G1464" s="8" t="n">
        <v>22</v>
      </c>
    </row>
    <row r="1465">
      <c r="A1465" s="8" t="inlineStr">
        <is>
          <t>POST</t>
        </is>
      </c>
      <c r="B1465" s="8" t="inlineStr">
        <is>
          <t>/api/v1/setup/work-patterns/assign</t>
        </is>
      </c>
      <c r="C1465" s="8" t="inlineStr">
        <is>
          <t>hr.employees.write</t>
        </is>
      </c>
      <c r="D1465" s="8" t="inlineStr">
        <is>
          <t>worker/src/routes/setup/staff.ts</t>
        </is>
      </c>
      <c r="E1465" s="8" t="n">
        <v>406</v>
      </c>
      <c r="F1465" s="8" t="inlineStr">
        <is>
          <t>Yes</t>
        </is>
      </c>
      <c r="G1465" s="8" t="n">
        <v>22</v>
      </c>
    </row>
    <row r="1466">
      <c r="A1466" s="8" t="inlineStr">
        <is>
          <t>GET</t>
        </is>
      </c>
      <c r="B1466" s="8" t="inlineStr">
        <is>
          <t>/api/v1/setup/staff-hours</t>
        </is>
      </c>
      <c r="C1466" s="8" t="inlineStr">
        <is>
          <t>hr.employees.read</t>
        </is>
      </c>
      <c r="D1466" s="8" t="inlineStr">
        <is>
          <t>worker/src/routes/setup/staff.ts</t>
        </is>
      </c>
      <c r="E1466" s="8" t="n">
        <v>424</v>
      </c>
      <c r="F1466" s="8" t="inlineStr">
        <is>
          <t>Yes</t>
        </is>
      </c>
      <c r="G1466" s="8" t="n">
        <v>22</v>
      </c>
    </row>
    <row r="1467">
      <c r="A1467" s="8" t="inlineStr">
        <is>
          <t>GET</t>
        </is>
      </c>
      <c r="B1467" s="8" t="inlineStr">
        <is>
          <t>/api/v1/setup/staff-hours/{id}</t>
        </is>
      </c>
      <c r="C1467" s="8" t="inlineStr">
        <is>
          <t>hr.employees.read</t>
        </is>
      </c>
      <c r="D1467" s="8" t="inlineStr">
        <is>
          <t>worker/src/routes/setup/staff.ts</t>
        </is>
      </c>
      <c r="E1467" s="8" t="n">
        <v>489</v>
      </c>
      <c r="F1467" s="8" t="inlineStr">
        <is>
          <t>Yes</t>
        </is>
      </c>
      <c r="G1467" s="8" t="n">
        <v>22</v>
      </c>
    </row>
    <row r="1468">
      <c r="A1468" s="8" t="inlineStr">
        <is>
          <t>POST</t>
        </is>
      </c>
      <c r="B1468" s="8" t="inlineStr">
        <is>
          <t>/api/v1/setup/employees/{id}/login</t>
        </is>
      </c>
      <c r="C1468" s="8" t="inlineStr">
        <is>
          <t>hr.employees.write</t>
        </is>
      </c>
      <c r="D1468" s="8" t="inlineStr">
        <is>
          <t>worker/src/routes/setup/staff.ts</t>
        </is>
      </c>
      <c r="E1468" s="8" t="n">
        <v>525</v>
      </c>
      <c r="F1468" s="8" t="inlineStr">
        <is>
          <t>Yes</t>
        </is>
      </c>
      <c r="G1468" s="8" t="n">
        <v>22</v>
      </c>
    </row>
    <row r="1469">
      <c r="A1469" s="8" t="inlineStr">
        <is>
          <t>POST</t>
        </is>
      </c>
      <c r="B1469" s="8" t="inlineStr">
        <is>
          <t>/api/v1/setup/employees/{id}/pin</t>
        </is>
      </c>
      <c r="C1469" s="8" t="inlineStr">
        <is>
          <t>hr.employees.write</t>
        </is>
      </c>
      <c r="D1469" s="8" t="inlineStr">
        <is>
          <t>worker/src/routes/setup/staff.ts</t>
        </is>
      </c>
      <c r="E1469" s="8" t="n">
        <v>605</v>
      </c>
      <c r="F1469" s="8" t="inlineStr">
        <is>
          <t>Yes</t>
        </is>
      </c>
      <c r="G1469" s="8" t="n">
        <v>22</v>
      </c>
    </row>
    <row r="1470">
      <c r="A1470" s="8" t="inlineStr">
        <is>
          <t>PUT</t>
        </is>
      </c>
      <c r="B1470" s="8" t="inlineStr">
        <is>
          <t>/api/v1/setup/employees/{id}/photo</t>
        </is>
      </c>
      <c r="C1470" s="8" t="inlineStr">
        <is>
          <t>hr.employees.write</t>
        </is>
      </c>
      <c r="D1470" s="8" t="inlineStr">
        <is>
          <t>worker/src/routes/setup/staff.ts</t>
        </is>
      </c>
      <c r="E1470" s="8" t="n">
        <v>629</v>
      </c>
      <c r="F1470" s="8" t="inlineStr">
        <is>
          <t>Yes</t>
        </is>
      </c>
      <c r="G1470" s="8" t="n">
        <v>22</v>
      </c>
    </row>
    <row r="1471">
      <c r="A1471" s="8" t="inlineStr">
        <is>
          <t>POST</t>
        </is>
      </c>
      <c r="B1471" s="8" t="inlineStr">
        <is>
          <t>/api/v1/setup/employees/{id}/documents</t>
        </is>
      </c>
      <c r="C1471" s="8" t="inlineStr">
        <is>
          <t>hr.employees.write</t>
        </is>
      </c>
      <c r="D1471" s="8" t="inlineStr">
        <is>
          <t>worker/src/routes/setup/staff.ts</t>
        </is>
      </c>
      <c r="E1471" s="8" t="n">
        <v>639</v>
      </c>
      <c r="F1471" s="8" t="inlineStr">
        <is>
          <t>Yes</t>
        </is>
      </c>
      <c r="G1471" s="8" t="n">
        <v>22</v>
      </c>
    </row>
    <row r="1472">
      <c r="A1472" s="8" t="inlineStr">
        <is>
          <t>DELETE</t>
        </is>
      </c>
      <c r="B1472" s="8" t="inlineStr">
        <is>
          <t>/api/v1/setup/employees/{id}/documents/{docID}</t>
        </is>
      </c>
      <c r="C1472" s="8" t="inlineStr">
        <is>
          <t>hr.employees.write</t>
        </is>
      </c>
      <c r="D1472" s="8" t="inlineStr">
        <is>
          <t>worker/src/routes/setup/staff.ts</t>
        </is>
      </c>
      <c r="E1472" s="8" t="n">
        <v>654</v>
      </c>
      <c r="F1472" s="8" t="inlineStr">
        <is>
          <t>Yes</t>
        </is>
      </c>
      <c r="G1472" s="8" t="n">
        <v>22</v>
      </c>
    </row>
    <row r="1473">
      <c r="A1473" s="8" t="inlineStr">
        <is>
          <t>POST</t>
        </is>
      </c>
      <c r="B1473" s="8" t="inlineStr">
        <is>
          <t>/api/v1/setup/employees/{id}/custom-fields</t>
        </is>
      </c>
      <c r="C1473" s="8" t="inlineStr">
        <is>
          <t>hr.employees.write</t>
        </is>
      </c>
      <c r="D1473" s="8" t="inlineStr">
        <is>
          <t>worker/src/routes/setup/staff.ts</t>
        </is>
      </c>
      <c r="E1473" s="8" t="n">
        <v>662</v>
      </c>
      <c r="F1473" s="8" t="inlineStr">
        <is>
          <t>Yes</t>
        </is>
      </c>
      <c r="G1473" s="8" t="n">
        <v>22</v>
      </c>
    </row>
    <row r="1474">
      <c r="A1474" s="8" t="inlineStr">
        <is>
          <t>POST</t>
        </is>
      </c>
      <c r="B1474" s="8" t="inlineStr">
        <is>
          <t>/api/v1/setup/employees/{id}/subjects</t>
        </is>
      </c>
      <c r="C1474" s="8" t="inlineStr">
        <is>
          <t>hr.employees.write</t>
        </is>
      </c>
      <c r="D1474" s="8" t="inlineStr">
        <is>
          <t>worker/src/routes/setup/staff.ts</t>
        </is>
      </c>
      <c r="E1474" s="8" t="n">
        <v>688</v>
      </c>
      <c r="F1474" s="8" t="inlineStr">
        <is>
          <t>Yes</t>
        </is>
      </c>
      <c r="G1474" s="8" t="n">
        <v>22</v>
      </c>
    </row>
    <row r="1475">
      <c r="A1475" s="8" t="inlineStr">
        <is>
          <t>DELETE</t>
        </is>
      </c>
      <c r="B1475" s="8" t="inlineStr">
        <is>
          <t>/api/v1/setup/employees/{id}/subjects/{allocID}</t>
        </is>
      </c>
      <c r="C1475" s="8" t="inlineStr">
        <is>
          <t>hr.employees.write</t>
        </is>
      </c>
      <c r="D1475" s="8" t="inlineStr">
        <is>
          <t>worker/src/routes/setup/staff.ts</t>
        </is>
      </c>
      <c r="E1475" s="8" t="n">
        <v>705</v>
      </c>
      <c r="F1475" s="8" t="inlineStr">
        <is>
          <t>Yes</t>
        </is>
      </c>
      <c r="G1475" s="8" t="n">
        <v>22</v>
      </c>
    </row>
    <row r="1476">
      <c r="A1476" s="8" t="inlineStr">
        <is>
          <t>POST</t>
        </is>
      </c>
      <c r="B1476" s="8" t="inlineStr">
        <is>
          <t>/api/v1/setup/logins/import</t>
        </is>
      </c>
      <c r="C1476" s="8" t="inlineStr">
        <is>
          <t>hr.employees.write</t>
        </is>
      </c>
      <c r="D1476" s="8" t="inlineStr">
        <is>
          <t>worker/src/routes/setup/staff.ts</t>
        </is>
      </c>
      <c r="E1476" s="8" t="n">
        <v>713</v>
      </c>
      <c r="F1476" s="8" t="inlineStr">
        <is>
          <t>Yes</t>
        </is>
      </c>
      <c r="G1476" s="8" t="n">
        <v>22</v>
      </c>
    </row>
    <row r="1477">
      <c r="A1477" s="8" t="inlineStr">
        <is>
          <t>GET</t>
        </is>
      </c>
      <c r="B1477" s="8" t="inlineStr">
        <is>
          <t>/api/v1/setup/biometric-devices</t>
        </is>
      </c>
      <c r="C1477" s="8" t="inlineStr">
        <is>
          <t>hr.employees.read</t>
        </is>
      </c>
      <c r="D1477" s="8" t="inlineStr">
        <is>
          <t>worker/src/routes/setup/staff.ts</t>
        </is>
      </c>
      <c r="E1477" s="8" t="n">
        <v>739</v>
      </c>
      <c r="F1477" s="8" t="inlineStr">
        <is>
          <t>Yes</t>
        </is>
      </c>
      <c r="G1477" s="8" t="n">
        <v>22</v>
      </c>
    </row>
    <row r="1478">
      <c r="A1478" s="8" t="inlineStr">
        <is>
          <t>POST</t>
        </is>
      </c>
      <c r="B1478" s="8" t="inlineStr">
        <is>
          <t>/api/v1/setup/biometric-devices</t>
        </is>
      </c>
      <c r="C1478" s="8" t="inlineStr">
        <is>
          <t>hr.employees.write</t>
        </is>
      </c>
      <c r="D1478" s="8" t="inlineStr">
        <is>
          <t>worker/src/routes/setup/staff.ts</t>
        </is>
      </c>
      <c r="E1478" s="8" t="n">
        <v>759</v>
      </c>
      <c r="F1478" s="8" t="inlineStr">
        <is>
          <t>Yes</t>
        </is>
      </c>
      <c r="G1478" s="8" t="n">
        <v>22</v>
      </c>
    </row>
    <row r="1479">
      <c r="A1479" s="8" t="inlineStr">
        <is>
          <t>GET</t>
        </is>
      </c>
      <c r="B1479" s="8" t="inlineStr">
        <is>
          <t>/api/v1/setup/biometric-devices/unclaimed</t>
        </is>
      </c>
      <c r="C1479" s="8" t="inlineStr">
        <is>
          <t>hr.employees.read</t>
        </is>
      </c>
      <c r="D1479" s="8" t="inlineStr">
        <is>
          <t>worker/src/routes/setup/staff.ts</t>
        </is>
      </c>
      <c r="E1479" s="8" t="n">
        <v>778</v>
      </c>
      <c r="F1479" s="8" t="inlineStr">
        <is>
          <t>Yes</t>
        </is>
      </c>
      <c r="G1479" s="8" t="n">
        <v>22</v>
      </c>
    </row>
    <row r="1480">
      <c r="A1480" s="8" t="inlineStr">
        <is>
          <t>POST</t>
        </is>
      </c>
      <c r="B1480" s="8" t="inlineStr">
        <is>
          <t>/api/v1/setup/students/{id}/login</t>
        </is>
      </c>
      <c r="C1480" s="8" t="inlineStr">
        <is>
          <t>students.write</t>
        </is>
      </c>
      <c r="D1480" s="8" t="inlineStr">
        <is>
          <t>worker/src/routes/setup/staff.ts</t>
        </is>
      </c>
      <c r="E1480" s="8" t="n">
        <v>791</v>
      </c>
      <c r="F1480" s="8" t="inlineStr">
        <is>
          <t>Yes</t>
        </is>
      </c>
      <c r="G1480" s="8" t="n">
        <v>22</v>
      </c>
    </row>
    <row r="1481">
      <c r="A1481" s="8" t="inlineStr">
        <is>
          <t>POST</t>
        </is>
      </c>
      <c r="B1481" s="8" t="inlineStr">
        <is>
          <t>/api/v1/setup/guardians/{id}/login</t>
        </is>
      </c>
      <c r="C1481" s="8" t="inlineStr">
        <is>
          <t>students.write</t>
        </is>
      </c>
      <c r="D1481" s="8" t="inlineStr">
        <is>
          <t>worker/src/routes/setup/staff.ts</t>
        </is>
      </c>
      <c r="E1481" s="8" t="n">
        <v>837</v>
      </c>
      <c r="F1481" s="8" t="inlineStr">
        <is>
          <t>Yes</t>
        </is>
      </c>
      <c r="G1481" s="8" t="n">
        <v>22</v>
      </c>
    </row>
    <row r="1482">
      <c r="A1482" s="8" t="inlineStr">
        <is>
          <t>POST</t>
        </is>
      </c>
      <c r="B1482" s="8" t="inlineStr">
        <is>
          <t>/api/v1/setup/credentials/email</t>
        </is>
      </c>
      <c r="C1482" s="8" t="inlineStr">
        <is>
          <t>auth</t>
        </is>
      </c>
      <c r="D1482" s="8" t="inlineStr">
        <is>
          <t>worker/src/routes/setup/staff.ts</t>
        </is>
      </c>
      <c r="E1482" s="8" t="n">
        <v>943</v>
      </c>
      <c r="F1482" s="8" t="inlineStr">
        <is>
          <t>Yes</t>
        </is>
      </c>
      <c r="G1482" s="8" t="n">
        <v>22</v>
      </c>
    </row>
    <row r="1483">
      <c r="A1483" s="8" t="inlineStr">
        <is>
          <t>GET</t>
        </is>
      </c>
      <c r="B1483" s="8" t="inlineStr">
        <is>
          <t>/api/v1/setup/logins/roster</t>
        </is>
      </c>
      <c r="C1483" s="8" t="inlineStr">
        <is>
          <t>auth</t>
        </is>
      </c>
      <c r="D1483" s="8" t="inlineStr">
        <is>
          <t>worker/src/routes/setup/staff.ts</t>
        </is>
      </c>
      <c r="E1483" s="8" t="n">
        <v>991</v>
      </c>
      <c r="F1483" s="8" t="inlineStr">
        <is>
          <t>Yes</t>
        </is>
      </c>
      <c r="G1483" s="8" t="n">
        <v>22</v>
      </c>
    </row>
    <row r="1484">
      <c r="A1484" s="8" t="inlineStr">
        <is>
          <t>POST</t>
        </is>
      </c>
      <c r="B1484" s="8" t="inlineStr">
        <is>
          <t>/api/v1/setup/logins/bulk</t>
        </is>
      </c>
      <c r="C1484" s="8" t="inlineStr">
        <is>
          <t>auth</t>
        </is>
      </c>
      <c r="D1484" s="8" t="inlineStr">
        <is>
          <t>worker/src/routes/setup/staff.ts</t>
        </is>
      </c>
      <c r="E1484" s="8" t="n">
        <v>1121</v>
      </c>
      <c r="F1484" s="8" t="inlineStr">
        <is>
          <t>Yes</t>
        </is>
      </c>
      <c r="G1484" s="8" t="n">
        <v>22</v>
      </c>
    </row>
    <row r="1485">
      <c r="A1485" s="8" t="inlineStr">
        <is>
          <t>GET</t>
        </is>
      </c>
      <c r="B1485" s="8" t="inlineStr">
        <is>
          <t>/api/v1/statutory/loc/submissions</t>
        </is>
      </c>
      <c r="C1485" s="8" t="inlineStr">
        <is>
          <t>PERM_READ</t>
        </is>
      </c>
      <c r="D1485" s="8" t="inlineStr">
        <is>
          <t>worker/src/routes/statutory.ts</t>
        </is>
      </c>
      <c r="E1485" s="8" t="n">
        <v>391</v>
      </c>
      <c r="F1485" s="8" t="inlineStr">
        <is>
          <t>Yes</t>
        </is>
      </c>
      <c r="G1485" s="8" t="n">
        <v>37</v>
      </c>
    </row>
    <row r="1486">
      <c r="A1486" s="8" t="inlineStr">
        <is>
          <t>GET</t>
        </is>
      </c>
      <c r="B1486" s="8" t="inlineStr">
        <is>
          <t>/api/v1/statutory/loc/submissions/{id}</t>
        </is>
      </c>
      <c r="C1486" s="8" t="inlineStr">
        <is>
          <t>PERM_READ</t>
        </is>
      </c>
      <c r="D1486" s="8" t="inlineStr">
        <is>
          <t>worker/src/routes/statutory.ts</t>
        </is>
      </c>
      <c r="E1486" s="8" t="n">
        <v>396</v>
      </c>
      <c r="F1486" s="8" t="inlineStr">
        <is>
          <t>Yes</t>
        </is>
      </c>
      <c r="G1486" s="8" t="n">
        <v>37</v>
      </c>
    </row>
    <row r="1487">
      <c r="A1487" s="8" t="inlineStr">
        <is>
          <t>GET</t>
        </is>
      </c>
      <c r="B1487" s="8" t="inlineStr">
        <is>
          <t>/api/v1/statutory/loc/submissions/{id}/export</t>
        </is>
      </c>
      <c r="C1487" s="8" t="inlineStr">
        <is>
          <t>PERM_READ</t>
        </is>
      </c>
      <c r="D1487" s="8" t="inlineStr">
        <is>
          <t>worker/src/routes/statutory.ts</t>
        </is>
      </c>
      <c r="E1487" s="8" t="n">
        <v>405</v>
      </c>
      <c r="F1487" s="8" t="inlineStr">
        <is>
          <t>Yes</t>
        </is>
      </c>
      <c r="G1487" s="8" t="n">
        <v>37</v>
      </c>
    </row>
    <row r="1488">
      <c r="A1488" s="8" t="inlineStr">
        <is>
          <t>POST</t>
        </is>
      </c>
      <c r="B1488" s="8" t="inlineStr">
        <is>
          <t>/api/v1/statutory/loc/submissions</t>
        </is>
      </c>
      <c r="C1488" s="8" t="inlineStr">
        <is>
          <t>PERM_EXAM_WRITE</t>
        </is>
      </c>
      <c r="D1488" s="8" t="inlineStr">
        <is>
          <t>worker/src/routes/statutory.ts</t>
        </is>
      </c>
      <c r="E1488" s="8" t="n">
        <v>422</v>
      </c>
      <c r="F1488" s="8" t="inlineStr">
        <is>
          <t>Yes</t>
        </is>
      </c>
      <c r="G1488" s="8" t="n">
        <v>37</v>
      </c>
    </row>
    <row r="1489">
      <c r="A1489" s="8" t="inlineStr">
        <is>
          <t>POST</t>
        </is>
      </c>
      <c r="B1489" s="8" t="inlineStr">
        <is>
          <t>/api/v1/statutory/loc/submissions/{id}/validate</t>
        </is>
      </c>
      <c r="C1489" s="8" t="inlineStr">
        <is>
          <t>PERM_EXAM_WRITE</t>
        </is>
      </c>
      <c r="D1489" s="8" t="inlineStr">
        <is>
          <t>worker/src/routes/statutory.ts</t>
        </is>
      </c>
      <c r="E1489" s="8" t="n">
        <v>457</v>
      </c>
      <c r="F1489" s="8" t="inlineStr">
        <is>
          <t>Yes</t>
        </is>
      </c>
      <c r="G1489" s="8" t="n">
        <v>37</v>
      </c>
    </row>
    <row r="1490">
      <c r="A1490" s="8" t="inlineStr">
        <is>
          <t>POST</t>
        </is>
      </c>
      <c r="B1490" s="8" t="inlineStr">
        <is>
          <t>/api/v1/statutory/loc/submissions/{id}/file</t>
        </is>
      </c>
      <c r="C1490" s="8" t="inlineStr">
        <is>
          <t>PERM_EXAM_WRITE</t>
        </is>
      </c>
      <c r="D1490" s="8" t="inlineStr">
        <is>
          <t>worker/src/routes/statutory.ts</t>
        </is>
      </c>
      <c r="E1490" s="8" t="n">
        <v>470</v>
      </c>
      <c r="F1490" s="8" t="inlineStr">
        <is>
          <t>Yes</t>
        </is>
      </c>
      <c r="G1490" s="8" t="n">
        <v>37</v>
      </c>
    </row>
    <row r="1491">
      <c r="A1491" s="8" t="inlineStr">
        <is>
          <t>GET</t>
        </is>
      </c>
      <c r="B1491" s="8" t="inlineStr">
        <is>
          <t>/api/v1/statutory/loc/subject-rules</t>
        </is>
      </c>
      <c r="C1491" s="8" t="inlineStr">
        <is>
          <t>PERM_READ</t>
        </is>
      </c>
      <c r="D1491" s="8" t="inlineStr">
        <is>
          <t>worker/src/routes/statutory.ts</t>
        </is>
      </c>
      <c r="E1491" s="8" t="n">
        <v>501</v>
      </c>
      <c r="F1491" s="8" t="inlineStr">
        <is>
          <t>No</t>
        </is>
      </c>
      <c r="G1491" s="8" t="n">
        <v>37</v>
      </c>
    </row>
    <row r="1492">
      <c r="A1492" s="8" t="inlineStr">
        <is>
          <t>POST</t>
        </is>
      </c>
      <c r="B1492" s="8" t="inlineStr">
        <is>
          <t>/api/v1/statutory/loc/subject-rules</t>
        </is>
      </c>
      <c r="C1492" s="8" t="inlineStr">
        <is>
          <t>PERM_EXAM_WRITE</t>
        </is>
      </c>
      <c r="D1492" s="8" t="inlineStr">
        <is>
          <t>worker/src/routes/statutory.ts</t>
        </is>
      </c>
      <c r="E1492" s="8" t="n">
        <v>522</v>
      </c>
      <c r="F1492" s="8" t="inlineStr">
        <is>
          <t>No</t>
        </is>
      </c>
      <c r="G1492" s="8" t="n">
        <v>37</v>
      </c>
    </row>
    <row r="1493">
      <c r="A1493" s="8" t="inlineStr">
        <is>
          <t>DELETE</t>
        </is>
      </c>
      <c r="B1493" s="8" t="inlineStr">
        <is>
          <t>/api/v1/statutory/loc/subject-rules/{id}</t>
        </is>
      </c>
      <c r="C1493" s="8" t="inlineStr">
        <is>
          <t>PERM_EXAM_WRITE</t>
        </is>
      </c>
      <c r="D1493" s="8" t="inlineStr">
        <is>
          <t>worker/src/routes/statutory.ts</t>
        </is>
      </c>
      <c r="E1493" s="8" t="n">
        <v>570</v>
      </c>
      <c r="F1493" s="8" t="inlineStr">
        <is>
          <t>No</t>
        </is>
      </c>
      <c r="G1493" s="8" t="n">
        <v>37</v>
      </c>
    </row>
    <row r="1494">
      <c r="A1494" s="8" t="inlineStr">
        <is>
          <t>GET</t>
        </is>
      </c>
      <c r="B1494" s="8" t="inlineStr">
        <is>
          <t>/api/v1/statutory/sqaa/frameworks</t>
        </is>
      </c>
      <c r="C1494" s="8" t="inlineStr">
        <is>
          <t>PERM_READ</t>
        </is>
      </c>
      <c r="D1494" s="8" t="inlineStr">
        <is>
          <t>worker/src/routes/statutory.ts</t>
        </is>
      </c>
      <c r="E1494" s="8" t="n">
        <v>665</v>
      </c>
      <c r="F1494" s="8" t="inlineStr">
        <is>
          <t>Yes</t>
        </is>
      </c>
      <c r="G1494" s="8" t="n">
        <v>37</v>
      </c>
    </row>
    <row r="1495">
      <c r="A1495" s="8" t="inlineStr">
        <is>
          <t>GET</t>
        </is>
      </c>
      <c r="B1495" s="8" t="inlineStr">
        <is>
          <t>/api/v1/statutory/sqaa/assessments</t>
        </is>
      </c>
      <c r="C1495" s="8" t="inlineStr">
        <is>
          <t>PERM_READ</t>
        </is>
      </c>
      <c r="D1495" s="8" t="inlineStr">
        <is>
          <t>worker/src/routes/statutory.ts</t>
        </is>
      </c>
      <c r="E1495" s="8" t="n">
        <v>680</v>
      </c>
      <c r="F1495" s="8" t="inlineStr">
        <is>
          <t>Yes</t>
        </is>
      </c>
      <c r="G1495" s="8" t="n">
        <v>37</v>
      </c>
    </row>
    <row r="1496">
      <c r="A1496" s="8" t="inlineStr">
        <is>
          <t>GET</t>
        </is>
      </c>
      <c r="B1496" s="8" t="inlineStr">
        <is>
          <t>/api/v1/statutory/sqaa/assessments/{id}</t>
        </is>
      </c>
      <c r="C1496" s="8" t="inlineStr">
        <is>
          <t>PERM_READ</t>
        </is>
      </c>
      <c r="D1496" s="8" t="inlineStr">
        <is>
          <t>worker/src/routes/statutory.ts</t>
        </is>
      </c>
      <c r="E1496" s="8" t="n">
        <v>685</v>
      </c>
      <c r="F1496" s="8" t="inlineStr">
        <is>
          <t>Yes</t>
        </is>
      </c>
      <c r="G1496" s="8" t="n">
        <v>37</v>
      </c>
    </row>
    <row r="1497">
      <c r="A1497" s="8" t="inlineStr">
        <is>
          <t>POST</t>
        </is>
      </c>
      <c r="B1497" s="8" t="inlineStr">
        <is>
          <t>/api/v1/statutory/sqaa/assessments</t>
        </is>
      </c>
      <c r="C1497" s="8" t="inlineStr">
        <is>
          <t>PERM_FILE_RETURN</t>
        </is>
      </c>
      <c r="D1497" s="8" t="inlineStr">
        <is>
          <t>worker/src/routes/statutory.ts</t>
        </is>
      </c>
      <c r="E1497" s="8" t="n">
        <v>727</v>
      </c>
      <c r="F1497" s="8" t="inlineStr">
        <is>
          <t>Yes</t>
        </is>
      </c>
      <c r="G1497" s="8" t="n">
        <v>37</v>
      </c>
    </row>
    <row r="1498">
      <c r="A1498" s="8" t="inlineStr">
        <is>
          <t>PUT</t>
        </is>
      </c>
      <c r="B1498" s="8" t="inlineStr">
        <is>
          <t>/api/v1/statutory/sqaa/assessments/{id}/entries</t>
        </is>
      </c>
      <c r="C1498" s="8" t="inlineStr">
        <is>
          <t>PERM_FILE_RETURN</t>
        </is>
      </c>
      <c r="D1498" s="8" t="inlineStr">
        <is>
          <t>worker/src/routes/statutory.ts</t>
        </is>
      </c>
      <c r="E1498" s="8" t="n">
        <v>783</v>
      </c>
      <c r="F1498" s="8" t="inlineStr">
        <is>
          <t>Yes</t>
        </is>
      </c>
      <c r="G1498" s="8" t="n">
        <v>37</v>
      </c>
    </row>
    <row r="1499">
      <c r="A1499" s="8" t="inlineStr">
        <is>
          <t>POST</t>
        </is>
      </c>
      <c r="B1499" s="8" t="inlineStr">
        <is>
          <t>/api/v1/statutory/sqaa/assessments/{id}/submit</t>
        </is>
      </c>
      <c r="C1499" s="8" t="inlineStr">
        <is>
          <t>PERM_FILE_RETURN</t>
        </is>
      </c>
      <c r="D1499" s="8" t="inlineStr">
        <is>
          <t>worker/src/routes/statutory.ts</t>
        </is>
      </c>
      <c r="E1499" s="8" t="n">
        <v>810</v>
      </c>
      <c r="F1499" s="8" t="inlineStr">
        <is>
          <t>Yes</t>
        </is>
      </c>
      <c r="G1499" s="8" t="n">
        <v>37</v>
      </c>
    </row>
    <row r="1500">
      <c r="A1500" s="8" t="inlineStr">
        <is>
          <t>POST</t>
        </is>
      </c>
      <c r="B1500" s="8" t="inlineStr">
        <is>
          <t>/api/v1/statutory/sqaa/entries/{id}/evidence</t>
        </is>
      </c>
      <c r="C1500" s="8" t="inlineStr">
        <is>
          <t>PERM_FILE_RETURN</t>
        </is>
      </c>
      <c r="D1500" s="8" t="inlineStr">
        <is>
          <t>worker/src/routes/statutory.ts</t>
        </is>
      </c>
      <c r="E1500" s="8" t="n">
        <v>837</v>
      </c>
      <c r="F1500" s="8" t="inlineStr">
        <is>
          <t>Yes</t>
        </is>
      </c>
      <c r="G1500" s="8" t="n">
        <v>37</v>
      </c>
    </row>
    <row r="1501">
      <c r="A1501" s="8" t="inlineStr">
        <is>
          <t>DELETE</t>
        </is>
      </c>
      <c r="B1501" s="8" t="inlineStr">
        <is>
          <t>/api/v1/statutory/sqaa/evidence/{id}</t>
        </is>
      </c>
      <c r="C1501" s="8" t="inlineStr">
        <is>
          <t>PERM_FILE_RETURN</t>
        </is>
      </c>
      <c r="D1501" s="8" t="inlineStr">
        <is>
          <t>worker/src/routes/statutory.ts</t>
        </is>
      </c>
      <c r="E1501" s="8" t="n">
        <v>861</v>
      </c>
      <c r="F1501" s="8" t="inlineStr">
        <is>
          <t>No</t>
        </is>
      </c>
      <c r="G1501" s="8" t="n">
        <v>37</v>
      </c>
    </row>
    <row r="1502">
      <c r="A1502" s="8" t="inlineStr">
        <is>
          <t>GET</t>
        </is>
      </c>
      <c r="B1502" s="8" t="inlineStr">
        <is>
          <t>/api/v1/statutory/sqaa/actions</t>
        </is>
      </c>
      <c r="C1502" s="8" t="inlineStr">
        <is>
          <t>PERM_READ</t>
        </is>
      </c>
      <c r="D1502" s="8" t="inlineStr">
        <is>
          <t>worker/src/routes/statutory.ts</t>
        </is>
      </c>
      <c r="E1502" s="8" t="n">
        <v>874</v>
      </c>
      <c r="F1502" s="8" t="inlineStr">
        <is>
          <t>Yes</t>
        </is>
      </c>
      <c r="G1502" s="8" t="n">
        <v>37</v>
      </c>
    </row>
    <row r="1503">
      <c r="A1503" s="8" t="inlineStr">
        <is>
          <t>POST</t>
        </is>
      </c>
      <c r="B1503" s="8" t="inlineStr">
        <is>
          <t>/api/v1/statutory/sqaa/actions</t>
        </is>
      </c>
      <c r="C1503" s="8" t="inlineStr">
        <is>
          <t>PERM_FILE_RETURN</t>
        </is>
      </c>
      <c r="D1503" s="8" t="inlineStr">
        <is>
          <t>worker/src/routes/statutory.ts</t>
        </is>
      </c>
      <c r="E1503" s="8" t="n">
        <v>885</v>
      </c>
      <c r="F1503" s="8" t="inlineStr">
        <is>
          <t>Yes</t>
        </is>
      </c>
      <c r="G1503" s="8" t="n">
        <v>37</v>
      </c>
    </row>
    <row r="1504">
      <c r="A1504" s="8" t="inlineStr">
        <is>
          <t>GET</t>
        </is>
      </c>
      <c r="B1504" s="8" t="inlineStr">
        <is>
          <t>/api/v1/statutory/child-info/imports</t>
        </is>
      </c>
      <c r="C1504" s="8" t="inlineStr">
        <is>
          <t>PERM_READ</t>
        </is>
      </c>
      <c r="D1504" s="8" t="inlineStr">
        <is>
          <t>worker/src/routes/statutory.ts</t>
        </is>
      </c>
      <c r="E1504" s="8" t="n">
        <v>1200</v>
      </c>
      <c r="F1504" s="8" t="inlineStr">
        <is>
          <t>Yes</t>
        </is>
      </c>
      <c r="G1504" s="8" t="n">
        <v>37</v>
      </c>
    </row>
    <row r="1505">
      <c r="A1505" s="8" t="inlineStr">
        <is>
          <t>GET</t>
        </is>
      </c>
      <c r="B1505" s="8" t="inlineStr">
        <is>
          <t>/api/v1/statutory/child-info/differences</t>
        </is>
      </c>
      <c r="C1505" s="8" t="inlineStr">
        <is>
          <t>PERM_READ</t>
        </is>
      </c>
      <c r="D1505" s="8" t="inlineStr">
        <is>
          <t>worker/src/routes/statutory.ts</t>
        </is>
      </c>
      <c r="E1505" s="8" t="n">
        <v>1217</v>
      </c>
      <c r="F1505" s="8" t="inlineStr">
        <is>
          <t>Yes</t>
        </is>
      </c>
      <c r="G1505" s="8" t="n">
        <v>37</v>
      </c>
    </row>
    <row r="1506">
      <c r="A1506" s="8" t="inlineStr">
        <is>
          <t>GET</t>
        </is>
      </c>
      <c r="B1506" s="8" t="inlineStr">
        <is>
          <t>/api/v1/statutory/child-info/resolutions</t>
        </is>
      </c>
      <c r="C1506" s="8" t="inlineStr">
        <is>
          <t>PERM_READ</t>
        </is>
      </c>
      <c r="D1506" s="8" t="inlineStr">
        <is>
          <t>worker/src/routes/statutory.ts</t>
        </is>
      </c>
      <c r="E1506" s="8" t="n">
        <v>1237</v>
      </c>
      <c r="F1506" s="8" t="inlineStr">
        <is>
          <t>Yes</t>
        </is>
      </c>
      <c r="G1506" s="8" t="n">
        <v>37</v>
      </c>
    </row>
    <row r="1507">
      <c r="A1507" s="8" t="inlineStr">
        <is>
          <t>POST</t>
        </is>
      </c>
      <c r="B1507" s="8" t="inlineStr">
        <is>
          <t>/api/v1/statutory/child-info/import</t>
        </is>
      </c>
      <c r="C1507" s="8" t="inlineStr">
        <is>
          <t>PERM_STUDENT_WRITE</t>
        </is>
      </c>
      <c r="D1507" s="8" t="inlineStr">
        <is>
          <t>worker/src/routes/statutory.ts</t>
        </is>
      </c>
      <c r="E1507" s="8" t="n">
        <v>1256</v>
      </c>
      <c r="F1507" s="8" t="inlineStr">
        <is>
          <t>Yes</t>
        </is>
      </c>
      <c r="G1507" s="8" t="n">
        <v>37</v>
      </c>
    </row>
    <row r="1508">
      <c r="A1508" s="8" t="inlineStr">
        <is>
          <t>POST</t>
        </is>
      </c>
      <c r="B1508" s="8" t="inlineStr">
        <is>
          <t>/api/v1/statutory/child-info/differences/{id}/resolve</t>
        </is>
      </c>
      <c r="C1508" s="8" t="inlineStr">
        <is>
          <t>PERM_STUDENT_WRITE</t>
        </is>
      </c>
      <c r="D1508" s="8" t="inlineStr">
        <is>
          <t>worker/src/routes/statutory.ts</t>
        </is>
      </c>
      <c r="E1508" s="8" t="n">
        <v>1340</v>
      </c>
      <c r="F1508" s="8" t="inlineStr">
        <is>
          <t>Yes</t>
        </is>
      </c>
      <c r="G1508" s="8" t="n">
        <v>37</v>
      </c>
    </row>
    <row r="1509">
      <c r="A1509" s="8" t="inlineStr">
        <is>
          <t>DELETE</t>
        </is>
      </c>
      <c r="B1509" s="8" t="inlineStr">
        <is>
          <t>/api/v1/statutory/child-info/resolutions/{id}</t>
        </is>
      </c>
      <c r="C1509" s="8" t="inlineStr">
        <is>
          <t>PERM_STUDENT_WRITE</t>
        </is>
      </c>
      <c r="D1509" s="8" t="inlineStr">
        <is>
          <t>worker/src/routes/statutory.ts</t>
        </is>
      </c>
      <c r="E1509" s="8" t="n">
        <v>1381</v>
      </c>
      <c r="F1509" s="8" t="inlineStr">
        <is>
          <t>Yes</t>
        </is>
      </c>
      <c r="G1509" s="8" t="n">
        <v>37</v>
      </c>
    </row>
    <row r="1510">
      <c r="A1510" s="8" t="inlineStr">
        <is>
          <t>GET</t>
        </is>
      </c>
      <c r="B1510" s="8" t="inlineStr">
        <is>
          <t>/api/v1/statutory/working-days</t>
        </is>
      </c>
      <c r="C1510" s="8" t="inlineStr">
        <is>
          <t>PERM_READ</t>
        </is>
      </c>
      <c r="D1510" s="8" t="inlineStr">
        <is>
          <t>worker/src/routes/statutory.ts</t>
        </is>
      </c>
      <c r="E1510" s="8" t="n">
        <v>1593</v>
      </c>
      <c r="F1510" s="8" t="inlineStr">
        <is>
          <t>Yes</t>
        </is>
      </c>
      <c r="G1510" s="8" t="n">
        <v>37</v>
      </c>
    </row>
    <row r="1511">
      <c r="A1511" s="8" t="inlineStr">
        <is>
          <t>GET</t>
        </is>
      </c>
      <c r="B1511" s="8" t="inlineStr">
        <is>
          <t>/api/v1/statutory/working-days/norms</t>
        </is>
      </c>
      <c r="C1511" s="8" t="inlineStr">
        <is>
          <t>PERM_READ</t>
        </is>
      </c>
      <c r="D1511" s="8" t="inlineStr">
        <is>
          <t>worker/src/routes/statutory.ts</t>
        </is>
      </c>
      <c r="E1511" s="8" t="n">
        <v>1608</v>
      </c>
      <c r="F1511" s="8" t="inlineStr">
        <is>
          <t>Yes</t>
        </is>
      </c>
      <c r="G1511" s="8" t="n">
        <v>37</v>
      </c>
    </row>
    <row r="1512">
      <c r="A1512" s="8" t="inlineStr">
        <is>
          <t>PUT</t>
        </is>
      </c>
      <c r="B1512" s="8" t="inlineStr">
        <is>
          <t>/api/v1/statutory/working-days/norms</t>
        </is>
      </c>
      <c r="C1512" s="8" t="inlineStr">
        <is>
          <t>PERM_ACADEMICS_WRITE</t>
        </is>
      </c>
      <c r="D1512" s="8" t="inlineStr">
        <is>
          <t>worker/src/routes/statutory.ts</t>
        </is>
      </c>
      <c r="E1512" s="8" t="n">
        <v>1620</v>
      </c>
      <c r="F1512" s="8" t="inlineStr">
        <is>
          <t>Yes</t>
        </is>
      </c>
      <c r="G1512" s="8" t="n">
        <v>37</v>
      </c>
    </row>
    <row r="1513">
      <c r="A1513" s="8" t="inlineStr">
        <is>
          <t>GET</t>
        </is>
      </c>
      <c r="B1513" s="8" t="inlineStr">
        <is>
          <t>/api/v1/statutory/working-days/adjustments</t>
        </is>
      </c>
      <c r="C1513" s="8" t="inlineStr">
        <is>
          <t>PERM_READ</t>
        </is>
      </c>
      <c r="D1513" s="8" t="inlineStr">
        <is>
          <t>worker/src/routes/statutory.ts</t>
        </is>
      </c>
      <c r="E1513" s="8" t="n">
        <v>1644</v>
      </c>
      <c r="F1513" s="8" t="inlineStr">
        <is>
          <t>Yes</t>
        </is>
      </c>
      <c r="G1513" s="8" t="n">
        <v>37</v>
      </c>
    </row>
    <row r="1514">
      <c r="A1514" s="8" t="inlineStr">
        <is>
          <t>POST</t>
        </is>
      </c>
      <c r="B1514" s="8" t="inlineStr">
        <is>
          <t>/api/v1/statutory/working-days/adjustments</t>
        </is>
      </c>
      <c r="C1514" s="8" t="inlineStr">
        <is>
          <t>PERM_ACADEMICS_WRITE</t>
        </is>
      </c>
      <c r="D1514" s="8" t="inlineStr">
        <is>
          <t>worker/src/routes/statutory.ts</t>
        </is>
      </c>
      <c r="E1514" s="8" t="n">
        <v>1662</v>
      </c>
      <c r="F1514" s="8" t="inlineStr">
        <is>
          <t>Yes</t>
        </is>
      </c>
      <c r="G1514" s="8" t="n">
        <v>37</v>
      </c>
    </row>
    <row r="1515">
      <c r="A1515" s="8" t="inlineStr">
        <is>
          <t>DELETE</t>
        </is>
      </c>
      <c r="B1515" s="8" t="inlineStr">
        <is>
          <t>/api/v1/statutory/working-days/adjustments/{id}</t>
        </is>
      </c>
      <c r="C1515" s="8" t="inlineStr">
        <is>
          <t>PERM_ACADEMICS_WRITE</t>
        </is>
      </c>
      <c r="D1515" s="8" t="inlineStr">
        <is>
          <t>worker/src/routes/statutory.ts</t>
        </is>
      </c>
      <c r="E1515" s="8" t="n">
        <v>1689</v>
      </c>
      <c r="F1515" s="8" t="inlineStr">
        <is>
          <t>Yes</t>
        </is>
      </c>
      <c r="G1515" s="8" t="n">
        <v>37</v>
      </c>
    </row>
    <row r="1516">
      <c r="A1516" s="8" t="inlineStr">
        <is>
          <t>GET</t>
        </is>
      </c>
      <c r="B1516" s="8" t="inlineStr">
        <is>
          <t>/api/v1/statutory/working-days/returns</t>
        </is>
      </c>
      <c r="C1516" s="8" t="inlineStr">
        <is>
          <t>PERM_READ</t>
        </is>
      </c>
      <c r="D1516" s="8" t="inlineStr">
        <is>
          <t>worker/src/routes/statutory.ts</t>
        </is>
      </c>
      <c r="E1516" s="8" t="n">
        <v>1696</v>
      </c>
      <c r="F1516" s="8" t="inlineStr">
        <is>
          <t>Yes</t>
        </is>
      </c>
      <c r="G1516" s="8" t="n">
        <v>37</v>
      </c>
    </row>
    <row r="1517">
      <c r="A1517" s="8" t="inlineStr">
        <is>
          <t>POST</t>
        </is>
      </c>
      <c r="B1517" s="8" t="inlineStr">
        <is>
          <t>/api/v1/statutory/working-days/returns</t>
        </is>
      </c>
      <c r="C1517" s="8" t="inlineStr">
        <is>
          <t>PERM_FILE_RETURN</t>
        </is>
      </c>
      <c r="D1517" s="8" t="inlineStr">
        <is>
          <t>worker/src/routes/statutory.ts</t>
        </is>
      </c>
      <c r="E1517" s="8" t="n">
        <v>1731</v>
      </c>
      <c r="F1517" s="8" t="inlineStr">
        <is>
          <t>Yes</t>
        </is>
      </c>
      <c r="G1517" s="8" t="n">
        <v>37</v>
      </c>
    </row>
    <row r="1518">
      <c r="A1518" s="8" t="inlineStr">
        <is>
          <t>GET</t>
        </is>
      </c>
      <c r="B1518" s="8" t="inlineStr">
        <is>
          <t>/api/v1/statutory/portal/connectors</t>
        </is>
      </c>
      <c r="C1518" s="8" t="inlineStr">
        <is>
          <t>PERM_VENDOR</t>
        </is>
      </c>
      <c r="D1518" s="8" t="inlineStr">
        <is>
          <t>worker/src/routes/statutory.ts</t>
        </is>
      </c>
      <c r="E1518" s="8" t="n">
        <v>1820</v>
      </c>
      <c r="F1518" s="8" t="inlineStr">
        <is>
          <t>Yes</t>
        </is>
      </c>
      <c r="G1518" s="8" t="n">
        <v>37</v>
      </c>
    </row>
    <row r="1519">
      <c r="A1519" s="8" t="inlineStr">
        <is>
          <t>POST</t>
        </is>
      </c>
      <c r="B1519" s="8" t="inlineStr">
        <is>
          <t>/api/v1/statutory/portal/connectors</t>
        </is>
      </c>
      <c r="C1519" s="8" t="inlineStr">
        <is>
          <t>PERM_VENDOR</t>
        </is>
      </c>
      <c r="D1519" s="8" t="inlineStr">
        <is>
          <t>worker/src/routes/statutory.ts</t>
        </is>
      </c>
      <c r="E1519" s="8" t="n">
        <v>1845</v>
      </c>
      <c r="F1519" s="8" t="inlineStr">
        <is>
          <t>Yes</t>
        </is>
      </c>
      <c r="G1519" s="8" t="n">
        <v>37</v>
      </c>
    </row>
    <row r="1520">
      <c r="A1520" s="8" t="inlineStr">
        <is>
          <t>DELETE</t>
        </is>
      </c>
      <c r="B1520" s="8" t="inlineStr">
        <is>
          <t>/api/v1/statutory/portal/connectors/{id}</t>
        </is>
      </c>
      <c r="C1520" s="8" t="inlineStr">
        <is>
          <t>PERM_VENDOR</t>
        </is>
      </c>
      <c r="D1520" s="8" t="inlineStr">
        <is>
          <t>worker/src/routes/statutory.ts</t>
        </is>
      </c>
      <c r="E1520" s="8" t="n">
        <v>1890</v>
      </c>
      <c r="F1520" s="8" t="inlineStr">
        <is>
          <t>Yes</t>
        </is>
      </c>
      <c r="G1520" s="8" t="n">
        <v>37</v>
      </c>
    </row>
    <row r="1521">
      <c r="A1521" s="8" t="inlineStr">
        <is>
          <t>GET</t>
        </is>
      </c>
      <c r="B1521" s="8" t="inlineStr">
        <is>
          <t>/api/v1/statutory/portal/runs</t>
        </is>
      </c>
      <c r="C1521" s="8" t="inlineStr">
        <is>
          <t>PERM_VENDOR</t>
        </is>
      </c>
      <c r="D1521" s="8" t="inlineStr">
        <is>
          <t>worker/src/routes/statutory.ts</t>
        </is>
      </c>
      <c r="E1521" s="8" t="n">
        <v>1898</v>
      </c>
      <c r="F1521" s="8" t="inlineStr">
        <is>
          <t>Yes</t>
        </is>
      </c>
      <c r="G1521" s="8" t="n">
        <v>37</v>
      </c>
    </row>
    <row r="1522">
      <c r="A1522" s="8" t="inlineStr">
        <is>
          <t>POST</t>
        </is>
      </c>
      <c r="B1522" s="8" t="inlineStr">
        <is>
          <t>/api/v1/statutory/portal/connectors/{id}/runs</t>
        </is>
      </c>
      <c r="C1522" s="8" t="inlineStr">
        <is>
          <t>PERM_VENDOR</t>
        </is>
      </c>
      <c r="D1522" s="8" t="inlineStr">
        <is>
          <t>worker/src/routes/statutory.ts</t>
        </is>
      </c>
      <c r="E1522" s="8" t="n">
        <v>1923</v>
      </c>
      <c r="F1522" s="8" t="inlineStr">
        <is>
          <t>Yes</t>
        </is>
      </c>
      <c r="G1522" s="8" t="n">
        <v>37</v>
      </c>
    </row>
    <row r="1523">
      <c r="A1523" s="8" t="inlineStr">
        <is>
          <t>GET</t>
        </is>
      </c>
      <c r="B1523" s="8" t="inlineStr">
        <is>
          <t>/api/v1/statutory/portal/export</t>
        </is>
      </c>
      <c r="C1523" s="8" t="inlineStr">
        <is>
          <t>PERM_VENDOR</t>
        </is>
      </c>
      <c r="D1523" s="8" t="inlineStr">
        <is>
          <t>worker/src/routes/statutory.ts</t>
        </is>
      </c>
      <c r="E1523" s="8" t="n">
        <v>1956</v>
      </c>
      <c r="F1523" s="8" t="inlineStr">
        <is>
          <t>Yes</t>
        </is>
      </c>
      <c r="G1523" s="8" t="n">
        <v>37</v>
      </c>
    </row>
    <row r="1524">
      <c r="A1524" s="8" t="inlineStr">
        <is>
          <t>GET</t>
        </is>
      </c>
      <c r="B1524" s="8" t="inlineStr">
        <is>
          <t>/api/v1/students/notes</t>
        </is>
      </c>
      <c r="C1524" s="8" t="inlineStr">
        <is>
          <t>students.read</t>
        </is>
      </c>
      <c r="D1524" s="8" t="inlineStr">
        <is>
          <t>worker/src/routes/students.ts</t>
        </is>
      </c>
      <c r="E1524" s="8" t="n">
        <v>30</v>
      </c>
      <c r="F1524" s="8" t="inlineStr">
        <is>
          <t>Yes</t>
        </is>
      </c>
      <c r="G1524" s="8" t="n">
        <v>48</v>
      </c>
    </row>
    <row r="1525">
      <c r="A1525" s="8" t="inlineStr">
        <is>
          <t>POST</t>
        </is>
      </c>
      <c r="B1525" s="8" t="inlineStr">
        <is>
          <t>/api/v1/students/notes</t>
        </is>
      </c>
      <c r="C1525" s="8" t="inlineStr">
        <is>
          <t>welfare.discipline.write</t>
        </is>
      </c>
      <c r="D1525" s="8" t="inlineStr">
        <is>
          <t>worker/src/routes/students.ts</t>
        </is>
      </c>
      <c r="E1525" s="8" t="n">
        <v>31</v>
      </c>
      <c r="F1525" s="8" t="inlineStr">
        <is>
          <t>Yes</t>
        </is>
      </c>
      <c r="G1525" s="8" t="n">
        <v>48</v>
      </c>
    </row>
    <row r="1526">
      <c r="A1526" s="8" t="inlineStr">
        <is>
          <t>GET</t>
        </is>
      </c>
      <c r="B1526" s="8" t="inlineStr">
        <is>
          <t>/api/v1/students/support-plans</t>
        </is>
      </c>
      <c r="C1526" s="8" t="inlineStr">
        <is>
          <t>students.read</t>
        </is>
      </c>
      <c r="D1526" s="8" t="inlineStr">
        <is>
          <t>worker/src/routes/students.ts</t>
        </is>
      </c>
      <c r="E1526" s="8" t="n">
        <v>32</v>
      </c>
      <c r="F1526" s="8" t="inlineStr">
        <is>
          <t>Yes</t>
        </is>
      </c>
      <c r="G1526" s="8" t="n">
        <v>48</v>
      </c>
    </row>
    <row r="1527">
      <c r="A1527" s="8" t="inlineStr">
        <is>
          <t>PUT</t>
        </is>
      </c>
      <c r="B1527" s="8" t="inlineStr">
        <is>
          <t>/api/v1/students/support-plans</t>
        </is>
      </c>
      <c r="C1527" s="8" t="inlineStr">
        <is>
          <t>students.write</t>
        </is>
      </c>
      <c r="D1527" s="8" t="inlineStr">
        <is>
          <t>worker/src/routes/students.ts</t>
        </is>
      </c>
      <c r="E1527" s="8" t="n">
        <v>33</v>
      </c>
      <c r="F1527" s="8" t="inlineStr">
        <is>
          <t>Yes</t>
        </is>
      </c>
      <c r="G1527" s="8" t="n">
        <v>48</v>
      </c>
    </row>
    <row r="1528">
      <c r="A1528" s="8" t="inlineStr">
        <is>
          <t>GET</t>
        </is>
      </c>
      <c r="B1528" s="8" t="inlineStr">
        <is>
          <t>/api/v1/students/import/template</t>
        </is>
      </c>
      <c r="C1528" s="8" t="inlineStr">
        <is>
          <t>students.read</t>
        </is>
      </c>
      <c r="D1528" s="8" t="inlineStr">
        <is>
          <t>worker/src/routes/students.ts</t>
        </is>
      </c>
      <c r="E1528" s="8" t="n">
        <v>36</v>
      </c>
      <c r="F1528" s="8" t="inlineStr">
        <is>
          <t>Yes</t>
        </is>
      </c>
      <c r="G1528" s="8" t="n">
        <v>48</v>
      </c>
    </row>
    <row r="1529">
      <c r="A1529" s="8" t="inlineStr">
        <is>
          <t>GET</t>
        </is>
      </c>
      <c r="B1529" s="8" t="inlineStr">
        <is>
          <t>/api/v1/students/fee-preview</t>
        </is>
      </c>
      <c r="C1529" s="8" t="inlineStr">
        <is>
          <t>students.read</t>
        </is>
      </c>
      <c r="D1529" s="8" t="inlineStr">
        <is>
          <t>worker/src/routes/students.ts</t>
        </is>
      </c>
      <c r="E1529" s="8" t="n">
        <v>38</v>
      </c>
      <c r="F1529" s="8" t="inlineStr">
        <is>
          <t>Yes</t>
        </is>
      </c>
      <c r="G1529" s="8" t="n">
        <v>48</v>
      </c>
    </row>
    <row r="1530">
      <c r="A1530" s="8" t="inlineStr">
        <is>
          <t>GET</t>
        </is>
      </c>
      <c r="B1530" s="8" t="inlineStr">
        <is>
          <t>/api/v1/students/counts</t>
        </is>
      </c>
      <c r="C1530" s="8" t="inlineStr">
        <is>
          <t>students.read</t>
        </is>
      </c>
      <c r="D1530" s="8" t="inlineStr">
        <is>
          <t>worker/src/routes/students.ts</t>
        </is>
      </c>
      <c r="E1530" s="8" t="n">
        <v>39</v>
      </c>
      <c r="F1530" s="8" t="inlineStr">
        <is>
          <t>Yes</t>
        </is>
      </c>
      <c r="G1530" s="8" t="n">
        <v>48</v>
      </c>
    </row>
    <row r="1531">
      <c r="A1531" s="8" t="inlineStr">
        <is>
          <t>POST</t>
        </is>
      </c>
      <c r="B1531" s="8" t="inlineStr">
        <is>
          <t>/api/v1/students/import</t>
        </is>
      </c>
      <c r="C1531" s="8" t="inlineStr">
        <is>
          <t>students.write</t>
        </is>
      </c>
      <c r="D1531" s="8" t="inlineStr">
        <is>
          <t>worker/src/routes/students.ts</t>
        </is>
      </c>
      <c r="E1531" s="8" t="n">
        <v>40</v>
      </c>
      <c r="F1531" s="8" t="inlineStr">
        <is>
          <t>Yes</t>
        </is>
      </c>
      <c r="G1531" s="8" t="n">
        <v>48</v>
      </c>
    </row>
    <row r="1532">
      <c r="A1532" s="8" t="inlineStr">
        <is>
          <t>POST</t>
        </is>
      </c>
      <c r="B1532" s="8" t="inlineStr">
        <is>
          <t>/api/v1/students/photos/import</t>
        </is>
      </c>
      <c r="C1532" s="8" t="inlineStr">
        <is>
          <t>students.write</t>
        </is>
      </c>
      <c r="D1532" s="8" t="inlineStr">
        <is>
          <t>worker/src/routes/students.ts</t>
        </is>
      </c>
      <c r="E1532" s="8" t="n">
        <v>41</v>
      </c>
      <c r="F1532" s="8" t="inlineStr">
        <is>
          <t>Yes</t>
        </is>
      </c>
      <c r="G1532" s="8" t="n">
        <v>48</v>
      </c>
    </row>
    <row r="1533">
      <c r="A1533" s="8" t="inlineStr">
        <is>
          <t>GET</t>
        </is>
      </c>
      <c r="B1533" s="8" t="inlineStr">
        <is>
          <t>/api/v1/students</t>
        </is>
      </c>
      <c r="C1533" s="8" t="inlineStr">
        <is>
          <t>students.read</t>
        </is>
      </c>
      <c r="D1533" s="8" t="inlineStr">
        <is>
          <t>worker/src/routes/students.ts</t>
        </is>
      </c>
      <c r="E1533" s="8" t="n">
        <v>44</v>
      </c>
      <c r="F1533" s="8" t="inlineStr">
        <is>
          <t>Yes</t>
        </is>
      </c>
      <c r="G1533" s="8" t="n">
        <v>48</v>
      </c>
    </row>
    <row r="1534">
      <c r="A1534" s="8" t="inlineStr">
        <is>
          <t>POST</t>
        </is>
      </c>
      <c r="B1534" s="8" t="inlineStr">
        <is>
          <t>/api/v1/students</t>
        </is>
      </c>
      <c r="C1534" s="8" t="inlineStr">
        <is>
          <t>students.write</t>
        </is>
      </c>
      <c r="D1534" s="8" t="inlineStr">
        <is>
          <t>worker/src/routes/students.ts</t>
        </is>
      </c>
      <c r="E1534" s="8" t="n">
        <v>45</v>
      </c>
      <c r="F1534" s="8" t="inlineStr">
        <is>
          <t>Yes</t>
        </is>
      </c>
      <c r="G1534" s="8" t="n">
        <v>48</v>
      </c>
    </row>
    <row r="1535">
      <c r="A1535" s="8" t="inlineStr">
        <is>
          <t>GET</t>
        </is>
      </c>
      <c r="B1535" s="8" t="inlineStr">
        <is>
          <t>/api/v1/students/{id}</t>
        </is>
      </c>
      <c r="C1535" s="8" t="inlineStr">
        <is>
          <t>students.read</t>
        </is>
      </c>
      <c r="D1535" s="8" t="inlineStr">
        <is>
          <t>worker/src/routes/students.ts</t>
        </is>
      </c>
      <c r="E1535" s="8" t="n">
        <v>46</v>
      </c>
      <c r="F1535" s="8" t="inlineStr">
        <is>
          <t>Yes</t>
        </is>
      </c>
      <c r="G1535" s="8" t="n">
        <v>48</v>
      </c>
    </row>
    <row r="1536">
      <c r="A1536" s="8" t="inlineStr">
        <is>
          <t>PUT</t>
        </is>
      </c>
      <c r="B1536" s="8" t="inlineStr">
        <is>
          <t>/api/v1/students/{id}</t>
        </is>
      </c>
      <c r="C1536" s="8" t="inlineStr">
        <is>
          <t>students.write</t>
        </is>
      </c>
      <c r="D1536" s="8" t="inlineStr">
        <is>
          <t>worker/src/routes/students.ts</t>
        </is>
      </c>
      <c r="E1536" s="8" t="n">
        <v>47</v>
      </c>
      <c r="F1536" s="8" t="inlineStr">
        <is>
          <t>Yes</t>
        </is>
      </c>
      <c r="G1536" s="8" t="n">
        <v>48</v>
      </c>
    </row>
    <row r="1537">
      <c r="A1537" s="8" t="inlineStr">
        <is>
          <t>DELETE</t>
        </is>
      </c>
      <c r="B1537" s="8" t="inlineStr">
        <is>
          <t>/api/v1/students/{id}</t>
        </is>
      </c>
      <c r="C1537" s="8" t="inlineStr">
        <is>
          <t>students.write</t>
        </is>
      </c>
      <c r="D1537" s="8" t="inlineStr">
        <is>
          <t>worker/src/routes/students.ts</t>
        </is>
      </c>
      <c r="E1537" s="8" t="n">
        <v>48</v>
      </c>
      <c r="F1537" s="8" t="inlineStr">
        <is>
          <t>Yes</t>
        </is>
      </c>
      <c r="G1537" s="8" t="n">
        <v>48</v>
      </c>
    </row>
    <row r="1538">
      <c r="A1538" s="8" t="inlineStr">
        <is>
          <t>GET</t>
        </is>
      </c>
      <c r="B1538" s="8" t="inlineStr">
        <is>
          <t>/api/v1/students/{id}/profile</t>
        </is>
      </c>
      <c r="C1538" s="8" t="inlineStr">
        <is>
          <t>students.read</t>
        </is>
      </c>
      <c r="D1538" s="8" t="inlineStr">
        <is>
          <t>worker/src/routes/students.ts</t>
        </is>
      </c>
      <c r="E1538" s="8" t="n">
        <v>49</v>
      </c>
      <c r="F1538" s="8" t="inlineStr">
        <is>
          <t>Yes</t>
        </is>
      </c>
      <c r="G1538" s="8" t="n">
        <v>48</v>
      </c>
    </row>
    <row r="1539">
      <c r="A1539" s="8" t="inlineStr">
        <is>
          <t>GET</t>
        </is>
      </c>
      <c r="B1539" s="8" t="inlineStr">
        <is>
          <t>/api/v1/students/{id}/detail</t>
        </is>
      </c>
      <c r="C1539" s="8" t="inlineStr">
        <is>
          <t>students.read</t>
        </is>
      </c>
      <c r="D1539" s="8" t="inlineStr">
        <is>
          <t>worker/src/routes/students.ts</t>
        </is>
      </c>
      <c r="E1539" s="8" t="n">
        <v>50</v>
      </c>
      <c r="F1539" s="8" t="inlineStr">
        <is>
          <t>Yes</t>
        </is>
      </c>
      <c r="G1539" s="8" t="n">
        <v>48</v>
      </c>
    </row>
    <row r="1540">
      <c r="A1540" s="8" t="inlineStr">
        <is>
          <t>POST</t>
        </is>
      </c>
      <c r="B1540" s="8" t="inlineStr">
        <is>
          <t>/api/v1/students/{id}/section</t>
        </is>
      </c>
      <c r="C1540" s="8" t="inlineStr">
        <is>
          <t>students.write</t>
        </is>
      </c>
      <c r="D1540" s="8" t="inlineStr">
        <is>
          <t>worker/src/routes/students.ts</t>
        </is>
      </c>
      <c r="E1540" s="8" t="n">
        <v>51</v>
      </c>
      <c r="F1540" s="8" t="inlineStr">
        <is>
          <t>No</t>
        </is>
      </c>
      <c r="G1540" s="8" t="n">
        <v>48</v>
      </c>
    </row>
    <row r="1541">
      <c r="A1541" s="8" t="inlineStr">
        <is>
          <t>POST</t>
        </is>
      </c>
      <c r="B1541" s="8" t="inlineStr">
        <is>
          <t>/api/v1/students/{id}/section-change</t>
        </is>
      </c>
      <c r="C1541" s="8" t="inlineStr">
        <is>
          <t>students.write</t>
        </is>
      </c>
      <c r="D1541" s="8" t="inlineStr">
        <is>
          <t>worker/src/routes/students.ts</t>
        </is>
      </c>
      <c r="E1541" s="8" t="n">
        <v>52</v>
      </c>
      <c r="F1541" s="8" t="inlineStr">
        <is>
          <t>Yes</t>
        </is>
      </c>
      <c r="G1541" s="8" t="n">
        <v>48</v>
      </c>
    </row>
    <row r="1542">
      <c r="A1542" s="8" t="inlineStr">
        <is>
          <t>PUT</t>
        </is>
      </c>
      <c r="B1542" s="8" t="inlineStr">
        <is>
          <t>/api/v1/students/{id}/photo</t>
        </is>
      </c>
      <c r="C1542" s="8" t="inlineStr">
        <is>
          <t>students.write</t>
        </is>
      </c>
      <c r="D1542" s="8" t="inlineStr">
        <is>
          <t>worker/src/routes/students.ts</t>
        </is>
      </c>
      <c r="E1542" s="8" t="n">
        <v>53</v>
      </c>
      <c r="F1542" s="8" t="inlineStr">
        <is>
          <t>Yes</t>
        </is>
      </c>
      <c r="G1542" s="8" t="n">
        <v>48</v>
      </c>
    </row>
    <row r="1543">
      <c r="A1543" s="8" t="inlineStr">
        <is>
          <t>PUT</t>
        </is>
      </c>
      <c r="B1543" s="8" t="inlineStr">
        <is>
          <t>/api/v1/students/{id}/guardians/{gid}/photo</t>
        </is>
      </c>
      <c r="C1543" s="8" t="inlineStr">
        <is>
          <t>students.write</t>
        </is>
      </c>
      <c r="D1543" s="8" t="inlineStr">
        <is>
          <t>worker/src/routes/students.ts</t>
        </is>
      </c>
      <c r="E1543" s="8" t="n">
        <v>54</v>
      </c>
      <c r="F1543" s="8" t="inlineStr">
        <is>
          <t>Yes</t>
        </is>
      </c>
      <c r="G1543" s="8" t="n">
        <v>48</v>
      </c>
    </row>
    <row r="1544">
      <c r="A1544" s="8" t="inlineStr">
        <is>
          <t>POST</t>
        </is>
      </c>
      <c r="B1544" s="8" t="inlineStr">
        <is>
          <t>/api/v1/students/{id}/guardians</t>
        </is>
      </c>
      <c r="C1544" s="8" t="inlineStr">
        <is>
          <t>students.write</t>
        </is>
      </c>
      <c r="D1544" s="8" t="inlineStr">
        <is>
          <t>worker/src/routes/students.ts</t>
        </is>
      </c>
      <c r="E1544" s="8" t="n">
        <v>55</v>
      </c>
      <c r="F1544" s="8" t="inlineStr">
        <is>
          <t>Yes</t>
        </is>
      </c>
      <c r="G1544" s="8" t="n">
        <v>48</v>
      </c>
    </row>
    <row r="1545">
      <c r="A1545" s="8" t="inlineStr">
        <is>
          <t>DELETE</t>
        </is>
      </c>
      <c r="B1545" s="8" t="inlineStr">
        <is>
          <t>/api/v1/students/{id}/guardians/{gid}</t>
        </is>
      </c>
      <c r="C1545" s="8" t="inlineStr">
        <is>
          <t>students.write</t>
        </is>
      </c>
      <c r="D1545" s="8" t="inlineStr">
        <is>
          <t>worker/src/routes/students.ts</t>
        </is>
      </c>
      <c r="E1545" s="8" t="n">
        <v>56</v>
      </c>
      <c r="F1545" s="8" t="inlineStr">
        <is>
          <t>Yes</t>
        </is>
      </c>
      <c r="G1545" s="8" t="n">
        <v>48</v>
      </c>
    </row>
    <row r="1546">
      <c r="A1546" s="8" t="inlineStr">
        <is>
          <t>POST</t>
        </is>
      </c>
      <c r="B1546" s="8" t="inlineStr">
        <is>
          <t>/api/v1/students/{id}/exit</t>
        </is>
      </c>
      <c r="C1546" s="8" t="inlineStr">
        <is>
          <t>students.write</t>
        </is>
      </c>
      <c r="D1546" s="8" t="inlineStr">
        <is>
          <t>worker/src/routes/students.ts</t>
        </is>
      </c>
      <c r="E1546" s="8" t="n">
        <v>57</v>
      </c>
      <c r="F1546" s="8" t="inlineStr">
        <is>
          <t>Yes</t>
        </is>
      </c>
      <c r="G1546" s="8" t="n">
        <v>48</v>
      </c>
    </row>
    <row r="1547">
      <c r="A1547" s="8" t="inlineStr">
        <is>
          <t>POST</t>
        </is>
      </c>
      <c r="B1547" s="8" t="inlineStr">
        <is>
          <t>/api/v1/students/{id}/readmit</t>
        </is>
      </c>
      <c r="C1547" s="8" t="inlineStr">
        <is>
          <t>students.write</t>
        </is>
      </c>
      <c r="D1547" s="8" t="inlineStr">
        <is>
          <t>worker/src/routes/students.ts</t>
        </is>
      </c>
      <c r="E1547" s="8" t="n">
        <v>58</v>
      </c>
      <c r="F1547" s="8" t="inlineStr">
        <is>
          <t>Yes</t>
        </is>
      </c>
      <c r="G1547" s="8" t="n">
        <v>48</v>
      </c>
    </row>
    <row r="1548">
      <c r="A1548" s="8" t="inlineStr">
        <is>
          <t>POST</t>
        </is>
      </c>
      <c r="B1548" s="8" t="inlineStr">
        <is>
          <t>/api/v1/students/{id}/suspend</t>
        </is>
      </c>
      <c r="C1548" s="8" t="inlineStr">
        <is>
          <t>students.write</t>
        </is>
      </c>
      <c r="D1548" s="8" t="inlineStr">
        <is>
          <t>worker/src/routes/students.ts</t>
        </is>
      </c>
      <c r="E1548" s="8" t="n">
        <v>59</v>
      </c>
      <c r="F1548" s="8" t="inlineStr">
        <is>
          <t>Yes</t>
        </is>
      </c>
      <c r="G1548" s="8" t="n">
        <v>48</v>
      </c>
    </row>
    <row r="1549">
      <c r="A1549" s="8" t="inlineStr">
        <is>
          <t>POST</t>
        </is>
      </c>
      <c r="B1549" s="8" t="inlineStr">
        <is>
          <t>/api/v1/students/{id}/co-scholastic</t>
        </is>
      </c>
      <c r="C1549" s="8" t="inlineStr">
        <is>
          <t>academics.marks.write</t>
        </is>
      </c>
      <c r="D1549" s="8" t="inlineStr">
        <is>
          <t>worker/src/routes/students.ts</t>
        </is>
      </c>
      <c r="E1549" s="8" t="n">
        <v>60</v>
      </c>
      <c r="F1549" s="8" t="inlineStr">
        <is>
          <t>Yes</t>
        </is>
      </c>
      <c r="G1549" s="8" t="n">
        <v>48</v>
      </c>
    </row>
    <row r="1550">
      <c r="A1550" s="8" t="inlineStr">
        <is>
          <t>POST</t>
        </is>
      </c>
      <c r="B1550" s="8" t="inlineStr">
        <is>
          <t>/api/v1/students/{id}/activities</t>
        </is>
      </c>
      <c r="C1550" s="8" t="inlineStr">
        <is>
          <t>students.write</t>
        </is>
      </c>
      <c r="D1550" s="8" t="inlineStr">
        <is>
          <t>worker/src/routes/students.ts</t>
        </is>
      </c>
      <c r="E1550" s="8" t="n">
        <v>61</v>
      </c>
      <c r="F1550" s="8" t="inlineStr">
        <is>
          <t>Yes</t>
        </is>
      </c>
      <c r="G1550" s="8" t="n">
        <v>48</v>
      </c>
    </row>
    <row r="1551">
      <c r="A1551" s="8" t="inlineStr">
        <is>
          <t>POST</t>
        </is>
      </c>
      <c r="B1551" s="8" t="inlineStr">
        <is>
          <t>/api/v1/students/{id}/activities/{enrolID}/leave</t>
        </is>
      </c>
      <c r="C1551" s="8" t="inlineStr">
        <is>
          <t>students.write</t>
        </is>
      </c>
      <c r="D1551" s="8" t="inlineStr">
        <is>
          <t>worker/src/routes/students.ts</t>
        </is>
      </c>
      <c r="E1551" s="8" t="n">
        <v>62</v>
      </c>
      <c r="F1551" s="8" t="inlineStr">
        <is>
          <t>Yes</t>
        </is>
      </c>
      <c r="G1551" s="8" t="n">
        <v>48</v>
      </c>
    </row>
    <row r="1552">
      <c r="A1552" s="8" t="inlineStr">
        <is>
          <t>POST</t>
        </is>
      </c>
      <c r="B1552" s="8" t="inlineStr">
        <is>
          <t>/api/v1/students/{id}/custom-fields</t>
        </is>
      </c>
      <c r="C1552" s="8" t="inlineStr">
        <is>
          <t>students.write</t>
        </is>
      </c>
      <c r="D1552" s="8" t="inlineStr">
        <is>
          <t>worker/src/routes/students.ts</t>
        </is>
      </c>
      <c r="E1552" s="8" t="n">
        <v>63</v>
      </c>
      <c r="F1552" s="8" t="inlineStr">
        <is>
          <t>Yes</t>
        </is>
      </c>
      <c r="G1552" s="8" t="n">
        <v>48</v>
      </c>
    </row>
    <row r="1553">
      <c r="A1553" s="8" t="inlineStr">
        <is>
          <t>PATCH</t>
        </is>
      </c>
      <c r="B1553" s="8" t="inlineStr">
        <is>
          <t>/api/v1/students/{id}/fields</t>
        </is>
      </c>
      <c r="C1553" s="8" t="inlineStr">
        <is>
          <t>students.write</t>
        </is>
      </c>
      <c r="D1553" s="8" t="inlineStr">
        <is>
          <t>worker/src/routes/students.ts</t>
        </is>
      </c>
      <c r="E1553" s="8" t="n">
        <v>64</v>
      </c>
      <c r="F1553" s="8" t="inlineStr">
        <is>
          <t>Yes</t>
        </is>
      </c>
      <c r="G1553" s="8" t="n">
        <v>48</v>
      </c>
    </row>
    <row r="1554">
      <c r="A1554" s="8" t="inlineStr">
        <is>
          <t>POST</t>
        </is>
      </c>
      <c r="B1554" s="8" t="inlineStr">
        <is>
          <t>/api/v1/students/{id}/documents</t>
        </is>
      </c>
      <c r="C1554" s="8" t="inlineStr">
        <is>
          <t>students.write</t>
        </is>
      </c>
      <c r="D1554" s="8" t="inlineStr">
        <is>
          <t>worker/src/routes/students.ts</t>
        </is>
      </c>
      <c r="E1554" s="8" t="n">
        <v>65</v>
      </c>
      <c r="F1554" s="8" t="inlineStr">
        <is>
          <t>Yes</t>
        </is>
      </c>
      <c r="G1554" s="8" t="n">
        <v>48</v>
      </c>
    </row>
    <row r="1555">
      <c r="A1555" s="8" t="inlineStr">
        <is>
          <t>POST</t>
        </is>
      </c>
      <c r="B1555" s="8" t="inlineStr">
        <is>
          <t>/api/v1/students/{id}/documents/{docID}/verify</t>
        </is>
      </c>
      <c r="C1555" s="8" t="inlineStr">
        <is>
          <t>students.write</t>
        </is>
      </c>
      <c r="D1555" s="8" t="inlineStr">
        <is>
          <t>worker/src/routes/students.ts</t>
        </is>
      </c>
      <c r="E1555" s="8" t="n">
        <v>66</v>
      </c>
      <c r="F1555" s="8" t="inlineStr">
        <is>
          <t>Yes</t>
        </is>
      </c>
      <c r="G1555" s="8" t="n">
        <v>48</v>
      </c>
    </row>
    <row r="1556">
      <c r="A1556" s="8" t="inlineStr">
        <is>
          <t>DELETE</t>
        </is>
      </c>
      <c r="B1556" s="8" t="inlineStr">
        <is>
          <t>/api/v1/students/{id}/documents/{docID}</t>
        </is>
      </c>
      <c r="C1556" s="8" t="inlineStr">
        <is>
          <t>students.write</t>
        </is>
      </c>
      <c r="D1556" s="8" t="inlineStr">
        <is>
          <t>worker/src/routes/students.ts</t>
        </is>
      </c>
      <c r="E1556" s="8" t="n">
        <v>67</v>
      </c>
      <c r="F1556" s="8" t="inlineStr">
        <is>
          <t>Yes</t>
        </is>
      </c>
      <c r="G1556" s="8" t="n">
        <v>48</v>
      </c>
    </row>
    <row r="1557">
      <c r="A1557" s="8" t="inlineStr">
        <is>
          <t>GET</t>
        </is>
      </c>
      <c r="B1557" s="8" t="inlineStr">
        <is>
          <t>/api/v1/teaching/question-bank</t>
        </is>
      </c>
      <c r="C1557" s="8" t="inlineStr">
        <is>
          <t>GROUP</t>
        </is>
      </c>
      <c r="D1557" s="8" t="inlineStr">
        <is>
          <t>worker/src/routes/teaching/assessment.ts</t>
        </is>
      </c>
      <c r="E1557" s="8" t="n">
        <v>1195</v>
      </c>
      <c r="F1557" s="8" t="inlineStr">
        <is>
          <t>Yes</t>
        </is>
      </c>
      <c r="G1557" s="8" t="n">
        <v>18</v>
      </c>
    </row>
    <row r="1558">
      <c r="A1558" s="8" t="inlineStr">
        <is>
          <t>GET</t>
        </is>
      </c>
      <c r="B1558" s="8" t="inlineStr">
        <is>
          <t>/api/v1/teaching/question-bank/summary</t>
        </is>
      </c>
      <c r="C1558" s="8" t="inlineStr">
        <is>
          <t>GROUP</t>
        </is>
      </c>
      <c r="D1558" s="8" t="inlineStr">
        <is>
          <t>worker/src/routes/teaching/assessment.ts</t>
        </is>
      </c>
      <c r="E1558" s="8" t="n">
        <v>1196</v>
      </c>
      <c r="F1558" s="8" t="inlineStr">
        <is>
          <t>Yes</t>
        </is>
      </c>
      <c r="G1558" s="8" t="n">
        <v>18</v>
      </c>
    </row>
    <row r="1559">
      <c r="A1559" s="8" t="inlineStr">
        <is>
          <t>POST</t>
        </is>
      </c>
      <c r="B1559" s="8" t="inlineStr">
        <is>
          <t>/api/v1/teaching/question-bank/compose</t>
        </is>
      </c>
      <c r="C1559" s="8" t="inlineStr">
        <is>
          <t>GROUP</t>
        </is>
      </c>
      <c r="D1559" s="8" t="inlineStr">
        <is>
          <t>worker/src/routes/teaching/assessment.ts</t>
        </is>
      </c>
      <c r="E1559" s="8" t="n">
        <v>1197</v>
      </c>
      <c r="F1559" s="8" t="inlineStr">
        <is>
          <t>Yes</t>
        </is>
      </c>
      <c r="G1559" s="8" t="n">
        <v>18</v>
      </c>
    </row>
    <row r="1560">
      <c r="A1560" s="8" t="inlineStr">
        <is>
          <t>POST</t>
        </is>
      </c>
      <c r="B1560" s="8" t="inlineStr">
        <is>
          <t>/api/v1/teaching/question-bank/generate</t>
        </is>
      </c>
      <c r="C1560" s="8" t="inlineStr">
        <is>
          <t>GROUP</t>
        </is>
      </c>
      <c r="D1560" s="8" t="inlineStr">
        <is>
          <t>worker/src/routes/teaching/assessment.ts</t>
        </is>
      </c>
      <c r="E1560" s="8" t="n">
        <v>1198</v>
      </c>
      <c r="F1560" s="8" t="inlineStr">
        <is>
          <t>Yes</t>
        </is>
      </c>
      <c r="G1560" s="8" t="n">
        <v>18</v>
      </c>
    </row>
    <row r="1561">
      <c r="A1561" s="8" t="inlineStr">
        <is>
          <t>POST</t>
        </is>
      </c>
      <c r="B1561" s="8" t="inlineStr">
        <is>
          <t>/api/v1/teaching/question-bank/generate/save</t>
        </is>
      </c>
      <c r="C1561" s="8" t="inlineStr">
        <is>
          <t>GROUP</t>
        </is>
      </c>
      <c r="D1561" s="8" t="inlineStr">
        <is>
          <t>worker/src/routes/teaching/assessment.ts</t>
        </is>
      </c>
      <c r="E1561" s="8" t="n">
        <v>1199</v>
      </c>
      <c r="F1561" s="8" t="inlineStr">
        <is>
          <t>Yes</t>
        </is>
      </c>
      <c r="G1561" s="8" t="n">
        <v>18</v>
      </c>
    </row>
    <row r="1562">
      <c r="A1562" s="8" t="inlineStr">
        <is>
          <t>GET</t>
        </is>
      </c>
      <c r="B1562" s="8" t="inlineStr">
        <is>
          <t>/api/v1/teaching/question-bank/{id}</t>
        </is>
      </c>
      <c r="C1562" s="8" t="inlineStr">
        <is>
          <t>GROUP</t>
        </is>
      </c>
      <c r="D1562" s="8" t="inlineStr">
        <is>
          <t>worker/src/routes/teaching/assessment.ts</t>
        </is>
      </c>
      <c r="E1562" s="8" t="n">
        <v>1200</v>
      </c>
      <c r="F1562" s="8" t="inlineStr">
        <is>
          <t>Yes</t>
        </is>
      </c>
      <c r="G1562" s="8" t="n">
        <v>18</v>
      </c>
    </row>
    <row r="1563">
      <c r="A1563" s="8" t="inlineStr">
        <is>
          <t>POST</t>
        </is>
      </c>
      <c r="B1563" s="8" t="inlineStr">
        <is>
          <t>/api/v1/teaching/question-bank</t>
        </is>
      </c>
      <c r="C1563" s="8" t="inlineStr">
        <is>
          <t>GROUP</t>
        </is>
      </c>
      <c r="D1563" s="8" t="inlineStr">
        <is>
          <t>worker/src/routes/teaching/assessment.ts</t>
        </is>
      </c>
      <c r="E1563" s="8" t="n">
        <v>1201</v>
      </c>
      <c r="F1563" s="8" t="inlineStr">
        <is>
          <t>Yes</t>
        </is>
      </c>
      <c r="G1563" s="8" t="n">
        <v>18</v>
      </c>
    </row>
    <row r="1564">
      <c r="A1564" s="8" t="inlineStr">
        <is>
          <t>PUT</t>
        </is>
      </c>
      <c r="B1564" s="8" t="inlineStr">
        <is>
          <t>/api/v1/teaching/question-bank/{id}</t>
        </is>
      </c>
      <c r="C1564" s="8" t="inlineStr">
        <is>
          <t>GROUP</t>
        </is>
      </c>
      <c r="D1564" s="8" t="inlineStr">
        <is>
          <t>worker/src/routes/teaching/assessment.ts</t>
        </is>
      </c>
      <c r="E1564" s="8" t="n">
        <v>1202</v>
      </c>
      <c r="F1564" s="8" t="inlineStr">
        <is>
          <t>Yes</t>
        </is>
      </c>
      <c r="G1564" s="8" t="n">
        <v>18</v>
      </c>
    </row>
    <row r="1565">
      <c r="A1565" s="8" t="inlineStr">
        <is>
          <t>DELETE</t>
        </is>
      </c>
      <c r="B1565" s="8" t="inlineStr">
        <is>
          <t>/api/v1/teaching/question-bank/{id}</t>
        </is>
      </c>
      <c r="C1565" s="8" t="inlineStr">
        <is>
          <t>GROUP</t>
        </is>
      </c>
      <c r="D1565" s="8" t="inlineStr">
        <is>
          <t>worker/src/routes/teaching/assessment.ts</t>
        </is>
      </c>
      <c r="E1565" s="8" t="n">
        <v>1203</v>
      </c>
      <c r="F1565" s="8" t="inlineStr">
        <is>
          <t>Yes</t>
        </is>
      </c>
      <c r="G1565" s="8" t="n">
        <v>18</v>
      </c>
    </row>
    <row r="1566">
      <c r="A1566" s="8" t="inlineStr">
        <is>
          <t>GET</t>
        </is>
      </c>
      <c r="B1566" s="8" t="inlineStr">
        <is>
          <t>/api/v1/teaching/online-tests</t>
        </is>
      </c>
      <c r="C1566" s="8" t="inlineStr">
        <is>
          <t>GROUP</t>
        </is>
      </c>
      <c r="D1566" s="8" t="inlineStr">
        <is>
          <t>worker/src/routes/teaching/assessment.ts</t>
        </is>
      </c>
      <c r="E1566" s="8" t="n">
        <v>1206</v>
      </c>
      <c r="F1566" s="8" t="inlineStr">
        <is>
          <t>Yes</t>
        </is>
      </c>
      <c r="G1566" s="8" t="n">
        <v>18</v>
      </c>
    </row>
    <row r="1567">
      <c r="A1567" s="8" t="inlineStr">
        <is>
          <t>POST</t>
        </is>
      </c>
      <c r="B1567" s="8" t="inlineStr">
        <is>
          <t>/api/v1/teaching/online-tests</t>
        </is>
      </c>
      <c r="C1567" s="8" t="inlineStr">
        <is>
          <t>GROUP</t>
        </is>
      </c>
      <c r="D1567" s="8" t="inlineStr">
        <is>
          <t>worker/src/routes/teaching/assessment.ts</t>
        </is>
      </c>
      <c r="E1567" s="8" t="n">
        <v>1207</v>
      </c>
      <c r="F1567" s="8" t="inlineStr">
        <is>
          <t>Yes</t>
        </is>
      </c>
      <c r="G1567" s="8" t="n">
        <v>18</v>
      </c>
    </row>
    <row r="1568">
      <c r="A1568" s="8" t="inlineStr">
        <is>
          <t>PUT</t>
        </is>
      </c>
      <c r="B1568" s="8" t="inlineStr">
        <is>
          <t>/api/v1/teaching/online-tests/{id}/questions</t>
        </is>
      </c>
      <c r="C1568" s="8" t="inlineStr">
        <is>
          <t>GROUP</t>
        </is>
      </c>
      <c r="D1568" s="8" t="inlineStr">
        <is>
          <t>worker/src/routes/teaching/assessment.ts</t>
        </is>
      </c>
      <c r="E1568" s="8" t="n">
        <v>1208</v>
      </c>
      <c r="F1568" s="8" t="inlineStr">
        <is>
          <t>Yes</t>
        </is>
      </c>
      <c r="G1568" s="8" t="n">
        <v>18</v>
      </c>
    </row>
    <row r="1569">
      <c r="A1569" s="8" t="inlineStr">
        <is>
          <t>GET</t>
        </is>
      </c>
      <c r="B1569" s="8" t="inlineStr">
        <is>
          <t>/api/v1/teaching/online-tests/{id}</t>
        </is>
      </c>
      <c r="C1569" s="8" t="inlineStr">
        <is>
          <t>GROUP</t>
        </is>
      </c>
      <c r="D1569" s="8" t="inlineStr">
        <is>
          <t>worker/src/routes/teaching/assessment.ts</t>
        </is>
      </c>
      <c r="E1569" s="8" t="n">
        <v>1209</v>
      </c>
      <c r="F1569" s="8" t="inlineStr">
        <is>
          <t>Yes</t>
        </is>
      </c>
      <c r="G1569" s="8" t="n">
        <v>18</v>
      </c>
    </row>
    <row r="1570">
      <c r="A1570" s="8" t="inlineStr">
        <is>
          <t>PUT</t>
        </is>
      </c>
      <c r="B1570" s="8" t="inlineStr">
        <is>
          <t>/api/v1/teaching/online-tests/{id}</t>
        </is>
      </c>
      <c r="C1570" s="8" t="inlineStr">
        <is>
          <t>GROUP</t>
        </is>
      </c>
      <c r="D1570" s="8" t="inlineStr">
        <is>
          <t>worker/src/routes/teaching/assessment.ts</t>
        </is>
      </c>
      <c r="E1570" s="8" t="n">
        <v>1210</v>
      </c>
      <c r="F1570" s="8" t="inlineStr">
        <is>
          <t>Yes</t>
        </is>
      </c>
      <c r="G1570" s="8" t="n">
        <v>18</v>
      </c>
    </row>
    <row r="1571">
      <c r="A1571" s="8" t="inlineStr">
        <is>
          <t>GET</t>
        </is>
      </c>
      <c r="B1571" s="8" t="inlineStr">
        <is>
          <t>/api/v1/teaching/cce/formative</t>
        </is>
      </c>
      <c r="C1571" s="8" t="inlineStr">
        <is>
          <t>GROUP</t>
        </is>
      </c>
      <c r="D1571" s="8" t="inlineStr">
        <is>
          <t>worker/src/routes/teaching/assessment.ts</t>
        </is>
      </c>
      <c r="E1571" s="8" t="n">
        <v>1213</v>
      </c>
      <c r="F1571" s="8" t="inlineStr">
        <is>
          <t>Yes</t>
        </is>
      </c>
      <c r="G1571" s="8" t="n">
        <v>18</v>
      </c>
    </row>
    <row r="1572">
      <c r="A1572" s="8" t="inlineStr">
        <is>
          <t>PUT</t>
        </is>
      </c>
      <c r="B1572" s="8" t="inlineStr">
        <is>
          <t>/api/v1/teaching/cce/formative</t>
        </is>
      </c>
      <c r="C1572" s="8" t="inlineStr">
        <is>
          <t>GROUP</t>
        </is>
      </c>
      <c r="D1572" s="8" t="inlineStr">
        <is>
          <t>worker/src/routes/teaching/assessment.ts</t>
        </is>
      </c>
      <c r="E1572" s="8" t="n">
        <v>1214</v>
      </c>
      <c r="F1572" s="8" t="inlineStr">
        <is>
          <t>Yes</t>
        </is>
      </c>
      <c r="G1572" s="8" t="n">
        <v>18</v>
      </c>
    </row>
    <row r="1573">
      <c r="A1573" s="8" t="inlineStr">
        <is>
          <t>GET</t>
        </is>
      </c>
      <c r="B1573" s="8" t="inlineStr">
        <is>
          <t>/api/v1/teaching/cce/summative/roster</t>
        </is>
      </c>
      <c r="C1573" s="8" t="inlineStr">
        <is>
          <t>GROUP</t>
        </is>
      </c>
      <c r="D1573" s="8" t="inlineStr">
        <is>
          <t>worker/src/routes/teaching/assessment.ts</t>
        </is>
      </c>
      <c r="E1573" s="8" t="n">
        <v>1215</v>
      </c>
      <c r="F1573" s="8" t="inlineStr">
        <is>
          <t>Yes</t>
        </is>
      </c>
      <c r="G1573" s="8" t="n">
        <v>18</v>
      </c>
    </row>
    <row r="1574">
      <c r="A1574" s="8" t="inlineStr">
        <is>
          <t>GET</t>
        </is>
      </c>
      <c r="B1574" s="8" t="inlineStr">
        <is>
          <t>/api/v1/teaching/cce/summative</t>
        </is>
      </c>
      <c r="C1574" s="8" t="inlineStr">
        <is>
          <t>GROUP</t>
        </is>
      </c>
      <c r="D1574" s="8" t="inlineStr">
        <is>
          <t>worker/src/routes/teaching/assessment.ts</t>
        </is>
      </c>
      <c r="E1574" s="8" t="n">
        <v>1216</v>
      </c>
      <c r="F1574" s="8" t="inlineStr">
        <is>
          <t>Yes</t>
        </is>
      </c>
      <c r="G1574" s="8" t="n">
        <v>18</v>
      </c>
    </row>
    <row r="1575">
      <c r="A1575" s="8" t="inlineStr">
        <is>
          <t>PUT</t>
        </is>
      </c>
      <c r="B1575" s="8" t="inlineStr">
        <is>
          <t>/api/v1/teaching/cce/summative</t>
        </is>
      </c>
      <c r="C1575" s="8" t="inlineStr">
        <is>
          <t>GROUP</t>
        </is>
      </c>
      <c r="D1575" s="8" t="inlineStr">
        <is>
          <t>worker/src/routes/teaching/assessment.ts</t>
        </is>
      </c>
      <c r="E1575" s="8" t="n">
        <v>1217</v>
      </c>
      <c r="F1575" s="8" t="inlineStr">
        <is>
          <t>Yes</t>
        </is>
      </c>
      <c r="G1575" s="8" t="n">
        <v>18</v>
      </c>
    </row>
    <row r="1576">
      <c r="A1576" s="8" t="inlineStr">
        <is>
          <t>GET</t>
        </is>
      </c>
      <c r="B1576" s="8" t="inlineStr">
        <is>
          <t>/api/v1/teaching/subjects</t>
        </is>
      </c>
      <c r="C1576" s="8" t="inlineStr">
        <is>
          <t>P</t>
        </is>
      </c>
      <c r="D1576" s="8" t="inlineStr">
        <is>
          <t>worker/src/routes/teaching/classwork.ts</t>
        </is>
      </c>
      <c r="E1576" s="8" t="n">
        <v>64</v>
      </c>
      <c r="F1576" s="8" t="inlineStr">
        <is>
          <t>Yes</t>
        </is>
      </c>
      <c r="G1576" s="8" t="n">
        <v>15</v>
      </c>
    </row>
    <row r="1577">
      <c r="A1577" s="8" t="inlineStr">
        <is>
          <t>GET</t>
        </is>
      </c>
      <c r="B1577" s="8" t="inlineStr">
        <is>
          <t>/api/v1/teaching/assignments</t>
        </is>
      </c>
      <c r="C1577" s="8" t="inlineStr">
        <is>
          <t>P</t>
        </is>
      </c>
      <c r="D1577" s="8" t="inlineStr">
        <is>
          <t>worker/src/routes/teaching/classwork.ts</t>
        </is>
      </c>
      <c r="E1577" s="8" t="n">
        <v>73</v>
      </c>
      <c r="F1577" s="8" t="inlineStr">
        <is>
          <t>Yes</t>
        </is>
      </c>
      <c r="G1577" s="8" t="n">
        <v>15</v>
      </c>
    </row>
    <row r="1578">
      <c r="A1578" s="8" t="inlineStr">
        <is>
          <t>GET</t>
        </is>
      </c>
      <c r="B1578" s="8" t="inlineStr">
        <is>
          <t>/api/v1/teaching/assignments/{id}/submissions</t>
        </is>
      </c>
      <c r="C1578" s="8" t="inlineStr">
        <is>
          <t>P</t>
        </is>
      </c>
      <c r="D1578" s="8" t="inlineStr">
        <is>
          <t>worker/src/routes/teaching/classwork.ts</t>
        </is>
      </c>
      <c r="E1578" s="8" t="n">
        <v>96</v>
      </c>
      <c r="F1578" s="8" t="inlineStr">
        <is>
          <t>Yes</t>
        </is>
      </c>
      <c r="G1578" s="8" t="n">
        <v>15</v>
      </c>
    </row>
    <row r="1579">
      <c r="A1579" s="8" t="inlineStr">
        <is>
          <t>POST</t>
        </is>
      </c>
      <c r="B1579" s="8" t="inlineStr">
        <is>
          <t>/api/v1/teaching/assignments/{id}/grade</t>
        </is>
      </c>
      <c r="C1579" s="8" t="inlineStr">
        <is>
          <t>P</t>
        </is>
      </c>
      <c r="D1579" s="8" t="inlineStr">
        <is>
          <t>worker/src/routes/teaching/classwork.ts</t>
        </is>
      </c>
      <c r="E1579" s="8" t="n">
        <v>111</v>
      </c>
      <c r="F1579" s="8" t="inlineStr">
        <is>
          <t>Yes</t>
        </is>
      </c>
      <c r="G1579" s="8" t="n">
        <v>15</v>
      </c>
    </row>
    <row r="1580">
      <c r="A1580" s="8" t="inlineStr">
        <is>
          <t>GET</t>
        </is>
      </c>
      <c r="B1580" s="8" t="inlineStr">
        <is>
          <t>/api/v1/teaching/materials</t>
        </is>
      </c>
      <c r="C1580" s="8" t="inlineStr">
        <is>
          <t>P</t>
        </is>
      </c>
      <c r="D1580" s="8" t="inlineStr">
        <is>
          <t>worker/src/routes/teaching/classwork.ts</t>
        </is>
      </c>
      <c r="E1580" s="8" t="n">
        <v>138</v>
      </c>
      <c r="F1580" s="8" t="inlineStr">
        <is>
          <t>No</t>
        </is>
      </c>
      <c r="G1580" s="8" t="n">
        <v>15</v>
      </c>
    </row>
    <row r="1581">
      <c r="A1581" s="8" t="inlineStr">
        <is>
          <t>GET</t>
        </is>
      </c>
      <c r="B1581" s="8" t="inlineStr">
        <is>
          <t>/api/v1/teaching/materials/{id}/views</t>
        </is>
      </c>
      <c r="C1581" s="8" t="inlineStr">
        <is>
          <t>P</t>
        </is>
      </c>
      <c r="D1581" s="8" t="inlineStr">
        <is>
          <t>worker/src/routes/teaching/classwork.ts</t>
        </is>
      </c>
      <c r="E1581" s="8" t="n">
        <v>162</v>
      </c>
      <c r="F1581" s="8" t="inlineStr">
        <is>
          <t>No</t>
        </is>
      </c>
      <c r="G1581" s="8" t="n">
        <v>15</v>
      </c>
    </row>
    <row r="1582">
      <c r="A1582" s="8" t="inlineStr">
        <is>
          <t>POST</t>
        </is>
      </c>
      <c r="B1582" s="8" t="inlineStr">
        <is>
          <t>/api/v1/teaching/materials</t>
        </is>
      </c>
      <c r="C1582" s="8" t="inlineStr">
        <is>
          <t>P</t>
        </is>
      </c>
      <c r="D1582" s="8" t="inlineStr">
        <is>
          <t>worker/src/routes/teaching/classwork.ts</t>
        </is>
      </c>
      <c r="E1582" s="8" t="n">
        <v>172</v>
      </c>
      <c r="F1582" s="8" t="inlineStr">
        <is>
          <t>No</t>
        </is>
      </c>
      <c r="G1582" s="8" t="n">
        <v>15</v>
      </c>
    </row>
    <row r="1583">
      <c r="A1583" s="8" t="inlineStr">
        <is>
          <t>PUT</t>
        </is>
      </c>
      <c r="B1583" s="8" t="inlineStr">
        <is>
          <t>/api/v1/teaching/materials/{id}</t>
        </is>
      </c>
      <c r="C1583" s="8" t="inlineStr">
        <is>
          <t>P</t>
        </is>
      </c>
      <c r="D1583" s="8" t="inlineStr">
        <is>
          <t>worker/src/routes/teaching/classwork.ts</t>
        </is>
      </c>
      <c r="E1583" s="8" t="n">
        <v>214</v>
      </c>
      <c r="F1583" s="8" t="inlineStr">
        <is>
          <t>No</t>
        </is>
      </c>
      <c r="G1583" s="8" t="n">
        <v>15</v>
      </c>
    </row>
    <row r="1584">
      <c r="A1584" s="8" t="inlineStr">
        <is>
          <t>GET</t>
        </is>
      </c>
      <c r="B1584" s="8" t="inlineStr">
        <is>
          <t>/api/v1/teaching/virtual-classes/providers</t>
        </is>
      </c>
      <c r="C1584" s="8" t="inlineStr">
        <is>
          <t>P</t>
        </is>
      </c>
      <c r="D1584" s="8" t="inlineStr">
        <is>
          <t>worker/src/routes/teaching/classwork.ts</t>
        </is>
      </c>
      <c r="E1584" s="8" t="n">
        <v>251</v>
      </c>
      <c r="F1584" s="8" t="inlineStr">
        <is>
          <t>Yes</t>
        </is>
      </c>
      <c r="G1584" s="8" t="n">
        <v>15</v>
      </c>
    </row>
    <row r="1585">
      <c r="A1585" s="8" t="inlineStr">
        <is>
          <t>POST</t>
        </is>
      </c>
      <c r="B1585" s="8" t="inlineStr">
        <is>
          <t>/api/v1/teaching/virtual-classes/providers</t>
        </is>
      </c>
      <c r="C1585" s="8" t="inlineStr">
        <is>
          <t>P</t>
        </is>
      </c>
      <c r="D1585" s="8" t="inlineStr">
        <is>
          <t>worker/src/routes/teaching/classwork.ts</t>
        </is>
      </c>
      <c r="E1585" s="8" t="n">
        <v>256</v>
      </c>
      <c r="F1585" s="8" t="inlineStr">
        <is>
          <t>Yes</t>
        </is>
      </c>
      <c r="G1585" s="8" t="n">
        <v>15</v>
      </c>
    </row>
    <row r="1586">
      <c r="A1586" s="8" t="inlineStr">
        <is>
          <t>GET</t>
        </is>
      </c>
      <c r="B1586" s="8" t="inlineStr">
        <is>
          <t>/api/v1/teaching/virtual-classes</t>
        </is>
      </c>
      <c r="C1586" s="8" t="inlineStr">
        <is>
          <t>P</t>
        </is>
      </c>
      <c r="D1586" s="8" t="inlineStr">
        <is>
          <t>worker/src/routes/teaching/classwork.ts</t>
        </is>
      </c>
      <c r="E1586" s="8" t="n">
        <v>276</v>
      </c>
      <c r="F1586" s="8" t="inlineStr">
        <is>
          <t>Yes</t>
        </is>
      </c>
      <c r="G1586" s="8" t="n">
        <v>15</v>
      </c>
    </row>
    <row r="1587">
      <c r="A1587" s="8" t="inlineStr">
        <is>
          <t>POST</t>
        </is>
      </c>
      <c r="B1587" s="8" t="inlineStr">
        <is>
          <t>/api/v1/teaching/virtual-classes</t>
        </is>
      </c>
      <c r="C1587" s="8" t="inlineStr">
        <is>
          <t>P</t>
        </is>
      </c>
      <c r="D1587" s="8" t="inlineStr">
        <is>
          <t>worker/src/routes/teaching/classwork.ts</t>
        </is>
      </c>
      <c r="E1587" s="8" t="n">
        <v>291</v>
      </c>
      <c r="F1587" s="8" t="inlineStr">
        <is>
          <t>Yes</t>
        </is>
      </c>
      <c r="G1587" s="8" t="n">
        <v>15</v>
      </c>
    </row>
    <row r="1588">
      <c r="A1588" s="8" t="inlineStr">
        <is>
          <t>PUT</t>
        </is>
      </c>
      <c r="B1588" s="8" t="inlineStr">
        <is>
          <t>/api/v1/teaching/virtual-classes/{id}</t>
        </is>
      </c>
      <c r="C1588" s="8" t="inlineStr">
        <is>
          <t>P</t>
        </is>
      </c>
      <c r="D1588" s="8" t="inlineStr">
        <is>
          <t>worker/src/routes/teaching/classwork.ts</t>
        </is>
      </c>
      <c r="E1588" s="8" t="n">
        <v>318</v>
      </c>
      <c r="F1588" s="8" t="inlineStr">
        <is>
          <t>Yes</t>
        </is>
      </c>
      <c r="G1588" s="8" t="n">
        <v>15</v>
      </c>
    </row>
    <row r="1589">
      <c r="A1589" s="8" t="inlineStr">
        <is>
          <t>POST</t>
        </is>
      </c>
      <c r="B1589" s="8" t="inlineStr">
        <is>
          <t>/api/v1/teaching/virtual-classes/{id}/launch</t>
        </is>
      </c>
      <c r="C1589" s="8" t="inlineStr">
        <is>
          <t>P</t>
        </is>
      </c>
      <c r="D1589" s="8" t="inlineStr">
        <is>
          <t>worker/src/routes/teaching/classwork.ts</t>
        </is>
      </c>
      <c r="E1589" s="8" t="n">
        <v>355</v>
      </c>
      <c r="F1589" s="8" t="inlineStr">
        <is>
          <t>Yes</t>
        </is>
      </c>
      <c r="G1589" s="8" t="n">
        <v>15</v>
      </c>
    </row>
    <row r="1590">
      <c r="A1590" s="8" t="inlineStr">
        <is>
          <t>GET</t>
        </is>
      </c>
      <c r="B1590" s="8" t="inlineStr">
        <is>
          <t>/api/v1/teaching/terms</t>
        </is>
      </c>
      <c r="C1590" s="8" t="inlineStr">
        <is>
          <t>P</t>
        </is>
      </c>
      <c r="D1590" s="8" t="inlineStr">
        <is>
          <t>worker/src/routes/teaching/comms.ts</t>
        </is>
      </c>
      <c r="E1590" s="8" t="n">
        <v>37</v>
      </c>
      <c r="F1590" s="8" t="inlineStr">
        <is>
          <t>Yes</t>
        </is>
      </c>
      <c r="G1590" s="8" t="n">
        <v>19</v>
      </c>
    </row>
    <row r="1591">
      <c r="A1591" s="8" t="inlineStr">
        <is>
          <t>GET</t>
        </is>
      </c>
      <c r="B1591" s="8" t="inlineStr">
        <is>
          <t>/api/v1/teaching/remarks</t>
        </is>
      </c>
      <c r="C1591" s="8" t="inlineStr">
        <is>
          <t>P</t>
        </is>
      </c>
      <c r="D1591" s="8" t="inlineStr">
        <is>
          <t>worker/src/routes/teaching/comms.ts</t>
        </is>
      </c>
      <c r="E1591" s="8" t="n">
        <v>44</v>
      </c>
      <c r="F1591" s="8" t="inlineStr">
        <is>
          <t>Yes</t>
        </is>
      </c>
      <c r="G1591" s="8" t="n">
        <v>19</v>
      </c>
    </row>
    <row r="1592">
      <c r="A1592" s="8" t="inlineStr">
        <is>
          <t>POST</t>
        </is>
      </c>
      <c r="B1592" s="8" t="inlineStr">
        <is>
          <t>/api/v1/teaching/remarks</t>
        </is>
      </c>
      <c r="C1592" s="8" t="inlineStr">
        <is>
          <t>P</t>
        </is>
      </c>
      <c r="D1592" s="8" t="inlineStr">
        <is>
          <t>worker/src/routes/teaching/comms.ts</t>
        </is>
      </c>
      <c r="E1592" s="8" t="n">
        <v>63</v>
      </c>
      <c r="F1592" s="8" t="inlineStr">
        <is>
          <t>Yes</t>
        </is>
      </c>
      <c r="G1592" s="8" t="n">
        <v>19</v>
      </c>
    </row>
    <row r="1593">
      <c r="A1593" s="8" t="inlineStr">
        <is>
          <t>PUT</t>
        </is>
      </c>
      <c r="B1593" s="8" t="inlineStr">
        <is>
          <t>/api/v1/teaching/remarks/{id}</t>
        </is>
      </c>
      <c r="C1593" s="8" t="inlineStr">
        <is>
          <t>P</t>
        </is>
      </c>
      <c r="D1593" s="8" t="inlineStr">
        <is>
          <t>worker/src/routes/teaching/comms.ts</t>
        </is>
      </c>
      <c r="E1593" s="8" t="n">
        <v>115</v>
      </c>
      <c r="F1593" s="8" t="inlineStr">
        <is>
          <t>No</t>
        </is>
      </c>
      <c r="G1593" s="8" t="n">
        <v>19</v>
      </c>
    </row>
    <row r="1594">
      <c r="A1594" s="8" t="inlineStr">
        <is>
          <t>GET</t>
        </is>
      </c>
      <c r="B1594" s="8" t="inlineStr">
        <is>
          <t>/api/v1/teaching/report-remarks</t>
        </is>
      </c>
      <c r="C1594" s="8" t="inlineStr">
        <is>
          <t>P</t>
        </is>
      </c>
      <c r="D1594" s="8" t="inlineStr">
        <is>
          <t>worker/src/routes/teaching/comms.ts</t>
        </is>
      </c>
      <c r="E1594" s="8" t="n">
        <v>128</v>
      </c>
      <c r="F1594" s="8" t="inlineStr">
        <is>
          <t>Yes</t>
        </is>
      </c>
      <c r="G1594" s="8" t="n">
        <v>19</v>
      </c>
    </row>
    <row r="1595">
      <c r="A1595" s="8" t="inlineStr">
        <is>
          <t>PUT</t>
        </is>
      </c>
      <c r="B1595" s="8" t="inlineStr">
        <is>
          <t>/api/v1/teaching/report-remarks</t>
        </is>
      </c>
      <c r="C1595" s="8" t="inlineStr">
        <is>
          <t>P</t>
        </is>
      </c>
      <c r="D1595" s="8" t="inlineStr">
        <is>
          <t>worker/src/routes/teaching/comms.ts</t>
        </is>
      </c>
      <c r="E1595" s="8" t="n">
        <v>149</v>
      </c>
      <c r="F1595" s="8" t="inlineStr">
        <is>
          <t>Yes</t>
        </is>
      </c>
      <c r="G1595" s="8" t="n">
        <v>19</v>
      </c>
    </row>
    <row r="1596">
      <c r="A1596" s="8" t="inlineStr">
        <is>
          <t>GET</t>
        </is>
      </c>
      <c r="B1596" s="8" t="inlineStr">
        <is>
          <t>/api/v1/teaching/ptm-notes</t>
        </is>
      </c>
      <c r="C1596" s="8" t="inlineStr">
        <is>
          <t>P</t>
        </is>
      </c>
      <c r="D1596" s="8" t="inlineStr">
        <is>
          <t>worker/src/routes/teaching/comms.ts</t>
        </is>
      </c>
      <c r="E1596" s="8" t="n">
        <v>188</v>
      </c>
      <c r="F1596" s="8" t="inlineStr">
        <is>
          <t>Yes</t>
        </is>
      </c>
      <c r="G1596" s="8" t="n">
        <v>19</v>
      </c>
    </row>
    <row r="1597">
      <c r="A1597" s="8" t="inlineStr">
        <is>
          <t>POST</t>
        </is>
      </c>
      <c r="B1597" s="8" t="inlineStr">
        <is>
          <t>/api/v1/teaching/ptm-notes</t>
        </is>
      </c>
      <c r="C1597" s="8" t="inlineStr">
        <is>
          <t>P</t>
        </is>
      </c>
      <c r="D1597" s="8" t="inlineStr">
        <is>
          <t>worker/src/routes/teaching/comms.ts</t>
        </is>
      </c>
      <c r="E1597" s="8" t="n">
        <v>206</v>
      </c>
      <c r="F1597" s="8" t="inlineStr">
        <is>
          <t>Yes</t>
        </is>
      </c>
      <c r="G1597" s="8" t="n">
        <v>19</v>
      </c>
    </row>
    <row r="1598">
      <c r="A1598" s="8" t="inlineStr">
        <is>
          <t>GET</t>
        </is>
      </c>
      <c r="B1598" s="8" t="inlineStr">
        <is>
          <t>/api/v1/teaching/broadcasts</t>
        </is>
      </c>
      <c r="C1598" s="8" t="inlineStr">
        <is>
          <t>P</t>
        </is>
      </c>
      <c r="D1598" s="8" t="inlineStr">
        <is>
          <t>worker/src/routes/teaching/comms.ts</t>
        </is>
      </c>
      <c r="E1598" s="8" t="n">
        <v>230</v>
      </c>
      <c r="F1598" s="8" t="inlineStr">
        <is>
          <t>Yes</t>
        </is>
      </c>
      <c r="G1598" s="8" t="n">
        <v>19</v>
      </c>
    </row>
    <row r="1599">
      <c r="A1599" s="8" t="inlineStr">
        <is>
          <t>POST</t>
        </is>
      </c>
      <c r="B1599" s="8" t="inlineStr">
        <is>
          <t>/api/v1/teaching/broadcasts</t>
        </is>
      </c>
      <c r="C1599" s="8" t="inlineStr">
        <is>
          <t>P</t>
        </is>
      </c>
      <c r="D1599" s="8" t="inlineStr">
        <is>
          <t>worker/src/routes/teaching/comms.ts</t>
        </is>
      </c>
      <c r="E1599" s="8" t="n">
        <v>242</v>
      </c>
      <c r="F1599" s="8" t="inlineStr">
        <is>
          <t>Yes</t>
        </is>
      </c>
      <c r="G1599" s="8" t="n">
        <v>19</v>
      </c>
    </row>
    <row r="1600">
      <c r="A1600" s="8" t="inlineStr">
        <is>
          <t>GET</t>
        </is>
      </c>
      <c r="B1600" s="8" t="inlineStr">
        <is>
          <t>/api/v1/teaching/communication</t>
        </is>
      </c>
      <c r="C1600" s="8" t="inlineStr">
        <is>
          <t>P</t>
        </is>
      </c>
      <c r="D1600" s="8" t="inlineStr">
        <is>
          <t>worker/src/routes/teaching/comms.ts</t>
        </is>
      </c>
      <c r="E1600" s="8" t="n">
        <v>298</v>
      </c>
      <c r="F1600" s="8" t="inlineStr">
        <is>
          <t>Yes</t>
        </is>
      </c>
      <c r="G1600" s="8" t="n">
        <v>19</v>
      </c>
    </row>
    <row r="1601">
      <c r="A1601" s="8" t="inlineStr">
        <is>
          <t>GET</t>
        </is>
      </c>
      <c r="B1601" s="8" t="inlineStr">
        <is>
          <t>/api/v1/portal/remarks</t>
        </is>
      </c>
      <c r="C1601" s="8" t="inlineStr">
        <is>
          <t>self.profile.read</t>
        </is>
      </c>
      <c r="D1601" s="8" t="inlineStr">
        <is>
          <t>worker/src/routes/teaching/comms.ts</t>
        </is>
      </c>
      <c r="E1601" s="8" t="n">
        <v>316</v>
      </c>
      <c r="F1601" s="8" t="inlineStr">
        <is>
          <t>Yes</t>
        </is>
      </c>
      <c r="G1601" s="8" t="n">
        <v>19</v>
      </c>
    </row>
    <row r="1602">
      <c r="A1602" s="8" t="inlineStr">
        <is>
          <t>GET</t>
        </is>
      </c>
      <c r="B1602" s="8" t="inlineStr">
        <is>
          <t>/api/v1/principal/dashboard</t>
        </is>
      </c>
      <c r="C1602" s="8" t="inlineStr">
        <is>
          <t>admin.reports.read</t>
        </is>
      </c>
      <c r="D1602" s="8" t="inlineStr">
        <is>
          <t>worker/src/routes/teaching/dashboards.ts</t>
        </is>
      </c>
      <c r="E1602" s="8" t="n">
        <v>942</v>
      </c>
      <c r="F1602" s="8" t="inlineStr">
        <is>
          <t>Yes</t>
        </is>
      </c>
      <c r="G1602" s="8" t="n">
        <v>40</v>
      </c>
    </row>
    <row r="1603">
      <c r="A1603" s="8" t="inlineStr">
        <is>
          <t>GET</t>
        </is>
      </c>
      <c r="B1603" s="8" t="inlineStr">
        <is>
          <t>/api/v1/principal/attendance-trend</t>
        </is>
      </c>
      <c r="C1603" s="8" t="inlineStr">
        <is>
          <t>admin.reports.read</t>
        </is>
      </c>
      <c r="D1603" s="8" t="inlineStr">
        <is>
          <t>worker/src/routes/teaching/dashboards.ts</t>
        </is>
      </c>
      <c r="E1603" s="8" t="n">
        <v>943</v>
      </c>
      <c r="F1603" s="8" t="inlineStr">
        <is>
          <t>Yes</t>
        </is>
      </c>
      <c r="G1603" s="8" t="n">
        <v>40</v>
      </c>
    </row>
    <row r="1604">
      <c r="A1604" s="8" t="inlineStr">
        <is>
          <t>GET</t>
        </is>
      </c>
      <c r="B1604" s="8" t="inlineStr">
        <is>
          <t>/api/v1/principal/attendance-shortage</t>
        </is>
      </c>
      <c r="C1604" s="8" t="inlineStr">
        <is>
          <t>admin.reports.read</t>
        </is>
      </c>
      <c r="D1604" s="8" t="inlineStr">
        <is>
          <t>worker/src/routes/teaching/dashboards.ts</t>
        </is>
      </c>
      <c r="E1604" s="8" t="n">
        <v>944</v>
      </c>
      <c r="F1604" s="8" t="inlineStr">
        <is>
          <t>Yes</t>
        </is>
      </c>
      <c r="G1604" s="8" t="n">
        <v>40</v>
      </c>
    </row>
    <row r="1605">
      <c r="A1605" s="8" t="inlineStr">
        <is>
          <t>GET</t>
        </is>
      </c>
      <c r="B1605" s="8" t="inlineStr">
        <is>
          <t>/api/v1/principal/staff-workload</t>
        </is>
      </c>
      <c r="C1605" s="8" t="inlineStr">
        <is>
          <t>admin.reports.read</t>
        </is>
      </c>
      <c r="D1605" s="8" t="inlineStr">
        <is>
          <t>worker/src/routes/teaching/dashboards.ts</t>
        </is>
      </c>
      <c r="E1605" s="8" t="n">
        <v>945</v>
      </c>
      <c r="F1605" s="8" t="inlineStr">
        <is>
          <t>Yes</t>
        </is>
      </c>
      <c r="G1605" s="8" t="n">
        <v>40</v>
      </c>
    </row>
    <row r="1606">
      <c r="A1606" s="8" t="inlineStr">
        <is>
          <t>GET</t>
        </is>
      </c>
      <c r="B1606" s="8" t="inlineStr">
        <is>
          <t>/api/v1/department/dashboard</t>
        </is>
      </c>
      <c r="C1606" s="8" t="inlineStr">
        <is>
          <t>hr.employees.read</t>
        </is>
      </c>
      <c r="D1606" s="8" t="inlineStr">
        <is>
          <t>worker/src/routes/teaching/dashboards.ts</t>
        </is>
      </c>
      <c r="E1606" s="8" t="n">
        <v>947</v>
      </c>
      <c r="F1606" s="8" t="inlineStr">
        <is>
          <t>No</t>
        </is>
      </c>
      <c r="G1606" s="8" t="n">
        <v>40</v>
      </c>
    </row>
    <row r="1607">
      <c r="A1607" s="8" t="inlineStr">
        <is>
          <t>GET</t>
        </is>
      </c>
      <c r="B1607" s="8" t="inlineStr">
        <is>
          <t>/api/v1/department/faculty</t>
        </is>
      </c>
      <c r="C1607" s="8" t="inlineStr">
        <is>
          <t>hr.employees.read</t>
        </is>
      </c>
      <c r="D1607" s="8" t="inlineStr">
        <is>
          <t>worker/src/routes/teaching/dashboards.ts</t>
        </is>
      </c>
      <c r="E1607" s="8" t="n">
        <v>948</v>
      </c>
      <c r="F1607" s="8" t="inlineStr">
        <is>
          <t>No</t>
        </is>
      </c>
      <c r="G1607" s="8" t="n">
        <v>40</v>
      </c>
    </row>
    <row r="1608">
      <c r="A1608" s="8" t="inlineStr">
        <is>
          <t>GET</t>
        </is>
      </c>
      <c r="B1608" s="8" t="inlineStr">
        <is>
          <t>/api/v1/teaching/today</t>
        </is>
      </c>
      <c r="C1608" s="8" t="inlineStr">
        <is>
          <t>academics.timetable.read</t>
        </is>
      </c>
      <c r="D1608" s="8" t="inlineStr">
        <is>
          <t>worker/src/routes/teaching/dashboards.ts</t>
        </is>
      </c>
      <c r="E1608" s="8" t="n">
        <v>950</v>
      </c>
      <c r="F1608" s="8" t="inlineStr">
        <is>
          <t>Yes</t>
        </is>
      </c>
      <c r="G1608" s="8" t="n">
        <v>40</v>
      </c>
    </row>
    <row r="1609">
      <c r="A1609" s="8" t="inlineStr">
        <is>
          <t>GET</t>
        </is>
      </c>
      <c r="B1609" s="8" t="inlineStr">
        <is>
          <t>/api/v1/teaching/my-work</t>
        </is>
      </c>
      <c r="C1609" s="8" t="inlineStr">
        <is>
          <t>academics.timetable.read</t>
        </is>
      </c>
      <c r="D1609" s="8" t="inlineStr">
        <is>
          <t>worker/src/routes/teaching/dashboards.ts</t>
        </is>
      </c>
      <c r="E1609" s="8" t="n">
        <v>951</v>
      </c>
      <c r="F1609" s="8" t="inlineStr">
        <is>
          <t>Yes</t>
        </is>
      </c>
      <c r="G1609" s="8" t="n">
        <v>40</v>
      </c>
    </row>
    <row r="1610">
      <c r="A1610" s="8" t="inlineStr">
        <is>
          <t>GET</t>
        </is>
      </c>
      <c r="B1610" s="8" t="inlineStr">
        <is>
          <t>/api/v1/teaching/classes</t>
        </is>
      </c>
      <c r="C1610" s="8" t="inlineStr">
        <is>
          <t>academics.timetable.read</t>
        </is>
      </c>
      <c r="D1610" s="8" t="inlineStr">
        <is>
          <t>worker/src/routes/teaching/dashboards.ts</t>
        </is>
      </c>
      <c r="E1610" s="8" t="n">
        <v>952</v>
      </c>
      <c r="F1610" s="8" t="inlineStr">
        <is>
          <t>Yes</t>
        </is>
      </c>
      <c r="G1610" s="8" t="n">
        <v>40</v>
      </c>
    </row>
    <row r="1611">
      <c r="A1611" s="8" t="inlineStr">
        <is>
          <t>GET</t>
        </is>
      </c>
      <c r="B1611" s="8" t="inlineStr">
        <is>
          <t>/api/v1/teaching/hod-dashboard</t>
        </is>
      </c>
      <c r="C1611" s="8" t="inlineStr">
        <is>
          <t>academics.timetable.read</t>
        </is>
      </c>
      <c r="D1611" s="8" t="inlineStr">
        <is>
          <t>worker/src/routes/teaching/dashboards.ts</t>
        </is>
      </c>
      <c r="E1611" s="8" t="n">
        <v>953</v>
      </c>
      <c r="F1611" s="8" t="inlineStr">
        <is>
          <t>Yes</t>
        </is>
      </c>
      <c r="G1611" s="8" t="n">
        <v>40</v>
      </c>
    </row>
    <row r="1612">
      <c r="A1612" s="8" t="inlineStr">
        <is>
          <t>GET</t>
        </is>
      </c>
      <c r="B1612" s="8" t="inlineStr">
        <is>
          <t>/api/v1/teaching/parent-messages</t>
        </is>
      </c>
      <c r="C1612" s="8" t="inlineStr">
        <is>
          <t>academics.timetable.read</t>
        </is>
      </c>
      <c r="D1612" s="8" t="inlineStr">
        <is>
          <t>worker/src/routes/teaching/dashboards.ts</t>
        </is>
      </c>
      <c r="E1612" s="8" t="n">
        <v>954</v>
      </c>
      <c r="F1612" s="8" t="inlineStr">
        <is>
          <t>Yes</t>
        </is>
      </c>
      <c r="G1612" s="8" t="n">
        <v>40</v>
      </c>
    </row>
    <row r="1613">
      <c r="A1613" s="8" t="inlineStr">
        <is>
          <t>GET</t>
        </is>
      </c>
      <c r="B1613" s="8" t="inlineStr">
        <is>
          <t>/api/v1/teaching/parent-messages/thread</t>
        </is>
      </c>
      <c r="C1613" s="8" t="inlineStr">
        <is>
          <t>academics.timetable.read</t>
        </is>
      </c>
      <c r="D1613" s="8" t="inlineStr">
        <is>
          <t>worker/src/routes/teaching/dashboards.ts</t>
        </is>
      </c>
      <c r="E1613" s="8" t="n">
        <v>955</v>
      </c>
      <c r="F1613" s="8" t="inlineStr">
        <is>
          <t>Yes</t>
        </is>
      </c>
      <c r="G1613" s="8" t="n">
        <v>40</v>
      </c>
    </row>
    <row r="1614">
      <c r="A1614" s="8" t="inlineStr">
        <is>
          <t>GET</t>
        </is>
      </c>
      <c r="B1614" s="8" t="inlineStr">
        <is>
          <t>/api/v1/teaching/progress</t>
        </is>
      </c>
      <c r="C1614" s="8" t="inlineStr">
        <is>
          <t>academics.timetable.read</t>
        </is>
      </c>
      <c r="D1614" s="8" t="inlineStr">
        <is>
          <t>worker/src/routes/teaching/dashboards.ts</t>
        </is>
      </c>
      <c r="E1614" s="8" t="n">
        <v>956</v>
      </c>
      <c r="F1614" s="8" t="inlineStr">
        <is>
          <t>Yes</t>
        </is>
      </c>
      <c r="G1614" s="8" t="n">
        <v>40</v>
      </c>
    </row>
    <row r="1615">
      <c r="A1615" s="8" t="inlineStr">
        <is>
          <t>GET</t>
        </is>
      </c>
      <c r="B1615" s="8" t="inlineStr">
        <is>
          <t>/api/v1/teaching/progress/options</t>
        </is>
      </c>
      <c r="C1615" s="8" t="inlineStr">
        <is>
          <t>academics.timetable.read</t>
        </is>
      </c>
      <c r="D1615" s="8" t="inlineStr">
        <is>
          <t>worker/src/routes/teaching/dashboards.ts</t>
        </is>
      </c>
      <c r="E1615" s="8" t="n">
        <v>957</v>
      </c>
      <c r="F1615" s="8" t="inlineStr">
        <is>
          <t>Yes</t>
        </is>
      </c>
      <c r="G1615" s="8" t="n">
        <v>40</v>
      </c>
    </row>
    <row r="1616">
      <c r="A1616" s="8" t="inlineStr">
        <is>
          <t>GET</t>
        </is>
      </c>
      <c r="B1616" s="8" t="inlineStr">
        <is>
          <t>/api/v1/teaching/parent-contacts</t>
        </is>
      </c>
      <c r="C1616" s="8" t="inlineStr">
        <is>
          <t>academics.timetable.read</t>
        </is>
      </c>
      <c r="D1616" s="8" t="inlineStr">
        <is>
          <t>worker/src/routes/teaching/dashboards.ts</t>
        </is>
      </c>
      <c r="E1616" s="8" t="n">
        <v>958</v>
      </c>
      <c r="F1616" s="8" t="inlineStr">
        <is>
          <t>Yes</t>
        </is>
      </c>
      <c r="G1616" s="8" t="n">
        <v>40</v>
      </c>
    </row>
    <row r="1617">
      <c r="A1617" s="8" t="inlineStr">
        <is>
          <t>GET</t>
        </is>
      </c>
      <c r="B1617" s="8" t="inlineStr">
        <is>
          <t>/api/v1/lms/courses</t>
        </is>
      </c>
      <c r="C1617" s="8" t="inlineStr">
        <is>
          <t>P</t>
        </is>
      </c>
      <c r="D1617" s="8" t="inlineStr">
        <is>
          <t>worker/src/routes/teaching/lms.ts</t>
        </is>
      </c>
      <c r="E1617" s="8" t="n">
        <v>175</v>
      </c>
      <c r="F1617" s="8" t="inlineStr">
        <is>
          <t>Yes</t>
        </is>
      </c>
      <c r="G1617" s="8" t="n">
        <v>27</v>
      </c>
    </row>
    <row r="1618">
      <c r="A1618" s="8" t="inlineStr">
        <is>
          <t>GET</t>
        </is>
      </c>
      <c r="B1618" s="8" t="inlineStr">
        <is>
          <t>/api/v1/lms/course</t>
        </is>
      </c>
      <c r="C1618" s="8" t="inlineStr">
        <is>
          <t>P</t>
        </is>
      </c>
      <c r="D1618" s="8" t="inlineStr">
        <is>
          <t>worker/src/routes/teaching/lms.ts</t>
        </is>
      </c>
      <c r="E1618" s="8" t="n">
        <v>199</v>
      </c>
      <c r="F1618" s="8" t="inlineStr">
        <is>
          <t>Yes</t>
        </is>
      </c>
      <c r="G1618" s="8" t="n">
        <v>27</v>
      </c>
    </row>
    <row r="1619">
      <c r="A1619" s="8" t="inlineStr">
        <is>
          <t>POST</t>
        </is>
      </c>
      <c r="B1619" s="8" t="inlineStr">
        <is>
          <t>/api/v1/lms/units</t>
        </is>
      </c>
      <c r="C1619" s="8" t="inlineStr">
        <is>
          <t>P</t>
        </is>
      </c>
      <c r="D1619" s="8" t="inlineStr">
        <is>
          <t>worker/src/routes/teaching/lms.ts</t>
        </is>
      </c>
      <c r="E1619" s="8" t="n">
        <v>237</v>
      </c>
      <c r="F1619" s="8" t="inlineStr">
        <is>
          <t>Yes</t>
        </is>
      </c>
      <c r="G1619" s="8" t="n">
        <v>27</v>
      </c>
    </row>
    <row r="1620">
      <c r="A1620" s="8" t="inlineStr">
        <is>
          <t>PUT</t>
        </is>
      </c>
      <c r="B1620" s="8" t="inlineStr">
        <is>
          <t>/api/v1/lms/units/{id}</t>
        </is>
      </c>
      <c r="C1620" s="8" t="inlineStr">
        <is>
          <t>P</t>
        </is>
      </c>
      <c r="D1620" s="8" t="inlineStr">
        <is>
          <t>worker/src/routes/teaching/lms.ts</t>
        </is>
      </c>
      <c r="E1620" s="8" t="n">
        <v>262</v>
      </c>
      <c r="F1620" s="8" t="inlineStr">
        <is>
          <t>Yes</t>
        </is>
      </c>
      <c r="G1620" s="8" t="n">
        <v>27</v>
      </c>
    </row>
    <row r="1621">
      <c r="A1621" s="8" t="inlineStr">
        <is>
          <t>POST</t>
        </is>
      </c>
      <c r="B1621" s="8" t="inlineStr">
        <is>
          <t>/api/v1/lms/units/reorder</t>
        </is>
      </c>
      <c r="C1621" s="8" t="inlineStr">
        <is>
          <t>P</t>
        </is>
      </c>
      <c r="D1621" s="8" t="inlineStr">
        <is>
          <t>worker/src/routes/teaching/lms.ts</t>
        </is>
      </c>
      <c r="E1621" s="8" t="n">
        <v>295</v>
      </c>
      <c r="F1621" s="8" t="inlineStr">
        <is>
          <t>Yes</t>
        </is>
      </c>
      <c r="G1621" s="8" t="n">
        <v>27</v>
      </c>
    </row>
    <row r="1622">
      <c r="A1622" s="8" t="inlineStr">
        <is>
          <t>POST</t>
        </is>
      </c>
      <c r="B1622" s="8" t="inlineStr">
        <is>
          <t>/api/v1/lms/units/{id}/order</t>
        </is>
      </c>
      <c r="C1622" s="8" t="inlineStr">
        <is>
          <t>P</t>
        </is>
      </c>
      <c r="D1622" s="8" t="inlineStr">
        <is>
          <t>worker/src/routes/teaching/lms.ts</t>
        </is>
      </c>
      <c r="E1622" s="8" t="n">
        <v>310</v>
      </c>
      <c r="F1622" s="8" t="inlineStr">
        <is>
          <t>Yes</t>
        </is>
      </c>
      <c r="G1622" s="8" t="n">
        <v>27</v>
      </c>
    </row>
    <row r="1623">
      <c r="A1623" s="8" t="inlineStr">
        <is>
          <t>GET</t>
        </is>
      </c>
      <c r="B1623" s="8" t="inlineStr">
        <is>
          <t>/api/v1/lms/units/{id}/progress</t>
        </is>
      </c>
      <c r="C1623" s="8" t="inlineStr">
        <is>
          <t>P</t>
        </is>
      </c>
      <c r="D1623" s="8" t="inlineStr">
        <is>
          <t>worker/src/routes/teaching/lms.ts</t>
        </is>
      </c>
      <c r="E1623" s="8" t="n">
        <v>333</v>
      </c>
      <c r="F1623" s="8" t="inlineStr">
        <is>
          <t>Yes</t>
        </is>
      </c>
      <c r="G1623" s="8" t="n">
        <v>27</v>
      </c>
    </row>
    <row r="1624">
      <c r="A1624" s="8" t="inlineStr">
        <is>
          <t>DELETE</t>
        </is>
      </c>
      <c r="B1624" s="8" t="inlineStr">
        <is>
          <t>/api/v1/lms/units/{id}</t>
        </is>
      </c>
      <c r="C1624" s="8" t="inlineStr">
        <is>
          <t>P</t>
        </is>
      </c>
      <c r="D1624" s="8" t="inlineStr">
        <is>
          <t>worker/src/routes/teaching/lms.ts</t>
        </is>
      </c>
      <c r="E1624" s="8" t="n">
        <v>365</v>
      </c>
      <c r="F1624" s="8" t="inlineStr">
        <is>
          <t>Yes</t>
        </is>
      </c>
      <c r="G1624" s="8" t="n">
        <v>27</v>
      </c>
    </row>
    <row r="1625">
      <c r="A1625" s="8" t="inlineStr">
        <is>
          <t>POST</t>
        </is>
      </c>
      <c r="B1625" s="8" t="inlineStr">
        <is>
          <t>/api/v1/lms/lessons</t>
        </is>
      </c>
      <c r="C1625" s="8" t="inlineStr">
        <is>
          <t>P</t>
        </is>
      </c>
      <c r="D1625" s="8" t="inlineStr">
        <is>
          <t>worker/src/routes/teaching/lms.ts</t>
        </is>
      </c>
      <c r="E1625" s="8" t="n">
        <v>407</v>
      </c>
      <c r="F1625" s="8" t="inlineStr">
        <is>
          <t>Yes</t>
        </is>
      </c>
      <c r="G1625" s="8" t="n">
        <v>27</v>
      </c>
    </row>
    <row r="1626">
      <c r="A1626" s="8" t="inlineStr">
        <is>
          <t>PUT</t>
        </is>
      </c>
      <c r="B1626" s="8" t="inlineStr">
        <is>
          <t>/api/v1/lms/lessons/{id}</t>
        </is>
      </c>
      <c r="C1626" s="8" t="inlineStr">
        <is>
          <t>P</t>
        </is>
      </c>
      <c r="D1626" s="8" t="inlineStr">
        <is>
          <t>worker/src/routes/teaching/lms.ts</t>
        </is>
      </c>
      <c r="E1626" s="8" t="n">
        <v>449</v>
      </c>
      <c r="F1626" s="8" t="inlineStr">
        <is>
          <t>Yes</t>
        </is>
      </c>
      <c r="G1626" s="8" t="n">
        <v>27</v>
      </c>
    </row>
    <row r="1627">
      <c r="A1627" s="8" t="inlineStr">
        <is>
          <t>POST</t>
        </is>
      </c>
      <c r="B1627" s="8" t="inlineStr">
        <is>
          <t>/api/v1/lms/lessons/{id}/publish</t>
        </is>
      </c>
      <c r="C1627" s="8" t="inlineStr">
        <is>
          <t>P</t>
        </is>
      </c>
      <c r="D1627" s="8" t="inlineStr">
        <is>
          <t>worker/src/routes/teaching/lms.ts</t>
        </is>
      </c>
      <c r="E1627" s="8" t="n">
        <v>468</v>
      </c>
      <c r="F1627" s="8" t="inlineStr">
        <is>
          <t>Yes</t>
        </is>
      </c>
      <c r="G1627" s="8" t="n">
        <v>27</v>
      </c>
    </row>
    <row r="1628">
      <c r="A1628" s="8" t="inlineStr">
        <is>
          <t>POST</t>
        </is>
      </c>
      <c r="B1628" s="8" t="inlineStr">
        <is>
          <t>/api/v1/lms/lessons/{id}/move</t>
        </is>
      </c>
      <c r="C1628" s="8" t="inlineStr">
        <is>
          <t>P</t>
        </is>
      </c>
      <c r="D1628" s="8" t="inlineStr">
        <is>
          <t>worker/src/routes/teaching/lms.ts</t>
        </is>
      </c>
      <c r="E1628" s="8" t="n">
        <v>485</v>
      </c>
      <c r="F1628" s="8" t="inlineStr">
        <is>
          <t>Yes</t>
        </is>
      </c>
      <c r="G1628" s="8" t="n">
        <v>27</v>
      </c>
    </row>
    <row r="1629">
      <c r="A1629" s="8" t="inlineStr">
        <is>
          <t>DELETE</t>
        </is>
      </c>
      <c r="B1629" s="8" t="inlineStr">
        <is>
          <t>/api/v1/lms/lessons/{id}</t>
        </is>
      </c>
      <c r="C1629" s="8" t="inlineStr">
        <is>
          <t>P</t>
        </is>
      </c>
      <c r="D1629" s="8" t="inlineStr">
        <is>
          <t>worker/src/routes/teaching/lms.ts</t>
        </is>
      </c>
      <c r="E1629" s="8" t="n">
        <v>503</v>
      </c>
      <c r="F1629" s="8" t="inlineStr">
        <is>
          <t>Yes</t>
        </is>
      </c>
      <c r="G1629" s="8" t="n">
        <v>27</v>
      </c>
    </row>
    <row r="1630">
      <c r="A1630" s="8" t="inlineStr">
        <is>
          <t>GET</t>
        </is>
      </c>
      <c r="B1630" s="8" t="inlineStr">
        <is>
          <t>/api/v1/lms/lessons/{id}/progress</t>
        </is>
      </c>
      <c r="C1630" s="8" t="inlineStr">
        <is>
          <t>P</t>
        </is>
      </c>
      <c r="D1630" s="8" t="inlineStr">
        <is>
          <t>worker/src/routes/teaching/lms.ts</t>
        </is>
      </c>
      <c r="E1630" s="8" t="n">
        <v>512</v>
      </c>
      <c r="F1630" s="8" t="inlineStr">
        <is>
          <t>No</t>
        </is>
      </c>
      <c r="G1630" s="8" t="n">
        <v>27</v>
      </c>
    </row>
    <row r="1631">
      <c r="A1631" s="8" t="inlineStr">
        <is>
          <t>POST</t>
        </is>
      </c>
      <c r="B1631" s="8" t="inlineStr">
        <is>
          <t>/api/v1/lms/assignments</t>
        </is>
      </c>
      <c r="C1631" s="8" t="inlineStr">
        <is>
          <t>P</t>
        </is>
      </c>
      <c r="D1631" s="8" t="inlineStr">
        <is>
          <t>worker/src/routes/teaching/lms.ts</t>
        </is>
      </c>
      <c r="E1631" s="8" t="n">
        <v>524</v>
      </c>
      <c r="F1631" s="8" t="inlineStr">
        <is>
          <t>Yes</t>
        </is>
      </c>
      <c r="G1631" s="8" t="n">
        <v>27</v>
      </c>
    </row>
    <row r="1632">
      <c r="A1632" s="8" t="inlineStr">
        <is>
          <t>GET</t>
        </is>
      </c>
      <c r="B1632" s="8" t="inlineStr">
        <is>
          <t>/api/v1/lms/assignments/{id}/gradebook</t>
        </is>
      </c>
      <c r="C1632" s="8" t="inlineStr">
        <is>
          <t>P</t>
        </is>
      </c>
      <c r="D1632" s="8" t="inlineStr">
        <is>
          <t>worker/src/routes/teaching/lms.ts</t>
        </is>
      </c>
      <c r="E1632" s="8" t="n">
        <v>560</v>
      </c>
      <c r="F1632" s="8" t="inlineStr">
        <is>
          <t>Yes</t>
        </is>
      </c>
      <c r="G1632" s="8" t="n">
        <v>27</v>
      </c>
    </row>
    <row r="1633">
      <c r="A1633" s="8" t="inlineStr">
        <is>
          <t>POST</t>
        </is>
      </c>
      <c r="B1633" s="8" t="inlineStr">
        <is>
          <t>/api/v1/lms/assignments/{id}/grade</t>
        </is>
      </c>
      <c r="C1633" s="8" t="inlineStr">
        <is>
          <t>P</t>
        </is>
      </c>
      <c r="D1633" s="8" t="inlineStr">
        <is>
          <t>worker/src/routes/teaching/lms.ts</t>
        </is>
      </c>
      <c r="E1633" s="8" t="n">
        <v>589</v>
      </c>
      <c r="F1633" s="8" t="inlineStr">
        <is>
          <t>Yes</t>
        </is>
      </c>
      <c r="G1633" s="8" t="n">
        <v>27</v>
      </c>
    </row>
    <row r="1634">
      <c r="A1634" s="8" t="inlineStr">
        <is>
          <t>POST</t>
        </is>
      </c>
      <c r="B1634" s="8" t="inlineStr">
        <is>
          <t>/api/v1/lms/assignments/{id}/return</t>
        </is>
      </c>
      <c r="C1634" s="8" t="inlineStr">
        <is>
          <t>P</t>
        </is>
      </c>
      <c r="D1634" s="8" t="inlineStr">
        <is>
          <t>worker/src/routes/teaching/lms.ts</t>
        </is>
      </c>
      <c r="E1634" s="8" t="n">
        <v>637</v>
      </c>
      <c r="F1634" s="8" t="inlineStr">
        <is>
          <t>Yes</t>
        </is>
      </c>
      <c r="G1634" s="8" t="n">
        <v>27</v>
      </c>
    </row>
    <row r="1635">
      <c r="A1635" s="8" t="inlineStr">
        <is>
          <t>POST</t>
        </is>
      </c>
      <c r="B1635" s="8" t="inlineStr">
        <is>
          <t>/api/v1/lms/assignments/{id}/nudge</t>
        </is>
      </c>
      <c r="C1635" s="8" t="inlineStr">
        <is>
          <t>P</t>
        </is>
      </c>
      <c r="D1635" s="8" t="inlineStr">
        <is>
          <t>worker/src/routes/teaching/lms.ts</t>
        </is>
      </c>
      <c r="E1635" s="8" t="n">
        <v>653</v>
      </c>
      <c r="F1635" s="8" t="inlineStr">
        <is>
          <t>Yes</t>
        </is>
      </c>
      <c r="G1635" s="8" t="n">
        <v>27</v>
      </c>
    </row>
    <row r="1636">
      <c r="A1636" s="8" t="inlineStr">
        <is>
          <t>POST</t>
        </is>
      </c>
      <c r="B1636" s="8" t="inlineStr">
        <is>
          <t>/api/v1/lms/quizzes</t>
        </is>
      </c>
      <c r="C1636" s="8" t="inlineStr">
        <is>
          <t>P</t>
        </is>
      </c>
      <c r="D1636" s="8" t="inlineStr">
        <is>
          <t>worker/src/routes/teaching/lms.ts</t>
        </is>
      </c>
      <c r="E1636" s="8" t="n">
        <v>673</v>
      </c>
      <c r="F1636" s="8" t="inlineStr">
        <is>
          <t>Yes</t>
        </is>
      </c>
      <c r="G1636" s="8" t="n">
        <v>27</v>
      </c>
    </row>
    <row r="1637">
      <c r="A1637" s="8" t="inlineStr">
        <is>
          <t>POST</t>
        </is>
      </c>
      <c r="B1637" s="8" t="inlineStr">
        <is>
          <t>/api/v1/lms/quizzes/{id}/status</t>
        </is>
      </c>
      <c r="C1637" s="8" t="inlineStr">
        <is>
          <t>P</t>
        </is>
      </c>
      <c r="D1637" s="8" t="inlineStr">
        <is>
          <t>worker/src/routes/teaching/lms.ts</t>
        </is>
      </c>
      <c r="E1637" s="8" t="n">
        <v>722</v>
      </c>
      <c r="F1637" s="8" t="inlineStr">
        <is>
          <t>Yes</t>
        </is>
      </c>
      <c r="G1637" s="8" t="n">
        <v>27</v>
      </c>
    </row>
    <row r="1638">
      <c r="A1638" s="8" t="inlineStr">
        <is>
          <t>GET</t>
        </is>
      </c>
      <c r="B1638" s="8" t="inlineStr">
        <is>
          <t>/api/v1/lms/quizzes/{id}/results</t>
        </is>
      </c>
      <c r="C1638" s="8" t="inlineStr">
        <is>
          <t>P</t>
        </is>
      </c>
      <c r="D1638" s="8" t="inlineStr">
        <is>
          <t>worker/src/routes/teaching/lms.ts</t>
        </is>
      </c>
      <c r="E1638" s="8" t="n">
        <v>736</v>
      </c>
      <c r="F1638" s="8" t="inlineStr">
        <is>
          <t>Yes</t>
        </is>
      </c>
      <c r="G1638" s="8" t="n">
        <v>27</v>
      </c>
    </row>
    <row r="1639">
      <c r="A1639" s="8" t="inlineStr">
        <is>
          <t>POST</t>
        </is>
      </c>
      <c r="B1639" s="8" t="inlineStr">
        <is>
          <t>/api/v1/lms/assignments/{id}/module</t>
        </is>
      </c>
      <c r="C1639" s="8" t="inlineStr">
        <is>
          <t>P</t>
        </is>
      </c>
      <c r="D1639" s="8" t="inlineStr">
        <is>
          <t>worker/src/routes/teaching/lms.ts</t>
        </is>
      </c>
      <c r="E1639" s="8" t="n">
        <v>752</v>
      </c>
      <c r="F1639" s="8" t="inlineStr">
        <is>
          <t>No</t>
        </is>
      </c>
      <c r="G1639" s="8" t="n">
        <v>27</v>
      </c>
    </row>
    <row r="1640">
      <c r="A1640" s="8" t="inlineStr">
        <is>
          <t>POST</t>
        </is>
      </c>
      <c r="B1640" s="8" t="inlineStr">
        <is>
          <t>/api/v1/lms/quizzes/{id}/module</t>
        </is>
      </c>
      <c r="C1640" s="8" t="inlineStr">
        <is>
          <t>P</t>
        </is>
      </c>
      <c r="D1640" s="8" t="inlineStr">
        <is>
          <t>worker/src/routes/teaching/lms.ts</t>
        </is>
      </c>
      <c r="E1640" s="8" t="n">
        <v>767</v>
      </c>
      <c r="F1640" s="8" t="inlineStr">
        <is>
          <t>No</t>
        </is>
      </c>
      <c r="G1640" s="8" t="n">
        <v>27</v>
      </c>
    </row>
    <row r="1641">
      <c r="A1641" s="8" t="inlineStr">
        <is>
          <t>POST</t>
        </is>
      </c>
      <c r="B1641" s="8" t="inlineStr">
        <is>
          <t>/api/v1/lms/units/{id}/days</t>
        </is>
      </c>
      <c r="C1641" s="8" t="inlineStr">
        <is>
          <t>P</t>
        </is>
      </c>
      <c r="D1641" s="8" t="inlineStr">
        <is>
          <t>worker/src/routes/teaching/lms.ts</t>
        </is>
      </c>
      <c r="E1641" s="8" t="n">
        <v>786</v>
      </c>
      <c r="F1641" s="8" t="inlineStr">
        <is>
          <t>Yes</t>
        </is>
      </c>
      <c r="G1641" s="8" t="n">
        <v>27</v>
      </c>
    </row>
    <row r="1642">
      <c r="A1642" s="8" t="inlineStr">
        <is>
          <t>PUT</t>
        </is>
      </c>
      <c r="B1642" s="8" t="inlineStr">
        <is>
          <t>/api/v1/lms/units/{id}/days/{day}</t>
        </is>
      </c>
      <c r="C1642" s="8" t="inlineStr">
        <is>
          <t>P</t>
        </is>
      </c>
      <c r="D1642" s="8" t="inlineStr">
        <is>
          <t>worker/src/routes/teaching/lms.ts</t>
        </is>
      </c>
      <c r="E1642" s="8" t="n">
        <v>800</v>
      </c>
      <c r="F1642" s="8" t="inlineStr">
        <is>
          <t>Yes</t>
        </is>
      </c>
      <c r="G1642" s="8" t="n">
        <v>27</v>
      </c>
    </row>
    <row r="1643">
      <c r="A1643" s="8" t="inlineStr">
        <is>
          <t>DELETE</t>
        </is>
      </c>
      <c r="B1643" s="8" t="inlineStr">
        <is>
          <t>/api/v1/lms/units/{id}/days/{day}</t>
        </is>
      </c>
      <c r="C1643" s="8" t="inlineStr">
        <is>
          <t>P</t>
        </is>
      </c>
      <c r="D1643" s="8" t="inlineStr">
        <is>
          <t>worker/src/routes/teaching/lms.ts</t>
        </is>
      </c>
      <c r="E1643" s="8" t="n">
        <v>813</v>
      </c>
      <c r="F1643" s="8" t="inlineStr">
        <is>
          <t>Yes</t>
        </is>
      </c>
      <c r="G1643" s="8" t="n">
        <v>27</v>
      </c>
    </row>
    <row r="1644">
      <c r="A1644" s="8" t="inlineStr">
        <is>
          <t>POST</t>
        </is>
      </c>
      <c r="B1644" s="8" t="inlineStr">
        <is>
          <t>/api/v1/lms/units/{id}/days/order</t>
        </is>
      </c>
      <c r="C1644" s="8" t="inlineStr">
        <is>
          <t>P</t>
        </is>
      </c>
      <c r="D1644" s="8" t="inlineStr">
        <is>
          <t>worker/src/routes/teaching/lms.ts</t>
        </is>
      </c>
      <c r="E1644" s="8" t="n">
        <v>826</v>
      </c>
      <c r="F1644" s="8" t="inlineStr">
        <is>
          <t>Yes</t>
        </is>
      </c>
      <c r="G1644" s="8" t="n">
        <v>27</v>
      </c>
    </row>
    <row r="1645">
      <c r="A1645" s="8" t="inlineStr">
        <is>
          <t>PUT</t>
        </is>
      </c>
      <c r="B1645" s="8" t="inlineStr">
        <is>
          <t>/api/v1/lms/course/settings</t>
        </is>
      </c>
      <c r="C1645" s="8" t="inlineStr">
        <is>
          <t>P</t>
        </is>
      </c>
      <c r="D1645" s="8" t="inlineStr">
        <is>
          <t>worker/src/routes/teaching/lms.ts</t>
        </is>
      </c>
      <c r="E1645" s="8" t="n">
        <v>852</v>
      </c>
      <c r="F1645" s="8" t="inlineStr">
        <is>
          <t>Yes</t>
        </is>
      </c>
      <c r="G1645" s="8" t="n">
        <v>27</v>
      </c>
    </row>
    <row r="1646">
      <c r="A1646" s="8" t="inlineStr">
        <is>
          <t>GET</t>
        </is>
      </c>
      <c r="B1646" s="8" t="inlineStr">
        <is>
          <t>/api/v1/lms/course/progress</t>
        </is>
      </c>
      <c r="C1646" s="8" t="inlineStr">
        <is>
          <t>P</t>
        </is>
      </c>
      <c r="D1646" s="8" t="inlineStr">
        <is>
          <t>worker/src/routes/teaching/lms.ts</t>
        </is>
      </c>
      <c r="E1646" s="8" t="n">
        <v>866</v>
      </c>
      <c r="F1646" s="8" t="inlineStr">
        <is>
          <t>Yes</t>
        </is>
      </c>
      <c r="G1646" s="8" t="n">
        <v>27</v>
      </c>
    </row>
    <row r="1647">
      <c r="A1647" s="8" t="inlineStr">
        <is>
          <t>POST</t>
        </is>
      </c>
      <c r="B1647" s="8" t="inlineStr">
        <is>
          <t>/api/v1/lms/unlocks</t>
        </is>
      </c>
      <c r="C1647" s="8" t="inlineStr">
        <is>
          <t>P</t>
        </is>
      </c>
      <c r="D1647" s="8" t="inlineStr">
        <is>
          <t>worker/src/routes/teaching/lms.ts</t>
        </is>
      </c>
      <c r="E1647" s="8" t="n">
        <v>899</v>
      </c>
      <c r="F1647" s="8" t="inlineStr">
        <is>
          <t>Yes</t>
        </is>
      </c>
      <c r="G1647" s="8" t="n">
        <v>27</v>
      </c>
    </row>
    <row r="1648">
      <c r="A1648" s="8" t="inlineStr">
        <is>
          <t>DELETE</t>
        </is>
      </c>
      <c r="B1648" s="8" t="inlineStr">
        <is>
          <t>/api/v1/lms/unlocks</t>
        </is>
      </c>
      <c r="C1648" s="8" t="inlineStr">
        <is>
          <t>P</t>
        </is>
      </c>
      <c r="D1648" s="8" t="inlineStr">
        <is>
          <t>worker/src/routes/teaching/lms.ts</t>
        </is>
      </c>
      <c r="E1648" s="8" t="n">
        <v>905</v>
      </c>
      <c r="F1648" s="8" t="inlineStr">
        <is>
          <t>Yes</t>
        </is>
      </c>
      <c r="G1648" s="8" t="n">
        <v>27</v>
      </c>
    </row>
    <row r="1649">
      <c r="A1649" s="8" t="inlineStr">
        <is>
          <t>POST</t>
        </is>
      </c>
      <c r="B1649" s="8" t="inlineStr">
        <is>
          <t>/api/v1/lms/ai/quiz-draft</t>
        </is>
      </c>
      <c r="C1649" s="8" t="inlineStr">
        <is>
          <t>P</t>
        </is>
      </c>
      <c r="D1649" s="8" t="inlineStr">
        <is>
          <t>worker/src/routes/teaching/lms.ts</t>
        </is>
      </c>
      <c r="E1649" s="8" t="n">
        <v>912</v>
      </c>
      <c r="F1649" s="8" t="inlineStr">
        <is>
          <t>Yes</t>
        </is>
      </c>
      <c r="G1649" s="8" t="n">
        <v>27</v>
      </c>
    </row>
    <row r="1650">
      <c r="A1650" s="8" t="inlineStr">
        <is>
          <t>GET</t>
        </is>
      </c>
      <c r="B1650" s="8" t="inlineStr">
        <is>
          <t>/api/v1/lms/videos</t>
        </is>
      </c>
      <c r="C1650" s="8" t="inlineStr">
        <is>
          <t>P</t>
        </is>
      </c>
      <c r="D1650" s="8" t="inlineStr">
        <is>
          <t>worker/src/routes/teaching/videos.ts</t>
        </is>
      </c>
      <c r="E1650" s="8" t="n">
        <v>154</v>
      </c>
      <c r="F1650" s="8" t="inlineStr">
        <is>
          <t>Yes</t>
        </is>
      </c>
      <c r="G1650" s="8" t="n">
        <v>12</v>
      </c>
    </row>
    <row r="1651">
      <c r="A1651" s="8" t="inlineStr">
        <is>
          <t>PUT</t>
        </is>
      </c>
      <c r="B1651" s="8" t="inlineStr">
        <is>
          <t>/api/v1/lms/videos/limits</t>
        </is>
      </c>
      <c r="C1651" s="8" t="inlineStr">
        <is>
          <t>P</t>
        </is>
      </c>
      <c r="D1651" s="8" t="inlineStr">
        <is>
          <t>worker/src/routes/teaching/videos.ts</t>
        </is>
      </c>
      <c r="E1651" s="8" t="n">
        <v>182</v>
      </c>
      <c r="F1651" s="8" t="inlineStr">
        <is>
          <t>Yes</t>
        </is>
      </c>
      <c r="G1651" s="8" t="n">
        <v>12</v>
      </c>
    </row>
    <row r="1652">
      <c r="A1652" s="8" t="inlineStr">
        <is>
          <t>POST</t>
        </is>
      </c>
      <c r="B1652" s="8" t="inlineStr">
        <is>
          <t>/api/v1/lms/videos/uploads</t>
        </is>
      </c>
      <c r="C1652" s="8" t="inlineStr">
        <is>
          <t>P</t>
        </is>
      </c>
      <c r="D1652" s="8" t="inlineStr">
        <is>
          <t>worker/src/routes/teaching/videos.ts</t>
        </is>
      </c>
      <c r="E1652" s="8" t="n">
        <v>195</v>
      </c>
      <c r="F1652" s="8" t="inlineStr">
        <is>
          <t>Yes</t>
        </is>
      </c>
      <c r="G1652" s="8" t="n">
        <v>12</v>
      </c>
    </row>
    <row r="1653">
      <c r="A1653" s="8" t="inlineStr">
        <is>
          <t>PUT</t>
        </is>
      </c>
      <c r="B1653" s="8" t="inlineStr">
        <is>
          <t>/api/v1/lms/videos/{id}/parts/{n}</t>
        </is>
      </c>
      <c r="C1653" s="8" t="inlineStr">
        <is>
          <t>P</t>
        </is>
      </c>
      <c r="D1653" s="8" t="inlineStr">
        <is>
          <t>worker/src/routes/teaching/videos.ts</t>
        </is>
      </c>
      <c r="E1653" s="8" t="n">
        <v>220</v>
      </c>
      <c r="F1653" s="8" t="inlineStr">
        <is>
          <t>Yes</t>
        </is>
      </c>
      <c r="G1653" s="8" t="n">
        <v>12</v>
      </c>
    </row>
    <row r="1654">
      <c r="A1654" s="8" t="inlineStr">
        <is>
          <t>GET</t>
        </is>
      </c>
      <c r="B1654" s="8" t="inlineStr">
        <is>
          <t>/api/v1/lms/videos/{id}</t>
        </is>
      </c>
      <c r="C1654" s="8" t="inlineStr">
        <is>
          <t>P</t>
        </is>
      </c>
      <c r="D1654" s="8" t="inlineStr">
        <is>
          <t>worker/src/routes/teaching/videos.ts</t>
        </is>
      </c>
      <c r="E1654" s="8" t="n">
        <v>237</v>
      </c>
      <c r="F1654" s="8" t="inlineStr">
        <is>
          <t>Yes</t>
        </is>
      </c>
      <c r="G1654" s="8" t="n">
        <v>12</v>
      </c>
    </row>
    <row r="1655">
      <c r="A1655" s="8" t="inlineStr">
        <is>
          <t>POST</t>
        </is>
      </c>
      <c r="B1655" s="8" t="inlineStr">
        <is>
          <t>/api/v1/lms/videos/{id}/complete</t>
        </is>
      </c>
      <c r="C1655" s="8" t="inlineStr">
        <is>
          <t>P</t>
        </is>
      </c>
      <c r="D1655" s="8" t="inlineStr">
        <is>
          <t>worker/src/routes/teaching/videos.ts</t>
        </is>
      </c>
      <c r="E1655" s="8" t="n">
        <v>244</v>
      </c>
      <c r="F1655" s="8" t="inlineStr">
        <is>
          <t>Yes</t>
        </is>
      </c>
      <c r="G1655" s="8" t="n">
        <v>12</v>
      </c>
    </row>
    <row r="1656">
      <c r="A1656" s="8" t="inlineStr">
        <is>
          <t>POST</t>
        </is>
      </c>
      <c r="B1656" s="8" t="inlineStr">
        <is>
          <t>/api/v1/lms/videos/{id}/abort</t>
        </is>
      </c>
      <c r="C1656" s="8" t="inlineStr">
        <is>
          <t>P</t>
        </is>
      </c>
      <c r="D1656" s="8" t="inlineStr">
        <is>
          <t>worker/src/routes/teaching/videos.ts</t>
        </is>
      </c>
      <c r="E1656" s="8" t="n">
        <v>272</v>
      </c>
      <c r="F1656" s="8" t="inlineStr">
        <is>
          <t>Yes</t>
        </is>
      </c>
      <c r="G1656" s="8" t="n">
        <v>12</v>
      </c>
    </row>
    <row r="1657">
      <c r="A1657" s="8" t="inlineStr">
        <is>
          <t>PUT</t>
        </is>
      </c>
      <c r="B1657" s="8" t="inlineStr">
        <is>
          <t>/api/v1/lms/videos/{id}/thumbnail</t>
        </is>
      </c>
      <c r="C1657" s="8" t="inlineStr">
        <is>
          <t>P</t>
        </is>
      </c>
      <c r="D1657" s="8" t="inlineStr">
        <is>
          <t>worker/src/routes/teaching/videos.ts</t>
        </is>
      </c>
      <c r="E1657" s="8" t="n">
        <v>285</v>
      </c>
      <c r="F1657" s="8" t="inlineStr">
        <is>
          <t>Yes</t>
        </is>
      </c>
      <c r="G1657" s="8" t="n">
        <v>12</v>
      </c>
    </row>
    <row r="1658">
      <c r="A1658" s="8" t="inlineStr">
        <is>
          <t>PATCH</t>
        </is>
      </c>
      <c r="B1658" s="8" t="inlineStr">
        <is>
          <t>/api/v1/lms/videos/{id}</t>
        </is>
      </c>
      <c r="C1658" s="8" t="inlineStr">
        <is>
          <t>P</t>
        </is>
      </c>
      <c r="D1658" s="8" t="inlineStr">
        <is>
          <t>worker/src/routes/teaching/videos.ts</t>
        </is>
      </c>
      <c r="E1658" s="8" t="n">
        <v>299</v>
      </c>
      <c r="F1658" s="8" t="inlineStr">
        <is>
          <t>Yes</t>
        </is>
      </c>
      <c r="G1658" s="8" t="n">
        <v>12</v>
      </c>
    </row>
    <row r="1659">
      <c r="A1659" s="8" t="inlineStr">
        <is>
          <t>DELETE</t>
        </is>
      </c>
      <c r="B1659" s="8" t="inlineStr">
        <is>
          <t>/api/v1/lms/videos/{id}</t>
        </is>
      </c>
      <c r="C1659" s="8" t="inlineStr">
        <is>
          <t>P</t>
        </is>
      </c>
      <c r="D1659" s="8" t="inlineStr">
        <is>
          <t>worker/src/routes/teaching/videos.ts</t>
        </is>
      </c>
      <c r="E1659" s="8" t="n">
        <v>315</v>
      </c>
      <c r="F1659" s="8" t="inlineStr">
        <is>
          <t>Yes</t>
        </is>
      </c>
      <c r="G1659" s="8" t="n">
        <v>12</v>
      </c>
    </row>
    <row r="1660">
      <c r="A1660" s="8" t="inlineStr">
        <is>
          <t>GET</t>
        </is>
      </c>
      <c r="B1660" s="8" t="inlineStr">
        <is>
          <t>/api/v1/lms/videos/{id}/stream</t>
        </is>
      </c>
      <c r="C1660" s="8" t="inlineStr">
        <is>
          <t>auth</t>
        </is>
      </c>
      <c r="D1660" s="8" t="inlineStr">
        <is>
          <t>worker/src/routes/teaching/videos.ts</t>
        </is>
      </c>
      <c r="E1660" s="8" t="n">
        <v>330</v>
      </c>
      <c r="F1660" s="8" t="inlineStr">
        <is>
          <t>Yes</t>
        </is>
      </c>
      <c r="G1660" s="8" t="n">
        <v>12</v>
      </c>
    </row>
    <row r="1661">
      <c r="A1661" s="8" t="inlineStr">
        <is>
          <t>GET</t>
        </is>
      </c>
      <c r="B1661" s="8" t="inlineStr">
        <is>
          <t>/api/v1/lms/videos/{id}/thumbnail</t>
        </is>
      </c>
      <c r="C1661" s="8" t="inlineStr">
        <is>
          <t>auth</t>
        </is>
      </c>
      <c r="D1661" s="8" t="inlineStr">
        <is>
          <t>worker/src/routes/teaching/videos.ts</t>
        </is>
      </c>
      <c r="E1661" s="8" t="n">
        <v>336</v>
      </c>
      <c r="F1661" s="8" t="inlineStr">
        <is>
          <t>Yes</t>
        </is>
      </c>
      <c r="G1661" s="8" t="n">
        <v>12</v>
      </c>
    </row>
  </sheetData>
  <autoFilter ref="A1:G16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40"/>
  <sheetViews>
    <sheetView workbookViewId="0">
      <pane ySplit="1" topLeftCell="A2" activePane="bottomLeft" state="frozen"/>
      <selection pane="bottomLeft" activeCell="A1" sqref="A1"/>
    </sheetView>
  </sheetViews>
  <sheetFormatPr baseColWidth="8" defaultRowHeight="15"/>
  <cols>
    <col width="22" customWidth="1" min="1" max="1"/>
    <col width="38" customWidth="1" min="2" max="2"/>
    <col width="9" customWidth="1" min="3" max="3"/>
    <col width="9" customWidth="1" min="4" max="4"/>
    <col width="9" customWidth="1" min="5" max="5"/>
    <col width="11" customWidth="1" min="6" max="6"/>
    <col width="34" customWidth="1" min="7" max="7"/>
    <col width="12" customWidth="1" min="8" max="8"/>
    <col width="50" customWidth="1" min="9" max="9"/>
    <col width="44" customWidth="1" min="10" max="10"/>
  </cols>
  <sheetData>
    <row r="1" ht="30" customHeight="1">
      <c r="A1" s="9" t="inlineStr">
        <is>
          <t>Database</t>
        </is>
      </c>
      <c r="B1" s="9" t="inlineStr">
        <is>
          <t>Table</t>
        </is>
      </c>
      <c r="C1" s="9" t="inlineStr">
        <is>
          <t>Status</t>
        </is>
      </c>
      <c r="D1" s="9" t="inlineStr">
        <is>
          <t>Columns</t>
        </is>
      </c>
      <c r="E1" s="9" t="inlineStr">
        <is>
          <t>Indexes</t>
        </is>
      </c>
      <c r="F1" s="9" t="inlineStr">
        <is>
          <t>Foreign keys</t>
        </is>
      </c>
      <c r="G1" s="9" t="inlineStr">
        <is>
          <t>Created by</t>
        </is>
      </c>
      <c r="H1" s="9" t="inlineStr">
        <is>
          <t>Backend files using it</t>
        </is>
      </c>
      <c r="I1" s="9" t="inlineStr">
        <is>
          <t>Used by</t>
        </is>
      </c>
      <c r="J1" s="9" t="inlineStr">
        <is>
          <t>Note</t>
        </is>
      </c>
    </row>
    <row r="2">
      <c r="A2" s="8" t="inlineStr">
        <is>
          <t>CONTROL (platform)</t>
        </is>
      </c>
      <c r="B2" s="8" t="inlineStr">
        <is>
          <t>_migrations</t>
        </is>
      </c>
      <c r="C2" s="11" t="inlineStr">
        <is>
          <t>Good</t>
        </is>
      </c>
      <c r="D2" s="8" t="n">
        <v>5</v>
      </c>
      <c r="E2" s="8" t="n">
        <v>0</v>
      </c>
      <c r="F2" s="8" t="n">
        <v>0</v>
      </c>
      <c r="G2" s="8" t="inlineStr">
        <is>
          <t>baseline</t>
        </is>
      </c>
      <c r="H2" s="8" t="n">
        <v>1</v>
      </c>
      <c r="I2" s="8" t="inlineStr">
        <is>
          <t>worker/src/services/provision.ts</t>
        </is>
      </c>
      <c r="J2" s="8" t="inlineStr"/>
    </row>
    <row r="3">
      <c r="A3" s="8" t="inlineStr">
        <is>
          <t>CONTROL (platform)</t>
        </is>
      </c>
      <c r="B3" s="8" t="inlineStr">
        <is>
          <t>backups</t>
        </is>
      </c>
      <c r="C3" s="11" t="inlineStr">
        <is>
          <t>Good</t>
        </is>
      </c>
      <c r="D3" s="8" t="n">
        <v>16</v>
      </c>
      <c r="E3" s="8" t="n">
        <v>2</v>
      </c>
      <c r="F3" s="8" t="n">
        <v>0</v>
      </c>
      <c r="G3" s="8" t="inlineStr">
        <is>
          <t>0008_lifecycle.sql</t>
        </is>
      </c>
      <c r="H3" s="8" t="n">
        <v>2</v>
      </c>
      <c r="I3" s="8" t="inlineStr">
        <is>
          <t>worker/src/routes/seller/lifecycle.ts
worker/src/services/background/backup.ts</t>
        </is>
      </c>
      <c r="J3" s="8" t="inlineStr"/>
    </row>
    <row r="4">
      <c r="A4" s="8" t="inlineStr">
        <is>
          <t>CONTROL (platform)</t>
        </is>
      </c>
      <c r="B4" s="8" t="inlineStr">
        <is>
          <t>billing_gateway_orders</t>
        </is>
      </c>
      <c r="C4" s="11" t="inlineStr">
        <is>
          <t>Good</t>
        </is>
      </c>
      <c r="D4" s="8" t="n">
        <v>10</v>
      </c>
      <c r="E4" s="8" t="n">
        <v>0</v>
      </c>
      <c r="F4" s="8" t="n">
        <v>0</v>
      </c>
      <c r="G4" s="8" t="inlineStr">
        <is>
          <t>0009_billing.sql</t>
        </is>
      </c>
      <c r="H4" s="8" t="n">
        <v>1</v>
      </c>
      <c r="I4" s="8" t="inlineStr">
        <is>
          <t>worker/src/routes/seller/billing.ts</t>
        </is>
      </c>
      <c r="J4" s="8" t="inlineStr"/>
    </row>
    <row r="5">
      <c r="A5" s="8" t="inlineStr">
        <is>
          <t>CONTROL (platform)</t>
        </is>
      </c>
      <c r="B5" s="8" t="inlineStr">
        <is>
          <t>billing_invoices</t>
        </is>
      </c>
      <c r="C5" s="11" t="inlineStr">
        <is>
          <t>Good</t>
        </is>
      </c>
      <c r="D5" s="8" t="n">
        <v>24</v>
      </c>
      <c r="E5" s="8" t="n">
        <v>2</v>
      </c>
      <c r="F5" s="8" t="n">
        <v>0</v>
      </c>
      <c r="G5" s="8" t="inlineStr">
        <is>
          <t>0009_billing.sql</t>
        </is>
      </c>
      <c r="H5" s="8" t="n">
        <v>1</v>
      </c>
      <c r="I5" s="8" t="inlineStr">
        <is>
          <t>worker/src/routes/seller/billing.ts</t>
        </is>
      </c>
      <c r="J5" s="8" t="inlineStr"/>
    </row>
    <row r="6">
      <c r="A6" s="8" t="inlineStr">
        <is>
          <t>CONTROL (platform)</t>
        </is>
      </c>
      <c r="B6" s="8" t="inlineStr">
        <is>
          <t>billing_payments</t>
        </is>
      </c>
      <c r="C6" s="11" t="inlineStr">
        <is>
          <t>Good</t>
        </is>
      </c>
      <c r="D6" s="8" t="n">
        <v>10</v>
      </c>
      <c r="E6" s="8" t="n">
        <v>1</v>
      </c>
      <c r="F6" s="8" t="n">
        <v>0</v>
      </c>
      <c r="G6" s="8" t="inlineStr">
        <is>
          <t>0009_billing.sql</t>
        </is>
      </c>
      <c r="H6" s="8" t="n">
        <v>1</v>
      </c>
      <c r="I6" s="8" t="inlineStr">
        <is>
          <t>worker/src/routes/seller/billing.ts</t>
        </is>
      </c>
      <c r="J6" s="8" t="inlineStr"/>
    </row>
    <row r="7">
      <c r="A7" s="8" t="inlineStr">
        <is>
          <t>CONTROL (platform)</t>
        </is>
      </c>
      <c r="B7" s="8" t="inlineStr">
        <is>
          <t>billing_reminders</t>
        </is>
      </c>
      <c r="C7" s="11" t="inlineStr">
        <is>
          <t>Good</t>
        </is>
      </c>
      <c r="D7" s="8" t="n">
        <v>5</v>
      </c>
      <c r="E7" s="8" t="n">
        <v>0</v>
      </c>
      <c r="F7" s="8" t="n">
        <v>0</v>
      </c>
      <c r="G7" s="8" t="inlineStr">
        <is>
          <t>0009_billing.sql</t>
        </is>
      </c>
      <c r="H7" s="8" t="n">
        <v>1</v>
      </c>
      <c r="I7" s="8" t="inlineStr">
        <is>
          <t>worker/src/routes/seller/billing.ts</t>
        </is>
      </c>
      <c r="J7" s="8" t="inlineStr"/>
    </row>
    <row r="8">
      <c r="A8" s="8" t="inlineStr">
        <is>
          <t>CONTROL (platform)</t>
        </is>
      </c>
      <c r="B8" s="8" t="inlineStr">
        <is>
          <t>billing_settings</t>
        </is>
      </c>
      <c r="C8" s="11" t="inlineStr">
        <is>
          <t>Good</t>
        </is>
      </c>
      <c r="D8" s="8" t="n">
        <v>14</v>
      </c>
      <c r="E8" s="8" t="n">
        <v>0</v>
      </c>
      <c r="F8" s="8" t="n">
        <v>0</v>
      </c>
      <c r="G8" s="8" t="inlineStr">
        <is>
          <t>0009_billing.sql</t>
        </is>
      </c>
      <c r="H8" s="8" t="n">
        <v>2</v>
      </c>
      <c r="I8" s="8" t="inlineStr">
        <is>
          <t>worker/src/routes/seller/billing.ts
worker/src/routes/seller/onboarding.ts</t>
        </is>
      </c>
      <c r="J8" s="8" t="inlineStr"/>
    </row>
    <row r="9">
      <c r="A9" s="8" t="inlineStr">
        <is>
          <t>CONTROL (platform)</t>
        </is>
      </c>
      <c r="B9" s="8" t="inlineStr">
        <is>
          <t>billing_status_log</t>
        </is>
      </c>
      <c r="C9" s="11" t="inlineStr">
        <is>
          <t>Good</t>
        </is>
      </c>
      <c r="D9" s="8" t="n">
        <v>3</v>
      </c>
      <c r="E9" s="8" t="n">
        <v>0</v>
      </c>
      <c r="F9" s="8" t="n">
        <v>0</v>
      </c>
      <c r="G9" s="8" t="inlineStr">
        <is>
          <t>0009_billing.sql</t>
        </is>
      </c>
      <c r="H9" s="8" t="n">
        <v>1</v>
      </c>
      <c r="I9" s="8" t="inlineStr">
        <is>
          <t>worker/src/routes/seller/billing.ts</t>
        </is>
      </c>
      <c r="J9" s="8" t="inlineStr"/>
    </row>
    <row r="10">
      <c r="A10" s="8" t="inlineStr">
        <is>
          <t>CONTROL (platform)</t>
        </is>
      </c>
      <c r="B10" s="8" t="inlineStr">
        <is>
          <t>board_memberships</t>
        </is>
      </c>
      <c r="C10" s="11" t="inlineStr">
        <is>
          <t>Good</t>
        </is>
      </c>
      <c r="D10" s="8" t="n">
        <v>5</v>
      </c>
      <c r="E10" s="8" t="n">
        <v>0</v>
      </c>
      <c r="F10" s="8" t="n">
        <v>0</v>
      </c>
      <c r="G10" s="8" t="inlineStr">
        <is>
          <t>0003_school_groups.sql</t>
        </is>
      </c>
      <c r="H10" s="8" t="n">
        <v>4</v>
      </c>
      <c r="I10" s="8" t="inlineStr">
        <is>
          <t>worker/src/identity.ts
worker/src/routes/daily.ts
worker/src/routes/seller/groups.ts
worker/src/routes/seller/tenants.ts</t>
        </is>
      </c>
      <c r="J10" s="8" t="inlineStr"/>
    </row>
    <row r="11">
      <c r="A11" s="8" t="inlineStr">
        <is>
          <t>CONTROL (platform)</t>
        </is>
      </c>
      <c r="B11" s="8" t="inlineStr">
        <is>
          <t>cron_runs</t>
        </is>
      </c>
      <c r="C11" s="11" t="inlineStr">
        <is>
          <t>Good</t>
        </is>
      </c>
      <c r="D11" s="8" t="n">
        <v>2</v>
      </c>
      <c r="E11" s="8" t="n">
        <v>0</v>
      </c>
      <c r="F11" s="8" t="n">
        <v>0</v>
      </c>
      <c r="G11" s="8" t="inlineStr">
        <is>
          <t>0001_baseline.sql</t>
        </is>
      </c>
      <c r="H11" s="8" t="n">
        <v>1</v>
      </c>
      <c r="I11" s="8" t="inlineStr">
        <is>
          <t>worker/src/services/cron.ts</t>
        </is>
      </c>
      <c r="J11" s="8" t="inlineStr"/>
    </row>
    <row r="12">
      <c r="A12" s="8" t="inlineStr">
        <is>
          <t>CONTROL (platform)</t>
        </is>
      </c>
      <c r="B12" s="8" t="inlineStr">
        <is>
          <t>dead_letters</t>
        </is>
      </c>
      <c r="C12" s="11" t="inlineStr">
        <is>
          <t>Good</t>
        </is>
      </c>
      <c r="D12" s="8" t="n">
        <v>10</v>
      </c>
      <c r="E12" s="8" t="n">
        <v>2</v>
      </c>
      <c r="F12" s="8" t="n">
        <v>0</v>
      </c>
      <c r="G12" s="8" t="inlineStr">
        <is>
          <t>0011_dead_letters.sql</t>
        </is>
      </c>
      <c r="H12" s="8" t="n">
        <v>2</v>
      </c>
      <c r="I12" s="8" t="inlineStr">
        <is>
          <t>worker/src/routes/comms/delivery.ts
worker/src/services/dead_letters.ts</t>
        </is>
      </c>
      <c r="J12" s="8" t="inlineStr"/>
    </row>
    <row r="13">
      <c r="A13" s="8" t="inlineStr">
        <is>
          <t>CONTROL (platform)</t>
        </is>
      </c>
      <c r="B13" s="8" t="inlineStr">
        <is>
          <t>institutions</t>
        </is>
      </c>
      <c r="C13" s="11" t="inlineStr">
        <is>
          <t>Good</t>
        </is>
      </c>
      <c r="D13" s="8" t="n">
        <v>25</v>
      </c>
      <c r="E13" s="8" t="n">
        <v>2</v>
      </c>
      <c r="F13" s="8" t="n">
        <v>0</v>
      </c>
      <c r="G13" s="8" t="inlineStr">
        <is>
          <t>0001_baseline.sql</t>
        </is>
      </c>
      <c r="H13" s="8" t="n">
        <v>54</v>
      </c>
      <c r="I13" s="8" t="inlineStr">
        <is>
          <t>worker/src/identity.ts
worker/src/pages/reset.ts
worker/src/routes/admin/connectors_common.ts
worker/src/routes/admin/messaging.ts
worker/src/routes/admin/msg_plans.ts
worker/src/routes/admin/platform_config.ts
… +48 more</t>
        </is>
      </c>
      <c r="J13" s="8" t="inlineStr"/>
    </row>
    <row r="14">
      <c r="A14" s="8" t="inlineStr">
        <is>
          <t>CONTROL (platform)</t>
        </is>
      </c>
      <c r="B14" s="8" t="inlineStr">
        <is>
          <t>jobs</t>
        </is>
      </c>
      <c r="C14" s="11" t="inlineStr">
        <is>
          <t>Good</t>
        </is>
      </c>
      <c r="D14" s="8" t="n">
        <v>11</v>
      </c>
      <c r="E14" s="8" t="n">
        <v>4</v>
      </c>
      <c r="F14" s="8" t="n">
        <v>0</v>
      </c>
      <c r="G14" s="8" t="inlineStr">
        <is>
          <t>0001_baseline.sql</t>
        </is>
      </c>
      <c r="H14" s="8" t="n">
        <v>5</v>
      </c>
      <c r="I14" s="8" t="inlineStr">
        <is>
          <t>worker/src/routes/daily.ts
worker/src/services/background/health.ts
worker/src/services/background/housekeeping.ts
worker/src/services/dead_letters.ts
worker/src/services/jobs.ts</t>
        </is>
      </c>
      <c r="J14" s="8" t="inlineStr"/>
    </row>
    <row r="15">
      <c r="A15" s="8" t="inlineStr">
        <is>
          <t>CONTROL (platform)</t>
        </is>
      </c>
      <c r="B15" s="8" t="inlineStr">
        <is>
          <t>login_events</t>
        </is>
      </c>
      <c r="C15" s="11" t="inlineStr">
        <is>
          <t>Good</t>
        </is>
      </c>
      <c r="D15" s="8" t="n">
        <v>8</v>
      </c>
      <c r="E15" s="8" t="n">
        <v>2</v>
      </c>
      <c r="F15" s="8" t="n">
        <v>0</v>
      </c>
      <c r="G15" s="8" t="inlineStr">
        <is>
          <t>0001_baseline.sql</t>
        </is>
      </c>
      <c r="H15" s="8" t="n">
        <v>8</v>
      </c>
      <c r="I15" s="8" t="inlineStr">
        <is>
          <t>worker/src/pages/mfa.ts
worker/src/routes/admin/security.ts
worker/src/routes/admin/users.ts
worker/src/routes/fees/common.ts
worker/src/routes/login.ts
worker/src/routes/misc/profile.ts
… +2 more</t>
        </is>
      </c>
      <c r="J15" s="8" t="inlineStr"/>
    </row>
    <row r="16">
      <c r="A16" s="8" t="inlineStr">
        <is>
          <t>CONTROL (platform)</t>
        </is>
      </c>
      <c r="B16" s="8" t="inlineStr">
        <is>
          <t>login_index</t>
        </is>
      </c>
      <c r="C16" s="11" t="inlineStr">
        <is>
          <t>Good</t>
        </is>
      </c>
      <c r="D16" s="8" t="n">
        <v>5</v>
      </c>
      <c r="E16" s="8" t="n">
        <v>2</v>
      </c>
      <c r="F16" s="8" t="n">
        <v>0</v>
      </c>
      <c r="G16" s="8" t="inlineStr">
        <is>
          <t>0001_baseline.sql</t>
        </is>
      </c>
      <c r="H16" s="8" t="n">
        <v>11</v>
      </c>
      <c r="I16" s="8" t="inlineStr">
        <is>
          <t>worker/src/pages/reset.ts
worker/src/routes/admin/users.ts
worker/src/routes/comms/sms_gateway_public.ts
worker/src/routes/login.ts
worker/src/routes/misc/profile.ts
worker/src/routes/portal/family.ts
… +5 more</t>
        </is>
      </c>
      <c r="J16" s="8" t="inlineStr"/>
    </row>
    <row r="17">
      <c r="A17" s="8" t="inlineStr">
        <is>
          <t>CONTROL (platform)</t>
        </is>
      </c>
      <c r="B17" s="8" t="inlineStr">
        <is>
          <t>login_throttle</t>
        </is>
      </c>
      <c r="C17" s="11" t="inlineStr">
        <is>
          <t>Good</t>
        </is>
      </c>
      <c r="D17" s="8" t="n">
        <v>4</v>
      </c>
      <c r="E17" s="8" t="n">
        <v>1</v>
      </c>
      <c r="F17" s="8" t="n">
        <v>0</v>
      </c>
      <c r="G17" s="8" t="inlineStr">
        <is>
          <t>0001_baseline.sql</t>
        </is>
      </c>
      <c r="H17" s="8" t="n">
        <v>6</v>
      </c>
      <c r="I17" s="8" t="inlineStr">
        <is>
          <t>worker/src/pages/mfa.ts
worker/src/routes/comms/public_common.ts
worker/src/routes/login.ts
worker/src/routes/scheduling/bus_tracker.ts
worker/src/routes/teaching/gemini.ts
worker/src/services/background/housekeeping.ts</t>
        </is>
      </c>
      <c r="J17" s="8" t="inlineStr"/>
    </row>
    <row r="18">
      <c r="A18" s="8" t="inlineStr">
        <is>
          <t>CONTROL (platform)</t>
        </is>
      </c>
      <c r="B18" s="8" t="inlineStr">
        <is>
          <t>onboarding_progress</t>
        </is>
      </c>
      <c r="C18" s="11" t="inlineStr">
        <is>
          <t>Good</t>
        </is>
      </c>
      <c r="D18" s="8" t="n">
        <v>13</v>
      </c>
      <c r="E18" s="8" t="n">
        <v>0</v>
      </c>
      <c r="F18" s="8" t="n">
        <v>0</v>
      </c>
      <c r="G18" s="8" t="inlineStr">
        <is>
          <t>0009_billing.sql</t>
        </is>
      </c>
      <c r="H18" s="8" t="n">
        <v>1</v>
      </c>
      <c r="I18" s="8" t="inlineStr">
        <is>
          <t>worker/src/routes/seller/onboarding.ts</t>
        </is>
      </c>
      <c r="J18" s="8" t="inlineStr"/>
    </row>
    <row r="19">
      <c r="A19" s="8" t="inlineStr">
        <is>
          <t>CONTROL (platform)</t>
        </is>
      </c>
      <c r="B19" s="8" t="inlineStr">
        <is>
          <t>password_resets</t>
        </is>
      </c>
      <c r="C19" s="11" t="inlineStr">
        <is>
          <t>Good</t>
        </is>
      </c>
      <c r="D19" s="8" t="n">
        <v>8</v>
      </c>
      <c r="E19" s="8" t="n">
        <v>2</v>
      </c>
      <c r="F19" s="8" t="n">
        <v>0</v>
      </c>
      <c r="G19" s="8" t="inlineStr">
        <is>
          <t>0001_baseline.sql</t>
        </is>
      </c>
      <c r="H19" s="8" t="n">
        <v>1</v>
      </c>
      <c r="I19" s="8" t="inlineStr">
        <is>
          <t>worker/src/pages/reset.ts</t>
        </is>
      </c>
      <c r="J19" s="8" t="inlineStr"/>
    </row>
    <row r="20">
      <c r="A20" s="8" t="inlineStr">
        <is>
          <t>CONTROL (platform)</t>
        </is>
      </c>
      <c r="B20" s="8" t="inlineStr">
        <is>
          <t>platform_broadcast_reads</t>
        </is>
      </c>
      <c r="C20" s="11" t="inlineStr">
        <is>
          <t>Good</t>
        </is>
      </c>
      <c r="D20" s="8" t="n">
        <v>5</v>
      </c>
      <c r="E20" s="8" t="n">
        <v>1</v>
      </c>
      <c r="F20" s="8" t="n">
        <v>0</v>
      </c>
      <c r="G20" s="8" t="inlineStr">
        <is>
          <t>0006_features.sql</t>
        </is>
      </c>
      <c r="H20" s="8" t="n">
        <v>1</v>
      </c>
      <c r="I20" s="8" t="inlineStr">
        <is>
          <t>worker/src/routes/seller/announcements.ts</t>
        </is>
      </c>
      <c r="J20" s="8" t="inlineStr"/>
    </row>
    <row r="21">
      <c r="A21" s="8" t="inlineStr">
        <is>
          <t>CONTROL (platform)</t>
        </is>
      </c>
      <c r="B21" s="8" t="inlineStr">
        <is>
          <t>platform_broadcast_targets</t>
        </is>
      </c>
      <c r="C21" s="11" t="inlineStr">
        <is>
          <t>Good</t>
        </is>
      </c>
      <c r="D21" s="8" t="n">
        <v>5</v>
      </c>
      <c r="E21" s="8" t="n">
        <v>0</v>
      </c>
      <c r="F21" s="8" t="n">
        <v>0</v>
      </c>
      <c r="G21" s="8" t="inlineStr">
        <is>
          <t>0006_features.sql</t>
        </is>
      </c>
      <c r="H21" s="8" t="n">
        <v>1</v>
      </c>
      <c r="I21" s="8" t="inlineStr">
        <is>
          <t>worker/src/routes/seller/announcements.ts</t>
        </is>
      </c>
      <c r="J21" s="8" t="inlineStr"/>
    </row>
    <row r="22">
      <c r="A22" s="8" t="inlineStr">
        <is>
          <t>CONTROL (platform)</t>
        </is>
      </c>
      <c r="B22" s="8" t="inlineStr">
        <is>
          <t>platform_broadcasts</t>
        </is>
      </c>
      <c r="C22" s="11" t="inlineStr">
        <is>
          <t>Good</t>
        </is>
      </c>
      <c r="D22" s="8" t="n">
        <v>3</v>
      </c>
      <c r="E22" s="8" t="n">
        <v>0</v>
      </c>
      <c r="F22" s="8" t="n">
        <v>0</v>
      </c>
      <c r="G22" s="8" t="inlineStr">
        <is>
          <t>0001_baseline.sql</t>
        </is>
      </c>
      <c r="H22" s="8" t="n">
        <v>2</v>
      </c>
      <c r="I22" s="8" t="inlineStr">
        <is>
          <t>worker/src/routes/seller/announcements.ts
worker/src/routes/seller/platform.ts</t>
        </is>
      </c>
      <c r="J22" s="8" t="inlineStr"/>
    </row>
    <row r="23">
      <c r="A23" s="8" t="inlineStr">
        <is>
          <t>CONTROL (platform)</t>
        </is>
      </c>
      <c r="B23" s="8" t="inlineStr">
        <is>
          <t>platform_costs</t>
        </is>
      </c>
      <c r="C23" s="11" t="inlineStr">
        <is>
          <t>Good</t>
        </is>
      </c>
      <c r="D23" s="8" t="n">
        <v>4</v>
      </c>
      <c r="E23" s="8" t="n">
        <v>0</v>
      </c>
      <c r="F23" s="8" t="n">
        <v>0</v>
      </c>
      <c r="G23" s="8" t="inlineStr">
        <is>
          <t>0001_baseline.sql</t>
        </is>
      </c>
      <c r="H23" s="8" t="n">
        <v>1</v>
      </c>
      <c r="I23" s="8" t="inlineStr">
        <is>
          <t>worker/src/routes/seller/platform.ts</t>
        </is>
      </c>
      <c r="J23" s="8" t="inlineStr"/>
    </row>
    <row r="24">
      <c r="A24" s="8" t="inlineStr">
        <is>
          <t>CONTROL (platform)</t>
        </is>
      </c>
      <c r="B24" s="8" t="inlineStr">
        <is>
          <t>platform_events</t>
        </is>
      </c>
      <c r="C24" s="11" t="inlineStr">
        <is>
          <t>Good</t>
        </is>
      </c>
      <c r="D24" s="8" t="n">
        <v>4</v>
      </c>
      <c r="E24" s="8" t="n">
        <v>1</v>
      </c>
      <c r="F24" s="8" t="n">
        <v>0</v>
      </c>
      <c r="G24" s="8" t="inlineStr">
        <is>
          <t>0001_baseline.sql</t>
        </is>
      </c>
      <c r="H24" s="8" t="n">
        <v>4</v>
      </c>
      <c r="I24" s="8" t="inlineStr">
        <is>
          <t>worker/src/routes/seller/groups.ts
worker/src/routes/seller/platform.ts
worker/src/routes/seller/tenants.ts
worker/src/services/provision.ts</t>
        </is>
      </c>
      <c r="J24" s="8" t="inlineStr"/>
    </row>
    <row r="25">
      <c r="A25" s="8" t="inlineStr">
        <is>
          <t>CONTROL (platform)</t>
        </is>
      </c>
      <c r="B25" s="8" t="inlineStr">
        <is>
          <t>platform_user_roles</t>
        </is>
      </c>
      <c r="C25" s="11" t="inlineStr">
        <is>
          <t>Good</t>
        </is>
      </c>
      <c r="D25" s="8" t="n">
        <v>3</v>
      </c>
      <c r="E25" s="8" t="n">
        <v>0</v>
      </c>
      <c r="F25" s="8" t="n">
        <v>0</v>
      </c>
      <c r="G25" s="8" t="inlineStr">
        <is>
          <t>0001_baseline.sql</t>
        </is>
      </c>
      <c r="H25" s="8" t="n">
        <v>4</v>
      </c>
      <c r="I25" s="8" t="inlineStr">
        <is>
          <t>worker/src/identity.ts
worker/src/routes/seller/tenants.ts
worker/src/services/dead_letters.ts
worker/src/services/messaging.ts</t>
        </is>
      </c>
      <c r="J25" s="8" t="inlineStr"/>
    </row>
    <row r="26">
      <c r="A26" s="8" t="inlineStr">
        <is>
          <t>CONTROL (platform)</t>
        </is>
      </c>
      <c r="B26" s="8" t="inlineStr">
        <is>
          <t>platform_users</t>
        </is>
      </c>
      <c r="C26" s="11" t="inlineStr">
        <is>
          <t>Good</t>
        </is>
      </c>
      <c r="D26" s="8" t="n">
        <v>9</v>
      </c>
      <c r="E26" s="8" t="n">
        <v>0</v>
      </c>
      <c r="F26" s="8" t="n">
        <v>0</v>
      </c>
      <c r="G26" s="8" t="inlineStr">
        <is>
          <t>0001_baseline.sql</t>
        </is>
      </c>
      <c r="H26" s="8" t="n">
        <v>9</v>
      </c>
      <c r="I26" s="8" t="inlineStr">
        <is>
          <t>worker/src/identity.ts
worker/src/pages/reset.ts
worker/src/routes/comms/sms_gateway_public.ts
worker/src/routes/login.ts
worker/src/routes/seller/platform.ts
worker/src/routes/seller/tenants.ts
… +3 more</t>
        </is>
      </c>
      <c r="J26" s="8" t="inlineStr"/>
    </row>
    <row r="27">
      <c r="A27" s="8" t="inlineStr">
        <is>
          <t>CONTROL (platform)</t>
        </is>
      </c>
      <c r="B27" s="8" t="inlineStr">
        <is>
          <t>provisioning</t>
        </is>
      </c>
      <c r="C27" s="11" t="inlineStr">
        <is>
          <t>Good</t>
        </is>
      </c>
      <c r="D27" s="8" t="n">
        <v>33</v>
      </c>
      <c r="E27" s="8" t="n">
        <v>1</v>
      </c>
      <c r="F27" s="8" t="n">
        <v>0</v>
      </c>
      <c r="G27" s="8" t="inlineStr">
        <is>
          <t>0007_provisioning.sql</t>
        </is>
      </c>
      <c r="H27" s="8" t="n">
        <v>2</v>
      </c>
      <c r="I27" s="8" t="inlineStr">
        <is>
          <t>worker/src/routes/seller/provisioning.ts
worker/src/services/provision.ts</t>
        </is>
      </c>
      <c r="J27" s="8" t="inlineStr"/>
    </row>
    <row r="28">
      <c r="A28" s="8" t="inlineStr">
        <is>
          <t>CONTROL (platform)</t>
        </is>
      </c>
      <c r="B28" s="8" t="inlineStr">
        <is>
          <t>purchase_enquiries</t>
        </is>
      </c>
      <c r="C28" s="11" t="inlineStr">
        <is>
          <t>Good</t>
        </is>
      </c>
      <c r="D28" s="8" t="n">
        <v>9</v>
      </c>
      <c r="E28" s="8" t="n">
        <v>1</v>
      </c>
      <c r="F28" s="8" t="n">
        <v>0</v>
      </c>
      <c r="G28" s="8" t="inlineStr">
        <is>
          <t>0001_baseline.sql</t>
        </is>
      </c>
      <c r="H28" s="8" t="n">
        <v>2</v>
      </c>
      <c r="I28" s="8" t="inlineStr">
        <is>
          <t>worker/src/pages/buy.ts
worker/src/routes/seller/platform.ts</t>
        </is>
      </c>
      <c r="J28" s="8" t="inlineStr"/>
    </row>
    <row r="29">
      <c r="A29" s="8" t="inlineStr">
        <is>
          <t>CONTROL (platform)</t>
        </is>
      </c>
      <c r="B29" s="8" t="inlineStr">
        <is>
          <t>purchase_enquiry_notes</t>
        </is>
      </c>
      <c r="C29" s="11" t="inlineStr">
        <is>
          <t>Good</t>
        </is>
      </c>
      <c r="D29" s="8" t="n">
        <v>3</v>
      </c>
      <c r="E29" s="8" t="n">
        <v>0</v>
      </c>
      <c r="F29" s="8" t="n">
        <v>0</v>
      </c>
      <c r="G29" s="8" t="inlineStr">
        <is>
          <t>0001_baseline.sql</t>
        </is>
      </c>
      <c r="H29" s="8" t="n">
        <v>1</v>
      </c>
      <c r="I29" s="8" t="inlineStr">
        <is>
          <t>worker/src/routes/seller/platform.ts</t>
        </is>
      </c>
      <c r="J29" s="8" t="inlineStr"/>
    </row>
    <row r="30">
      <c r="A30" s="8" t="inlineStr">
        <is>
          <t>CONTROL (platform)</t>
        </is>
      </c>
      <c r="B30" s="8" t="inlineStr">
        <is>
          <t>restores</t>
        </is>
      </c>
      <c r="C30" s="11" t="inlineStr">
        <is>
          <t>Good</t>
        </is>
      </c>
      <c r="D30" s="8" t="n">
        <v>14</v>
      </c>
      <c r="E30" s="8" t="n">
        <v>1</v>
      </c>
      <c r="F30" s="8" t="n">
        <v>0</v>
      </c>
      <c r="G30" s="8" t="inlineStr">
        <is>
          <t>0008_lifecycle.sql</t>
        </is>
      </c>
      <c r="H30" s="8" t="n">
        <v>1</v>
      </c>
      <c r="I30" s="8" t="inlineStr">
        <is>
          <t>worker/src/routes/seller/lifecycle.ts</t>
        </is>
      </c>
      <c r="J30" s="8" t="inlineStr"/>
    </row>
    <row r="31">
      <c r="A31" s="8" t="inlineStr">
        <is>
          <t>CONTROL (platform)</t>
        </is>
      </c>
      <c r="B31" s="8" t="inlineStr">
        <is>
          <t>school_errors</t>
        </is>
      </c>
      <c r="C31" s="11" t="inlineStr">
        <is>
          <t>Good</t>
        </is>
      </c>
      <c r="D31" s="8" t="n">
        <v>5</v>
      </c>
      <c r="E31" s="8" t="n">
        <v>0</v>
      </c>
      <c r="F31" s="8" t="n">
        <v>0</v>
      </c>
      <c r="G31" s="8" t="inlineStr">
        <is>
          <t>0005_health.sql</t>
        </is>
      </c>
      <c r="H31" s="8" t="n">
        <v>1</v>
      </c>
      <c r="I31" s="8" t="inlineStr">
        <is>
          <t>worker/src/services/background/health.ts</t>
        </is>
      </c>
      <c r="J31" s="8" t="inlineStr"/>
    </row>
    <row r="32">
      <c r="A32" s="8" t="inlineStr">
        <is>
          <t>CONTROL (platform)</t>
        </is>
      </c>
      <c r="B32" s="8" t="inlineStr">
        <is>
          <t>school_exports</t>
        </is>
      </c>
      <c r="C32" s="11" t="inlineStr">
        <is>
          <t>Good</t>
        </is>
      </c>
      <c r="D32" s="8" t="n">
        <v>16</v>
      </c>
      <c r="E32" s="8" t="n">
        <v>1</v>
      </c>
      <c r="F32" s="8" t="n">
        <v>0</v>
      </c>
      <c r="G32" s="8" t="inlineStr">
        <is>
          <t>0008_lifecycle.sql</t>
        </is>
      </c>
      <c r="H32" s="8" t="n">
        <v>2</v>
      </c>
      <c r="I32" s="8" t="inlineStr">
        <is>
          <t>worker/src/routes/seller/lifecycle.ts
worker/src/services/background/backup.ts</t>
        </is>
      </c>
      <c r="J32" s="8" t="inlineStr"/>
    </row>
    <row r="33">
      <c r="A33" s="8" t="inlineStr">
        <is>
          <t>CONTROL (platform)</t>
        </is>
      </c>
      <c r="B33" s="8" t="inlineStr">
        <is>
          <t>school_feature_overrides</t>
        </is>
      </c>
      <c r="C33" s="11" t="inlineStr">
        <is>
          <t>Good</t>
        </is>
      </c>
      <c r="D33" s="8" t="n">
        <v>7</v>
      </c>
      <c r="E33" s="8" t="n">
        <v>1</v>
      </c>
      <c r="F33" s="8" t="n">
        <v>0</v>
      </c>
      <c r="G33" s="8" t="inlineStr">
        <is>
          <t>0006_features.sql</t>
        </is>
      </c>
      <c r="H33" s="8" t="n">
        <v>1</v>
      </c>
      <c r="I33" s="8" t="inlineStr">
        <is>
          <t>worker/src/routes/seller/features.ts</t>
        </is>
      </c>
      <c r="J33" s="8" t="inlineStr"/>
    </row>
    <row r="34">
      <c r="A34" s="8" t="inlineStr">
        <is>
          <t>CONTROL (platform)</t>
        </is>
      </c>
      <c r="B34" s="8" t="inlineStr">
        <is>
          <t>school_group_admins</t>
        </is>
      </c>
      <c r="C34" s="11" t="inlineStr">
        <is>
          <t>Good</t>
        </is>
      </c>
      <c r="D34" s="8" t="n">
        <v>4</v>
      </c>
      <c r="E34" s="8" t="n">
        <v>1</v>
      </c>
      <c r="F34" s="8" t="n">
        <v>0</v>
      </c>
      <c r="G34" s="8" t="inlineStr">
        <is>
          <t>0003_school_groups.sql</t>
        </is>
      </c>
      <c r="H34" s="8" t="n">
        <v>1</v>
      </c>
      <c r="I34" s="8" t="inlineStr">
        <is>
          <t>worker/src/routes/seller/groups.ts</t>
        </is>
      </c>
      <c r="J34" s="8" t="inlineStr"/>
    </row>
    <row r="35">
      <c r="A35" s="8" t="inlineStr">
        <is>
          <t>CONTROL (platform)</t>
        </is>
      </c>
      <c r="B35" s="8" t="inlineStr">
        <is>
          <t>school_group_members</t>
        </is>
      </c>
      <c r="C35" s="11" t="inlineStr">
        <is>
          <t>Good</t>
        </is>
      </c>
      <c r="D35" s="8" t="n">
        <v>3</v>
      </c>
      <c r="E35" s="8" t="n">
        <v>1</v>
      </c>
      <c r="F35" s="8" t="n">
        <v>0</v>
      </c>
      <c r="G35" s="8" t="inlineStr">
        <is>
          <t>0003_school_groups.sql</t>
        </is>
      </c>
      <c r="H35" s="8" t="n">
        <v>4</v>
      </c>
      <c r="I35" s="8" t="inlineStr">
        <is>
          <t>worker/src/routes/seller/announcements.ts
worker/src/routes/seller/features.ts
worker/src/routes/seller/groups.ts
worker/src/routes/seller/tenants.ts</t>
        </is>
      </c>
      <c r="J35" s="8" t="inlineStr"/>
    </row>
    <row r="36">
      <c r="A36" s="8" t="inlineStr">
        <is>
          <t>CONTROL (platform)</t>
        </is>
      </c>
      <c r="B36" s="8" t="inlineStr">
        <is>
          <t>school_groups</t>
        </is>
      </c>
      <c r="C36" s="11" t="inlineStr">
        <is>
          <t>Good</t>
        </is>
      </c>
      <c r="D36" s="8" t="n">
        <v>5</v>
      </c>
      <c r="E36" s="8" t="n">
        <v>0</v>
      </c>
      <c r="F36" s="8" t="n">
        <v>0</v>
      </c>
      <c r="G36" s="8" t="inlineStr">
        <is>
          <t>0003_school_groups.sql</t>
        </is>
      </c>
      <c r="H36" s="8" t="n">
        <v>2</v>
      </c>
      <c r="I36" s="8" t="inlineStr">
        <is>
          <t>worker/src/routes/seller/groups.ts
worker/src/routes/seller/tenants.ts</t>
        </is>
      </c>
      <c r="J36" s="8" t="inlineStr"/>
    </row>
    <row r="37">
      <c r="A37" s="8" t="inlineStr">
        <is>
          <t>CONTROL (platform)</t>
        </is>
      </c>
      <c r="B37" s="8" t="inlineStr">
        <is>
          <t>school_health</t>
        </is>
      </c>
      <c r="C37" s="11" t="inlineStr">
        <is>
          <t>Good</t>
        </is>
      </c>
      <c r="D37" s="8" t="n">
        <v>3</v>
      </c>
      <c r="E37" s="8" t="n">
        <v>0</v>
      </c>
      <c r="F37" s="8" t="n">
        <v>0</v>
      </c>
      <c r="G37" s="8" t="inlineStr">
        <is>
          <t>0005_health.sql</t>
        </is>
      </c>
      <c r="H37" s="8" t="n">
        <v>2</v>
      </c>
      <c r="I37" s="8" t="inlineStr">
        <is>
          <t>worker/src/routes/seller/health.ts
worker/src/services/background/health.ts</t>
        </is>
      </c>
      <c r="J37" s="8" t="inlineStr"/>
    </row>
    <row r="38">
      <c r="A38" s="8" t="inlineStr">
        <is>
          <t>CONTROL (platform)</t>
        </is>
      </c>
      <c r="B38" s="8" t="inlineStr">
        <is>
          <t>school_lifecycle</t>
        </is>
      </c>
      <c r="C38" s="11" t="inlineStr">
        <is>
          <t>Good</t>
        </is>
      </c>
      <c r="D38" s="8" t="n">
        <v>14</v>
      </c>
      <c r="E38" s="8" t="n">
        <v>0</v>
      </c>
      <c r="F38" s="8" t="n">
        <v>0</v>
      </c>
      <c r="G38" s="8" t="inlineStr">
        <is>
          <t>0008_lifecycle.sql</t>
        </is>
      </c>
      <c r="H38" s="8" t="n">
        <v>1</v>
      </c>
      <c r="I38" s="8" t="inlineStr">
        <is>
          <t>worker/src/routes/seller/lifecycle.ts</t>
        </is>
      </c>
      <c r="J38" s="8" t="inlineStr"/>
    </row>
    <row r="39">
      <c r="A39" s="8" t="inlineStr">
        <is>
          <t>CONTROL (platform)</t>
        </is>
      </c>
      <c r="B39" s="8" t="inlineStr">
        <is>
          <t>school_lifecycle_events</t>
        </is>
      </c>
      <c r="C39" s="11" t="inlineStr">
        <is>
          <t>Good</t>
        </is>
      </c>
      <c r="D39" s="8" t="n">
        <v>7</v>
      </c>
      <c r="E39" s="8" t="n">
        <v>1</v>
      </c>
      <c r="F39" s="8" t="n">
        <v>0</v>
      </c>
      <c r="G39" s="8" t="inlineStr">
        <is>
          <t>0008_lifecycle.sql</t>
        </is>
      </c>
      <c r="H39" s="8" t="n">
        <v>1</v>
      </c>
      <c r="I39" s="8" t="inlineStr">
        <is>
          <t>worker/src/routes/seller/lifecycle.ts</t>
        </is>
      </c>
      <c r="J39" s="8" t="inlineStr"/>
    </row>
    <row r="40">
      <c r="A40" s="8" t="inlineStr">
        <is>
          <t>CONTROL (platform)</t>
        </is>
      </c>
      <c r="B40" s="8" t="inlineStr">
        <is>
          <t>seller_audit</t>
        </is>
      </c>
      <c r="C40" s="11" t="inlineStr">
        <is>
          <t>Good</t>
        </is>
      </c>
      <c r="D40" s="8" t="n">
        <v>17</v>
      </c>
      <c r="E40" s="8" t="n">
        <v>3</v>
      </c>
      <c r="F40" s="8" t="n">
        <v>0</v>
      </c>
      <c r="G40" s="8" t="inlineStr">
        <is>
          <t>0008_lifecycle.sql</t>
        </is>
      </c>
      <c r="H40" s="8" t="n">
        <v>1</v>
      </c>
      <c r="I40" s="8" t="inlineStr">
        <is>
          <t>worker/src/services/seller_audit.ts</t>
        </is>
      </c>
      <c r="J40" s="8" t="inlineStr"/>
    </row>
    <row r="41">
      <c r="A41" s="8" t="inlineStr">
        <is>
          <t>CONTROL (platform)</t>
        </is>
      </c>
      <c r="B41" s="8" t="inlineStr">
        <is>
          <t>sessions</t>
        </is>
      </c>
      <c r="C41" s="11" t="inlineStr">
        <is>
          <t>Good</t>
        </is>
      </c>
      <c r="D41" s="8" t="n">
        <v>12</v>
      </c>
      <c r="E41" s="8" t="n">
        <v>4</v>
      </c>
      <c r="F41" s="8" t="n">
        <v>0</v>
      </c>
      <c r="G41" s="8" t="inlineStr">
        <is>
          <t>0001_baseline.sql</t>
        </is>
      </c>
      <c r="H41" s="8" t="n">
        <v>20</v>
      </c>
      <c r="I41" s="8" t="inlineStr">
        <is>
          <t>worker/src/auth/session.ts
worker/src/idcache.ts
worker/src/identity.ts
worker/src/pages/reset.ts
worker/src/routes/admin/platform_config.ts
worker/src/routes/admin/security.ts
… +14 more</t>
        </is>
      </c>
      <c r="J41" s="8" t="inlineStr"/>
    </row>
    <row r="42">
      <c r="A42" s="8" t="inlineStr">
        <is>
          <t>CONTROL (platform)</t>
        </is>
      </c>
      <c r="B42" s="8" t="inlineStr">
        <is>
          <t>signup_orders</t>
        </is>
      </c>
      <c r="C42" s="11" t="inlineStr">
        <is>
          <t>Good</t>
        </is>
      </c>
      <c r="D42" s="8" t="n">
        <v>17</v>
      </c>
      <c r="E42" s="8" t="n">
        <v>1</v>
      </c>
      <c r="F42" s="8" t="n">
        <v>0</v>
      </c>
      <c r="G42" s="8" t="inlineStr">
        <is>
          <t>0001_baseline.sql</t>
        </is>
      </c>
      <c r="H42" s="8" t="n">
        <v>1</v>
      </c>
      <c r="I42" s="8" t="inlineStr">
        <is>
          <t>worker/src/pages/buy.ts</t>
        </is>
      </c>
      <c r="J42" s="8" t="inlineStr"/>
    </row>
    <row r="43">
      <c r="A43" s="8" t="inlineStr">
        <is>
          <t>CONTROL (platform)</t>
        </is>
      </c>
      <c r="B43" s="8" t="inlineStr">
        <is>
          <t>subscriptions</t>
        </is>
      </c>
      <c r="C43" s="11" t="inlineStr">
        <is>
          <t>Good</t>
        </is>
      </c>
      <c r="D43" s="8" t="n">
        <v>11</v>
      </c>
      <c r="E43" s="8" t="n">
        <v>0</v>
      </c>
      <c r="F43" s="8" t="n">
        <v>0</v>
      </c>
      <c r="G43" s="8" t="inlineStr">
        <is>
          <t>0001_baseline.sql</t>
        </is>
      </c>
      <c r="H43" s="8" t="n">
        <v>10</v>
      </c>
      <c r="I43" s="8" t="inlineStr">
        <is>
          <t>worker/src/routes/admin/messaging.ts
worker/src/routes/admin/platform_config.ts
worker/src/routes/misc/shell.ts
worker/src/routes/seller/announcements.ts
worker/src/routes/seller/billing.ts
worker/src/routes/seller/tenants.ts
… +4 more</t>
        </is>
      </c>
      <c r="J43" s="8" t="inlineStr"/>
    </row>
    <row r="44">
      <c r="A44" s="8" t="inlineStr">
        <is>
          <t>CONTROL (platform)</t>
        </is>
      </c>
      <c r="B44" s="8" t="inlineStr">
        <is>
          <t>usage_alerts</t>
        </is>
      </c>
      <c r="C44" s="11" t="inlineStr">
        <is>
          <t>Good</t>
        </is>
      </c>
      <c r="D44" s="8" t="n">
        <v>10</v>
      </c>
      <c r="E44" s="8" t="n">
        <v>0</v>
      </c>
      <c r="F44" s="8" t="n">
        <v>0</v>
      </c>
      <c r="G44" s="8" t="inlineStr">
        <is>
          <t>0005_health.sql</t>
        </is>
      </c>
      <c r="H44" s="8" t="n">
        <v>2</v>
      </c>
      <c r="I44" s="8" t="inlineStr">
        <is>
          <t>worker/src/routes/seller/health.ts
worker/src/services/background/health.ts</t>
        </is>
      </c>
      <c r="J44" s="8" t="inlineStr"/>
    </row>
    <row r="45">
      <c r="A45" s="8" t="inlineStr">
        <is>
          <t>School (one per school)</t>
        </is>
      </c>
      <c r="B45" s="8" t="inlineStr">
        <is>
          <t>_migrations</t>
        </is>
      </c>
      <c r="C45" s="11" t="inlineStr">
        <is>
          <t>Good</t>
        </is>
      </c>
      <c r="D45" s="8" t="n">
        <v>5</v>
      </c>
      <c r="E45" s="8" t="n">
        <v>0</v>
      </c>
      <c r="F45" s="8" t="n">
        <v>0</v>
      </c>
      <c r="G45" s="8" t="inlineStr">
        <is>
          <t>baseline</t>
        </is>
      </c>
      <c r="H45" s="8" t="n">
        <v>1</v>
      </c>
      <c r="I45" s="8" t="inlineStr">
        <is>
          <t>worker/src/services/provision.ts</t>
        </is>
      </c>
      <c r="J45" s="8" t="inlineStr"/>
    </row>
    <row r="46">
      <c r="A46" s="8" t="inlineStr">
        <is>
          <t>School (one per school)</t>
        </is>
      </c>
      <c r="B46" s="8" t="inlineStr">
        <is>
          <t>abc_credit_entries</t>
        </is>
      </c>
      <c r="C46" s="11" t="inlineStr">
        <is>
          <t>Good</t>
        </is>
      </c>
      <c r="D46" s="8" t="n">
        <v>14</v>
      </c>
      <c r="E46" s="8" t="n">
        <v>2</v>
      </c>
      <c r="F46" s="8" t="n">
        <v>4</v>
      </c>
      <c r="G46" s="8" t="inlineStr">
        <is>
          <t>0001_baseline.sql</t>
        </is>
      </c>
      <c r="H46" s="8" t="n">
        <v>1</v>
      </c>
      <c r="I46" s="8" t="inlineStr">
        <is>
          <t>worker/src/routes/portal/records.ts</t>
        </is>
      </c>
      <c r="J46" s="8" t="inlineStr"/>
    </row>
    <row r="47">
      <c r="A47" s="8" t="inlineStr">
        <is>
          <t>School (one per school)</t>
        </is>
      </c>
      <c r="B47" s="8" t="inlineStr">
        <is>
          <t>absence_followup_section_done</t>
        </is>
      </c>
      <c r="C47" s="11" t="inlineStr">
        <is>
          <t>Good</t>
        </is>
      </c>
      <c r="D47" s="8" t="n">
        <v>5</v>
      </c>
      <c r="E47" s="8" t="n">
        <v>1</v>
      </c>
      <c r="F47" s="8" t="n">
        <v>1</v>
      </c>
      <c r="G47" s="8" t="inlineStr">
        <is>
          <t>0001_baseline.sql</t>
        </is>
      </c>
      <c r="H47" s="8" t="n">
        <v>1</v>
      </c>
      <c r="I47" s="8" t="inlineStr">
        <is>
          <t>worker/src/routes/daily.ts</t>
        </is>
      </c>
      <c r="J47" s="8" t="inlineStr"/>
    </row>
    <row r="48">
      <c r="A48" s="8" t="inlineStr">
        <is>
          <t>School (one per school)</t>
        </is>
      </c>
      <c r="B48" s="8" t="inlineStr">
        <is>
          <t>academic_calendar_models</t>
        </is>
      </c>
      <c r="C48" s="11" t="inlineStr">
        <is>
          <t>Good</t>
        </is>
      </c>
      <c r="D48" s="8" t="n">
        <v>10</v>
      </c>
      <c r="E48" s="8" t="n">
        <v>0</v>
      </c>
      <c r="F48" s="8" t="n">
        <v>1</v>
      </c>
      <c r="G48" s="8" t="inlineStr">
        <is>
          <t>0001_baseline.sql</t>
        </is>
      </c>
      <c r="H48" s="8" t="n">
        <v>2</v>
      </c>
      <c r="I48" s="8" t="inlineStr">
        <is>
          <t>worker/src/routes/admin/platform_config.ts
worker/src/routes/statutory.ts</t>
        </is>
      </c>
      <c r="J48" s="8" t="inlineStr"/>
    </row>
    <row r="49">
      <c r="A49" s="8" t="inlineStr">
        <is>
          <t>School (one per school)</t>
        </is>
      </c>
      <c r="B49" s="8" t="inlineStr">
        <is>
          <t>academic_years</t>
        </is>
      </c>
      <c r="C49" s="11" t="inlineStr">
        <is>
          <t>Good</t>
        </is>
      </c>
      <c r="D49" s="8" t="n">
        <v>12</v>
      </c>
      <c r="E49" s="8" t="n">
        <v>2</v>
      </c>
      <c r="F49" s="8" t="n">
        <v>3</v>
      </c>
      <c r="G49" s="8" t="inlineStr">
        <is>
          <t>0001_baseline.sql</t>
        </is>
      </c>
      <c r="H49" s="8" t="n">
        <v>50</v>
      </c>
      <c r="I49" s="8" t="inlineStr">
        <is>
          <t>worker/src/routes/academics.ts
worker/src/routes/academics/admin.ts
worker/src/routes/admin/export.ts
worker/src/routes/admin/metrics.ts
worker/src/routes/admin/ops_fee_filings.ts
worker/src/routes/admin/ops_mdm.ts
… +44 more</t>
        </is>
      </c>
      <c r="J49" s="8" t="inlineStr"/>
    </row>
    <row r="50">
      <c r="A50" s="8" t="inlineStr">
        <is>
          <t>School (one per school)</t>
        </is>
      </c>
      <c r="B50" s="8" t="inlineStr">
        <is>
          <t>accounting_years</t>
        </is>
      </c>
      <c r="C50" s="11" t="inlineStr">
        <is>
          <t>Good</t>
        </is>
      </c>
      <c r="D50" s="8" t="n">
        <v>9</v>
      </c>
      <c r="E50" s="8" t="n">
        <v>0</v>
      </c>
      <c r="F50" s="8" t="n">
        <v>3</v>
      </c>
      <c r="G50" s="8" t="inlineStr">
        <is>
          <t>0001_baseline.sql</t>
        </is>
      </c>
      <c r="H50" s="8" t="n">
        <v>2</v>
      </c>
      <c r="I50" s="8" t="inlineStr">
        <is>
          <t>worker/src/routes/fees/collections.ts
worker/src/routes/fees/ledgers.ts</t>
        </is>
      </c>
      <c r="J50" s="8" t="inlineStr"/>
    </row>
    <row r="51">
      <c r="A51" s="8" t="inlineStr">
        <is>
          <t>School (one per school)</t>
        </is>
      </c>
      <c r="B51" s="8" t="inlineStr">
        <is>
          <t>achievement_media</t>
        </is>
      </c>
      <c r="C51" s="11" t="inlineStr">
        <is>
          <t>Good</t>
        </is>
      </c>
      <c r="D51" s="8" t="n">
        <v>9</v>
      </c>
      <c r="E51" s="8" t="n">
        <v>2</v>
      </c>
      <c r="F51" s="8" t="n">
        <v>4</v>
      </c>
      <c r="G51" s="8" t="inlineStr">
        <is>
          <t>0001_baseline.sql</t>
        </is>
      </c>
      <c r="H51" s="8" t="n">
        <v>2</v>
      </c>
      <c r="I51" s="8" t="inlineStr">
        <is>
          <t>worker/src/routes/comms/showcase.ts
worker/src/routes/portal/extra.ts</t>
        </is>
      </c>
      <c r="J51" s="8" t="inlineStr"/>
    </row>
    <row r="52">
      <c r="A52" s="8" t="inlineStr">
        <is>
          <t>School (one per school)</t>
        </is>
      </c>
      <c r="B52" s="8" t="inlineStr">
        <is>
          <t>activities</t>
        </is>
      </c>
      <c r="C52" s="11" t="inlineStr">
        <is>
          <t>Good</t>
        </is>
      </c>
      <c r="D52" s="8" t="n">
        <v>13</v>
      </c>
      <c r="E52" s="8" t="n">
        <v>1</v>
      </c>
      <c r="F52" s="8" t="n">
        <v>3</v>
      </c>
      <c r="G52" s="8" t="inlineStr">
        <is>
          <t>0001_baseline.sql</t>
        </is>
      </c>
      <c r="H52" s="8" t="n">
        <v>2</v>
      </c>
      <c r="I52" s="8" t="inlineStr">
        <is>
          <t>worker/src/routes/academics.ts
worker/src/routes/students.ts</t>
        </is>
      </c>
      <c r="J52" s="8" t="inlineStr"/>
    </row>
    <row r="53">
      <c r="A53" s="8" t="inlineStr">
        <is>
          <t>School (one per school)</t>
        </is>
      </c>
      <c r="B53" s="8" t="inlineStr">
        <is>
          <t>admission_assessments</t>
        </is>
      </c>
      <c r="C53" s="11" t="inlineStr">
        <is>
          <t>Good</t>
        </is>
      </c>
      <c r="D53" s="8" t="n">
        <v>12</v>
      </c>
      <c r="E53" s="8" t="n">
        <v>2</v>
      </c>
      <c r="F53" s="8" t="n">
        <v>3</v>
      </c>
      <c r="G53" s="8" t="inlineStr">
        <is>
          <t>0001_baseline.sql</t>
        </is>
      </c>
      <c r="H53" s="8" t="n">
        <v>1</v>
      </c>
      <c r="I53" s="8" t="inlineStr">
        <is>
          <t>worker/src/routes/admissions/workflow.ts</t>
        </is>
      </c>
      <c r="J53" s="8" t="inlineStr"/>
    </row>
    <row r="54">
      <c r="A54" s="8" t="inlineStr">
        <is>
          <t>School (one per school)</t>
        </is>
      </c>
      <c r="B54" s="8" t="inlineStr">
        <is>
          <t>admission_campaign_enrolments</t>
        </is>
      </c>
      <c r="C54" s="11" t="inlineStr">
        <is>
          <t>Good</t>
        </is>
      </c>
      <c r="D54" s="8" t="n">
        <v>9</v>
      </c>
      <c r="E54" s="8" t="n">
        <v>3</v>
      </c>
      <c r="F54" s="8" t="n">
        <v>4</v>
      </c>
      <c r="G54" s="8" t="inlineStr">
        <is>
          <t>0001_baseline.sql</t>
        </is>
      </c>
      <c r="H54" s="8" t="n">
        <v>1</v>
      </c>
      <c r="I54" s="8" t="inlineStr">
        <is>
          <t>worker/src/routes/admissions/campaigns.ts</t>
        </is>
      </c>
      <c r="J54" s="8" t="inlineStr"/>
    </row>
    <row r="55">
      <c r="A55" s="8" t="inlineStr">
        <is>
          <t>School (one per school)</t>
        </is>
      </c>
      <c r="B55" s="8" t="inlineStr">
        <is>
          <t>admission_campaign_sends</t>
        </is>
      </c>
      <c r="C55" s="11" t="inlineStr">
        <is>
          <t>Good</t>
        </is>
      </c>
      <c r="D55" s="8" t="n">
        <v>9</v>
      </c>
      <c r="E55" s="8" t="n">
        <v>2</v>
      </c>
      <c r="F55" s="8" t="n">
        <v>4</v>
      </c>
      <c r="G55" s="8" t="inlineStr">
        <is>
          <t>0001_baseline.sql</t>
        </is>
      </c>
      <c r="H55" s="8" t="n">
        <v>2</v>
      </c>
      <c r="I55" s="8" t="inlineStr">
        <is>
          <t>worker/src/routes/admissions/campaigns.ts
worker/src/services/cron.ts</t>
        </is>
      </c>
      <c r="J55" s="8" t="inlineStr"/>
    </row>
    <row r="56">
      <c r="A56" s="8" t="inlineStr">
        <is>
          <t>School (one per school)</t>
        </is>
      </c>
      <c r="B56" s="8" t="inlineStr">
        <is>
          <t>admission_campaign_steps</t>
        </is>
      </c>
      <c r="C56" s="11" t="inlineStr">
        <is>
          <t>Good</t>
        </is>
      </c>
      <c r="D56" s="8" t="n">
        <v>11</v>
      </c>
      <c r="E56" s="8" t="n">
        <v>2</v>
      </c>
      <c r="F56" s="8" t="n">
        <v>2</v>
      </c>
      <c r="G56" s="8" t="inlineStr">
        <is>
          <t>0001_baseline.sql</t>
        </is>
      </c>
      <c r="H56" s="8" t="n">
        <v>1</v>
      </c>
      <c r="I56" s="8" t="inlineStr">
        <is>
          <t>worker/src/routes/admissions/campaigns.ts</t>
        </is>
      </c>
      <c r="J56" s="8" t="inlineStr"/>
    </row>
    <row r="57">
      <c r="A57" s="8" t="inlineStr">
        <is>
          <t>School (one per school)</t>
        </is>
      </c>
      <c r="B57" s="8" t="inlineStr">
        <is>
          <t>admission_campaigns</t>
        </is>
      </c>
      <c r="C57" s="11" t="inlineStr">
        <is>
          <t>Good</t>
        </is>
      </c>
      <c r="D57" s="8" t="n">
        <v>9</v>
      </c>
      <c r="E57" s="8" t="n">
        <v>1</v>
      </c>
      <c r="F57" s="8" t="n">
        <v>2</v>
      </c>
      <c r="G57" s="8" t="inlineStr">
        <is>
          <t>0001_baseline.sql</t>
        </is>
      </c>
      <c r="H57" s="8" t="n">
        <v>1</v>
      </c>
      <c r="I57" s="8" t="inlineStr">
        <is>
          <t>worker/src/routes/admissions/campaigns.ts</t>
        </is>
      </c>
      <c r="J57" s="8" t="inlineStr"/>
    </row>
    <row r="58">
      <c r="A58" s="8" t="inlineStr">
        <is>
          <t>School (one per school)</t>
        </is>
      </c>
      <c r="B58" s="8" t="inlineStr">
        <is>
          <t>admission_event_bookings</t>
        </is>
      </c>
      <c r="C58" s="11" t="inlineStr">
        <is>
          <t>Good</t>
        </is>
      </c>
      <c r="D58" s="8" t="n">
        <v>9</v>
      </c>
      <c r="E58" s="8" t="n">
        <v>2</v>
      </c>
      <c r="F58" s="8" t="n">
        <v>3</v>
      </c>
      <c r="G58" s="8" t="inlineStr">
        <is>
          <t>0001_baseline.sql</t>
        </is>
      </c>
      <c r="H58" s="8" t="n">
        <v>1</v>
      </c>
      <c r="I58" s="8" t="inlineStr">
        <is>
          <t>worker/src/routes/admissions/funnel.ts</t>
        </is>
      </c>
      <c r="J58" s="8" t="inlineStr"/>
    </row>
    <row r="59">
      <c r="A59" s="8" t="inlineStr">
        <is>
          <t>School (one per school)</t>
        </is>
      </c>
      <c r="B59" s="8" t="inlineStr">
        <is>
          <t>admission_event_slots</t>
        </is>
      </c>
      <c r="C59" s="11" t="inlineStr">
        <is>
          <t>Good</t>
        </is>
      </c>
      <c r="D59" s="8" t="n">
        <v>6</v>
      </c>
      <c r="E59" s="8" t="n">
        <v>1</v>
      </c>
      <c r="F59" s="8" t="n">
        <v>2</v>
      </c>
      <c r="G59" s="8" t="inlineStr">
        <is>
          <t>0001_baseline.sql</t>
        </is>
      </c>
      <c r="H59" s="8" t="n">
        <v>1</v>
      </c>
      <c r="I59" s="8" t="inlineStr">
        <is>
          <t>worker/src/routes/admissions/funnel.ts</t>
        </is>
      </c>
      <c r="J59" s="8" t="inlineStr"/>
    </row>
    <row r="60">
      <c r="A60" s="8" t="inlineStr">
        <is>
          <t>School (one per school)</t>
        </is>
      </c>
      <c r="B60" s="8" t="inlineStr">
        <is>
          <t>admission_events</t>
        </is>
      </c>
      <c r="C60" s="11" t="inlineStr">
        <is>
          <t>Good</t>
        </is>
      </c>
      <c r="D60" s="8" t="n">
        <v>9</v>
      </c>
      <c r="E60" s="8" t="n">
        <v>0</v>
      </c>
      <c r="F60" s="8" t="n">
        <v>2</v>
      </c>
      <c r="G60" s="8" t="inlineStr">
        <is>
          <t>0001_baseline.sql</t>
        </is>
      </c>
      <c r="H60" s="8" t="n">
        <v>1</v>
      </c>
      <c r="I60" s="8" t="inlineStr">
        <is>
          <t>worker/src/routes/admissions/funnel.ts</t>
        </is>
      </c>
      <c r="J60" s="8" t="inlineStr"/>
    </row>
    <row r="61">
      <c r="A61" s="8" t="inlineStr">
        <is>
          <t>School (one per school)</t>
        </is>
      </c>
      <c r="B61" s="8" t="inlineStr">
        <is>
          <t>admission_form_fields</t>
        </is>
      </c>
      <c r="C61" s="11" t="inlineStr">
        <is>
          <t>Good</t>
        </is>
      </c>
      <c r="D61" s="8" t="n">
        <v>20</v>
      </c>
      <c r="E61" s="8" t="n">
        <v>3</v>
      </c>
      <c r="F61" s="8" t="n">
        <v>3</v>
      </c>
      <c r="G61" s="8" t="inlineStr">
        <is>
          <t>0001_baseline.sql</t>
        </is>
      </c>
      <c r="H61" s="8" t="n">
        <v>1</v>
      </c>
      <c r="I61" s="8" t="inlineStr">
        <is>
          <t>worker/src/routes/admissions/forms.ts</t>
        </is>
      </c>
      <c r="J61" s="8" t="inlineStr"/>
    </row>
    <row r="62">
      <c r="A62" s="8" t="inlineStr">
        <is>
          <t>School (one per school)</t>
        </is>
      </c>
      <c r="B62" s="8" t="inlineStr">
        <is>
          <t>admission_form_sections</t>
        </is>
      </c>
      <c r="C62" s="11" t="inlineStr">
        <is>
          <t>Good</t>
        </is>
      </c>
      <c r="D62" s="8" t="n">
        <v>6</v>
      </c>
      <c r="E62" s="8" t="n">
        <v>2</v>
      </c>
      <c r="F62" s="8" t="n">
        <v>2</v>
      </c>
      <c r="G62" s="8" t="inlineStr">
        <is>
          <t>0001_baseline.sql</t>
        </is>
      </c>
      <c r="H62" s="8" t="n">
        <v>1</v>
      </c>
      <c r="I62" s="8" t="inlineStr">
        <is>
          <t>worker/src/routes/admissions/forms.ts</t>
        </is>
      </c>
      <c r="J62" s="8" t="inlineStr"/>
    </row>
    <row r="63">
      <c r="A63" s="8" t="inlineStr">
        <is>
          <t>School (one per school)</t>
        </is>
      </c>
      <c r="B63" s="8" t="inlineStr">
        <is>
          <t>admission_form_versions</t>
        </is>
      </c>
      <c r="C63" s="11" t="inlineStr">
        <is>
          <t>Good</t>
        </is>
      </c>
      <c r="D63" s="8" t="n">
        <v>10</v>
      </c>
      <c r="E63" s="8" t="n">
        <v>3</v>
      </c>
      <c r="F63" s="8" t="n">
        <v>3</v>
      </c>
      <c r="G63" s="8" t="inlineStr">
        <is>
          <t>0001_baseline.sql</t>
        </is>
      </c>
      <c r="H63" s="8" t="n">
        <v>4</v>
      </c>
      <c r="I63" s="8" t="inlineStr">
        <is>
          <t>worker/src/routes/admissions/forms.ts
worker/src/routes/admissions/public_forms.ts
worker/src/routes/admissions/workflow.ts
worker/src/routes/portal/family.ts</t>
        </is>
      </c>
      <c r="J63" s="8" t="inlineStr"/>
    </row>
    <row r="64">
      <c r="A64" s="8" t="inlineStr">
        <is>
          <t>School (one per school)</t>
        </is>
      </c>
      <c r="B64" s="8" t="inlineStr">
        <is>
          <t>admission_forms</t>
        </is>
      </c>
      <c r="C64" s="11" t="inlineStr">
        <is>
          <t>Good</t>
        </is>
      </c>
      <c r="D64" s="8" t="n">
        <v>13</v>
      </c>
      <c r="E64" s="8" t="n">
        <v>2</v>
      </c>
      <c r="F64" s="8" t="n">
        <v>4</v>
      </c>
      <c r="G64" s="8" t="inlineStr">
        <is>
          <t>0001_baseline.sql</t>
        </is>
      </c>
      <c r="H64" s="8" t="n">
        <v>5</v>
      </c>
      <c r="I64" s="8" t="inlineStr">
        <is>
          <t>worker/src/routes/admissions/forms.ts
worker/src/routes/admissions/funnel.ts
worker/src/routes/admissions/public_forms.ts
worker/src/routes/admissions/workflow.ts
worker/src/routes/portal/family.ts</t>
        </is>
      </c>
      <c r="J64" s="8" t="inlineStr"/>
    </row>
    <row r="65">
      <c r="A65" s="8" t="inlineStr">
        <is>
          <t>School (one per school)</t>
        </is>
      </c>
      <c r="B65" s="8" t="inlineStr">
        <is>
          <t>admission_sessions</t>
        </is>
      </c>
      <c r="C65" s="11" t="inlineStr">
        <is>
          <t>Good</t>
        </is>
      </c>
      <c r="D65" s="8" t="n">
        <v>9</v>
      </c>
      <c r="E65" s="8" t="n">
        <v>1</v>
      </c>
      <c r="F65" s="8" t="n">
        <v>3</v>
      </c>
      <c r="G65" s="8" t="inlineStr">
        <is>
          <t>0001_baseline.sql</t>
        </is>
      </c>
      <c r="H65" s="8" t="n">
        <v>2</v>
      </c>
      <c r="I65" s="8" t="inlineStr">
        <is>
          <t>worker/src/routes/admissions/funnel.ts
worker/src/routes/admissions/workflow.ts</t>
        </is>
      </c>
      <c r="J65" s="8" t="inlineStr"/>
    </row>
    <row r="66">
      <c r="A66" s="8" t="inlineStr">
        <is>
          <t>School (one per school)</t>
        </is>
      </c>
      <c r="B66" s="8" t="inlineStr">
        <is>
          <t>ai_briefs</t>
        </is>
      </c>
      <c r="C66" s="11" t="inlineStr">
        <is>
          <t>Good</t>
        </is>
      </c>
      <c r="D66" s="8" t="n">
        <v>12</v>
      </c>
      <c r="E66" s="8" t="n">
        <v>1</v>
      </c>
      <c r="F66" s="8" t="n">
        <v>0</v>
      </c>
      <c r="G66" s="8" t="inlineStr">
        <is>
          <t>0003_ai_briefs.sql</t>
        </is>
      </c>
      <c r="H66" s="8" t="n">
        <v>1</v>
      </c>
      <c r="I66" s="8" t="inlineStr">
        <is>
          <t>worker/src/services/ai/briefs.ts</t>
        </is>
      </c>
      <c r="J66" s="8" t="inlineStr"/>
    </row>
    <row r="67">
      <c r="A67" s="8" t="inlineStr">
        <is>
          <t>School (one per school)</t>
        </is>
      </c>
      <c r="B67" s="8" t="inlineStr">
        <is>
          <t>ai_explanations</t>
        </is>
      </c>
      <c r="C67" s="11" t="inlineStr">
        <is>
          <t>Good</t>
        </is>
      </c>
      <c r="D67" s="8" t="n">
        <v>4</v>
      </c>
      <c r="E67" s="8" t="n">
        <v>0</v>
      </c>
      <c r="F67" s="8" t="n">
        <v>0</v>
      </c>
      <c r="G67" s="8" t="inlineStr">
        <is>
          <t>0002_ai_warnings.sql</t>
        </is>
      </c>
      <c r="H67" s="8" t="n">
        <v>1</v>
      </c>
      <c r="I67" s="8" t="inlineStr">
        <is>
          <t>worker/src/services/ai/warnings.ts</t>
        </is>
      </c>
      <c r="J67" s="8" t="inlineStr"/>
    </row>
    <row r="68">
      <c r="A68" s="8" t="inlineStr">
        <is>
          <t>School (one per school)</t>
        </is>
      </c>
      <c r="B68" s="8" t="inlineStr">
        <is>
          <t>ai_usage</t>
        </is>
      </c>
      <c r="C68" s="11" t="inlineStr">
        <is>
          <t>Good</t>
        </is>
      </c>
      <c r="D68" s="8" t="n">
        <v>3</v>
      </c>
      <c r="E68" s="8" t="n">
        <v>0</v>
      </c>
      <c r="F68" s="8" t="n">
        <v>0</v>
      </c>
      <c r="G68" s="8" t="inlineStr">
        <is>
          <t>0003_ai_briefs.sql</t>
        </is>
      </c>
      <c r="H68" s="8" t="n">
        <v>1</v>
      </c>
      <c r="I68" s="8" t="inlineStr">
        <is>
          <t>worker/src/services/ai/llm.ts</t>
        </is>
      </c>
      <c r="J68" s="8" t="inlineStr"/>
    </row>
    <row r="69">
      <c r="A69" s="8" t="inlineStr">
        <is>
          <t>School (one per school)</t>
        </is>
      </c>
      <c r="B69" s="8" t="inlineStr">
        <is>
          <t>ai_warning_dismissals</t>
        </is>
      </c>
      <c r="C69" s="11" t="inlineStr">
        <is>
          <t>Good</t>
        </is>
      </c>
      <c r="D69" s="8" t="n">
        <v>3</v>
      </c>
      <c r="E69" s="8" t="n">
        <v>1</v>
      </c>
      <c r="F69" s="8" t="n">
        <v>1</v>
      </c>
      <c r="G69" s="8" t="inlineStr">
        <is>
          <t>0010_ai_warning_dismissals.sql</t>
        </is>
      </c>
      <c r="H69" s="8" t="n">
        <v>2</v>
      </c>
      <c r="I69" s="8" t="inlineStr">
        <is>
          <t>worker/src/routes/ai/warnings.ts
worker/src/services/ai/warnings.ts</t>
        </is>
      </c>
      <c r="J69" s="8" t="inlineStr"/>
    </row>
    <row r="70">
      <c r="A70" s="8" t="inlineStr">
        <is>
          <t>School (one per school)</t>
        </is>
      </c>
      <c r="B70" s="8" t="inlineStr">
        <is>
          <t>ai_warnings</t>
        </is>
      </c>
      <c r="C70" s="11" t="inlineStr">
        <is>
          <t>Good</t>
        </is>
      </c>
      <c r="D70" s="8" t="n">
        <v>24</v>
      </c>
      <c r="E70" s="8" t="n">
        <v>3</v>
      </c>
      <c r="F70" s="8" t="n">
        <v>0</v>
      </c>
      <c r="G70" s="8" t="inlineStr">
        <is>
          <t>0002_ai_warnings.sql</t>
        </is>
      </c>
      <c r="H70" s="8" t="n">
        <v>2</v>
      </c>
      <c r="I70" s="8" t="inlineStr">
        <is>
          <t>worker/src/routes/ai/warnings.ts
worker/src/services/ai/warnings.ts</t>
        </is>
      </c>
      <c r="J70" s="8" t="inlineStr"/>
    </row>
    <row r="71">
      <c r="A71" s="8" t="inlineStr">
        <is>
          <t>School (one per school)</t>
        </is>
      </c>
      <c r="B71" s="8" t="inlineStr">
        <is>
          <t>alumni_contributions</t>
        </is>
      </c>
      <c r="C71" s="11" t="inlineStr">
        <is>
          <t>Good</t>
        </is>
      </c>
      <c r="D71" s="8" t="n">
        <v>12</v>
      </c>
      <c r="E71" s="8" t="n">
        <v>3</v>
      </c>
      <c r="F71" s="8" t="n">
        <v>4</v>
      </c>
      <c r="G71" s="8" t="inlineStr">
        <is>
          <t>0001_baseline.sql</t>
        </is>
      </c>
      <c r="H71" s="8" t="n">
        <v>1</v>
      </c>
      <c r="I71" s="8" t="inlineStr">
        <is>
          <t>worker/src/routes/academics/admin.ts</t>
        </is>
      </c>
      <c r="J71" s="8" t="inlineStr"/>
    </row>
    <row r="72">
      <c r="A72" s="8" t="inlineStr">
        <is>
          <t>School (one per school)</t>
        </is>
      </c>
      <c r="B72" s="8" t="inlineStr">
        <is>
          <t>alumni_event_rsvps</t>
        </is>
      </c>
      <c r="C72" s="11" t="inlineStr">
        <is>
          <t>Good</t>
        </is>
      </c>
      <c r="D72" s="8" t="n">
        <v>8</v>
      </c>
      <c r="E72" s="8" t="n">
        <v>1</v>
      </c>
      <c r="F72" s="8" t="n">
        <v>3</v>
      </c>
      <c r="G72" s="8" t="inlineStr">
        <is>
          <t>0001_baseline.sql</t>
        </is>
      </c>
      <c r="H72" s="8" t="n">
        <v>1</v>
      </c>
      <c r="I72" s="8" t="inlineStr">
        <is>
          <t>worker/src/routes/academics/admin.ts</t>
        </is>
      </c>
      <c r="J72" s="8" t="inlineStr"/>
    </row>
    <row r="73">
      <c r="A73" s="8" t="inlineStr">
        <is>
          <t>School (one per school)</t>
        </is>
      </c>
      <c r="B73" s="8" t="inlineStr">
        <is>
          <t>alumni_events</t>
        </is>
      </c>
      <c r="C73" s="11" t="inlineStr">
        <is>
          <t>Good</t>
        </is>
      </c>
      <c r="D73" s="8" t="n">
        <v>11</v>
      </c>
      <c r="E73" s="8" t="n">
        <v>1</v>
      </c>
      <c r="F73" s="8" t="n">
        <v>3</v>
      </c>
      <c r="G73" s="8" t="inlineStr">
        <is>
          <t>0001_baseline.sql</t>
        </is>
      </c>
      <c r="H73" s="8" t="n">
        <v>1</v>
      </c>
      <c r="I73" s="8" t="inlineStr">
        <is>
          <t>worker/src/routes/academics/admin.ts</t>
        </is>
      </c>
      <c r="J73" s="8" t="inlineStr"/>
    </row>
    <row r="74">
      <c r="A74" s="8" t="inlineStr">
        <is>
          <t>School (one per school)</t>
        </is>
      </c>
      <c r="B74" s="8" t="inlineStr">
        <is>
          <t>alumni_job_interests</t>
        </is>
      </c>
      <c r="C74" s="11" t="inlineStr">
        <is>
          <t>Good</t>
        </is>
      </c>
      <c r="D74" s="8" t="n">
        <v>7</v>
      </c>
      <c r="E74" s="8" t="n">
        <v>2</v>
      </c>
      <c r="F74" s="8" t="n">
        <v>3</v>
      </c>
      <c r="G74" s="8" t="inlineStr">
        <is>
          <t>0001_baseline.sql</t>
        </is>
      </c>
      <c r="H74" s="8" t="n">
        <v>1</v>
      </c>
      <c r="I74" s="8" t="inlineStr">
        <is>
          <t>worker/src/routes/portal/records.ts</t>
        </is>
      </c>
      <c r="J74" s="8" t="inlineStr"/>
    </row>
    <row r="75">
      <c r="A75" s="8" t="inlineStr">
        <is>
          <t>School (one per school)</t>
        </is>
      </c>
      <c r="B75" s="8" t="inlineStr">
        <is>
          <t>alumni_job_posts</t>
        </is>
      </c>
      <c r="C75" s="11" t="inlineStr">
        <is>
          <t>Good</t>
        </is>
      </c>
      <c r="D75" s="8" t="n">
        <v>18</v>
      </c>
      <c r="E75" s="8" t="n">
        <v>2</v>
      </c>
      <c r="F75" s="8" t="n">
        <v>3</v>
      </c>
      <c r="G75" s="8" t="inlineStr">
        <is>
          <t>0001_baseline.sql</t>
        </is>
      </c>
      <c r="H75" s="8" t="n">
        <v>1</v>
      </c>
      <c r="I75" s="8" t="inlineStr">
        <is>
          <t>worker/src/routes/portal/records.ts</t>
        </is>
      </c>
      <c r="J75" s="8" t="inlineStr"/>
    </row>
    <row r="76">
      <c r="A76" s="8" t="inlineStr">
        <is>
          <t>School (one per school)</t>
        </is>
      </c>
      <c r="B76" s="8" t="inlineStr">
        <is>
          <t>alumni_profiles</t>
        </is>
      </c>
      <c r="C76" s="11" t="inlineStr">
        <is>
          <t>Good</t>
        </is>
      </c>
      <c r="D76" s="8" t="n">
        <v>29</v>
      </c>
      <c r="E76" s="8" t="n">
        <v>2</v>
      </c>
      <c r="F76" s="8" t="n">
        <v>4</v>
      </c>
      <c r="G76" s="8" t="inlineStr">
        <is>
          <t>0001_baseline.sql</t>
        </is>
      </c>
      <c r="H76" s="8" t="n">
        <v>2</v>
      </c>
      <c r="I76" s="8" t="inlineStr">
        <is>
          <t>worker/src/routes/academics/admin.ts
worker/src/routes/portal/records.ts</t>
        </is>
      </c>
      <c r="J76" s="8" t="inlineStr"/>
    </row>
    <row r="77">
      <c r="A77" s="8" t="inlineStr">
        <is>
          <t>School (one per school)</t>
        </is>
      </c>
      <c r="B77" s="8" t="inlineStr">
        <is>
          <t>announcement_acks</t>
        </is>
      </c>
      <c r="C77" s="11" t="inlineStr">
        <is>
          <t>Good</t>
        </is>
      </c>
      <c r="D77" s="8" t="n">
        <v>6</v>
      </c>
      <c r="E77" s="8" t="n">
        <v>1</v>
      </c>
      <c r="F77" s="8" t="n">
        <v>4</v>
      </c>
      <c r="G77" s="8" t="inlineStr">
        <is>
          <t>0001_baseline.sql</t>
        </is>
      </c>
      <c r="H77" s="8" t="n">
        <v>4</v>
      </c>
      <c r="I77" s="8" t="inlineStr">
        <is>
          <t>worker/src/routes/admin/inbox.ts
worker/src/routes/payroll.ts
worker/src/routes/teaching/comms.ts
worker/src/routes/teaching/dashboards.ts</t>
        </is>
      </c>
      <c r="J77" s="8" t="inlineStr"/>
    </row>
    <row r="78">
      <c r="A78" s="8" t="inlineStr">
        <is>
          <t>School (one per school)</t>
        </is>
      </c>
      <c r="B78" s="8" t="inlineStr">
        <is>
          <t>announcement_sections</t>
        </is>
      </c>
      <c r="C78" s="11" t="inlineStr">
        <is>
          <t>Good</t>
        </is>
      </c>
      <c r="D78" s="8" t="n">
        <v>3</v>
      </c>
      <c r="E78" s="8" t="n">
        <v>1</v>
      </c>
      <c r="F78" s="8" t="n">
        <v>3</v>
      </c>
      <c r="G78" s="8" t="inlineStr">
        <is>
          <t>0001_baseline.sql</t>
        </is>
      </c>
      <c r="H78" s="8" t="n">
        <v>4</v>
      </c>
      <c r="I78" s="8" t="inlineStr">
        <is>
          <t>worker/src/routes/payroll.ts
worker/src/routes/portal/lms.ts
worker/src/routes/portal/school_life.ts
worker/src/routes/teaching/comms.ts</t>
        </is>
      </c>
      <c r="J78" s="8" t="inlineStr"/>
    </row>
    <row r="79">
      <c r="A79" s="8" t="inlineStr">
        <is>
          <t>School (one per school)</t>
        </is>
      </c>
      <c r="B79" s="8" t="inlineStr">
        <is>
          <t>announcement_students</t>
        </is>
      </c>
      <c r="C79" s="11" t="inlineStr">
        <is>
          <t>Good</t>
        </is>
      </c>
      <c r="D79" s="8" t="n">
        <v>3</v>
      </c>
      <c r="E79" s="8" t="n">
        <v>1</v>
      </c>
      <c r="F79" s="8" t="n">
        <v>3</v>
      </c>
      <c r="G79" s="8" t="inlineStr">
        <is>
          <t>0001_baseline.sql</t>
        </is>
      </c>
      <c r="H79" s="8" t="n">
        <v>2</v>
      </c>
      <c r="I79" s="8" t="inlineStr">
        <is>
          <t>worker/src/routes/payroll.ts
worker/src/routes/teaching/comms.ts</t>
        </is>
      </c>
      <c r="J79" s="8" t="inlineStr"/>
    </row>
    <row r="80">
      <c r="A80" s="8" t="inlineStr">
        <is>
          <t>School (one per school)</t>
        </is>
      </c>
      <c r="B80" s="8" t="inlineStr">
        <is>
          <t>announcements</t>
        </is>
      </c>
      <c r="C80" s="11" t="inlineStr">
        <is>
          <t>Good</t>
        </is>
      </c>
      <c r="D80" s="8" t="n">
        <v>14</v>
      </c>
      <c r="E80" s="8" t="n">
        <v>4</v>
      </c>
      <c r="F80" s="8" t="n">
        <v>4</v>
      </c>
      <c r="G80" s="8" t="inlineStr">
        <is>
          <t>0001_baseline.sql</t>
        </is>
      </c>
      <c r="H80" s="8" t="n">
        <v>8</v>
      </c>
      <c r="I80" s="8" t="inlineStr">
        <is>
          <t>worker/src/routes/admin/inbox.ts
worker/src/routes/comms/delivery.ts
worker/src/routes/payroll.ts
worker/src/routes/portal/lms.ts
worker/src/routes/portal/school_life.ts
worker/src/routes/teaching/comms.ts
… +2 more</t>
        </is>
      </c>
      <c r="J80" s="8" t="inlineStr"/>
    </row>
    <row r="81">
      <c r="A81" s="8" t="inlineStr">
        <is>
          <t>School (one per school)</t>
        </is>
      </c>
      <c r="B81" s="8" t="inlineStr">
        <is>
          <t>api_keys</t>
        </is>
      </c>
      <c r="C81" s="11" t="inlineStr">
        <is>
          <t>Good</t>
        </is>
      </c>
      <c r="D81" s="8" t="n">
        <v>13</v>
      </c>
      <c r="E81" s="8" t="n">
        <v>2</v>
      </c>
      <c r="F81" s="8" t="n">
        <v>3</v>
      </c>
      <c r="G81" s="8" t="inlineStr">
        <is>
          <t>0001_baseline.sql</t>
        </is>
      </c>
      <c r="H81" s="8" t="n">
        <v>1</v>
      </c>
      <c r="I81" s="8" t="inlineStr">
        <is>
          <t>worker/src/routes/admin/loose.ts</t>
        </is>
      </c>
      <c r="J81" s="8" t="inlineStr"/>
    </row>
    <row r="82">
      <c r="A82" s="8" t="inlineStr">
        <is>
          <t>School (one per school)</t>
        </is>
      </c>
      <c r="B82" s="8" t="inlineStr">
        <is>
          <t>app_events</t>
        </is>
      </c>
      <c r="C82" s="11" t="inlineStr">
        <is>
          <t>Good</t>
        </is>
      </c>
      <c r="D82" s="8" t="n">
        <v>9</v>
      </c>
      <c r="E82" s="8" t="n">
        <v>2</v>
      </c>
      <c r="F82" s="8" t="n">
        <v>1</v>
      </c>
      <c r="G82" s="8" t="inlineStr">
        <is>
          <t>0001_baseline.sql</t>
        </is>
      </c>
      <c r="H82" s="8" t="n">
        <v>1</v>
      </c>
      <c r="I82" s="8" t="inlineStr">
        <is>
          <t>worker/src/routes/admin/security.ts</t>
        </is>
      </c>
      <c r="J82" s="8" t="inlineStr"/>
    </row>
    <row r="83">
      <c r="A83" s="8" t="inlineStr">
        <is>
          <t>School (one per school)</t>
        </is>
      </c>
      <c r="B83" s="8" t="inlineStr">
        <is>
          <t>application_documents</t>
        </is>
      </c>
      <c r="C83" s="11" t="inlineStr">
        <is>
          <t>Good</t>
        </is>
      </c>
      <c r="D83" s="8" t="n">
        <v>12</v>
      </c>
      <c r="E83" s="8" t="n">
        <v>4</v>
      </c>
      <c r="F83" s="8" t="n">
        <v>4</v>
      </c>
      <c r="G83" s="8" t="inlineStr">
        <is>
          <t>0001_baseline.sql</t>
        </is>
      </c>
      <c r="H83" s="8" t="n">
        <v>4</v>
      </c>
      <c r="I83" s="8" t="inlineStr">
        <is>
          <t>worker/src/routes/admissions/funnel.ts
worker/src/routes/admissions/workflow.ts
worker/src/routes/misc/files.ts
worker/src/routes/portal/family.ts</t>
        </is>
      </c>
      <c r="J83" s="8" t="inlineStr"/>
    </row>
    <row r="84">
      <c r="A84" s="8" t="inlineStr">
        <is>
          <t>School (one per school)</t>
        </is>
      </c>
      <c r="B84" s="8" t="inlineStr">
        <is>
          <t>application_form_answers</t>
        </is>
      </c>
      <c r="C84" s="11" t="inlineStr">
        <is>
          <t>Good</t>
        </is>
      </c>
      <c r="D84" s="8" t="n">
        <v>12</v>
      </c>
      <c r="E84" s="8" t="n">
        <v>2</v>
      </c>
      <c r="F84" s="8" t="n">
        <v>5</v>
      </c>
      <c r="G84" s="8" t="inlineStr">
        <is>
          <t>0001_baseline.sql</t>
        </is>
      </c>
      <c r="H84" s="8" t="n">
        <v>2</v>
      </c>
      <c r="I84" s="8" t="inlineStr">
        <is>
          <t>worker/src/routes/admissions/forms.ts
worker/src/routes/admissions/public_forms.ts</t>
        </is>
      </c>
      <c r="J84" s="8" t="inlineStr"/>
    </row>
    <row r="85">
      <c r="A85" s="8" t="inlineStr">
        <is>
          <t>School (one per school)</t>
        </is>
      </c>
      <c r="B85" s="8" t="inlineStr">
        <is>
          <t>applications</t>
        </is>
      </c>
      <c r="C85" s="11" t="inlineStr">
        <is>
          <t>Good</t>
        </is>
      </c>
      <c r="D85" s="8" t="n">
        <v>56</v>
      </c>
      <c r="E85" s="8" t="n">
        <v>12</v>
      </c>
      <c r="F85" s="8" t="n">
        <v>12</v>
      </c>
      <c r="G85" s="8" t="inlineStr">
        <is>
          <t>0001_baseline.sql</t>
        </is>
      </c>
      <c r="H85" s="8" t="n">
        <v>18</v>
      </c>
      <c r="I85" s="8" t="inlineStr">
        <is>
          <t>worker/src/routes/admin/export.ts
worker/src/routes/admin/loose.ts
worker/src/routes/admin/metrics.ts
worker/src/routes/admin/users.ts
worker/src/routes/admissions/campaigns.ts
worker/src/routes/admissions/crm.ts
… +12 more</t>
        </is>
      </c>
      <c r="J85" s="8" t="inlineStr"/>
    </row>
    <row r="86">
      <c r="A86" s="8" t="inlineStr">
        <is>
          <t>School (one per school)</t>
        </is>
      </c>
      <c r="B86" s="8" t="inlineStr">
        <is>
          <t>appointments</t>
        </is>
      </c>
      <c r="C86" s="11" t="inlineStr">
        <is>
          <t>Good</t>
        </is>
      </c>
      <c r="D86" s="8" t="n">
        <v>14</v>
      </c>
      <c r="E86" s="8" t="n">
        <v>2</v>
      </c>
      <c r="F86" s="8" t="n">
        <v>4</v>
      </c>
      <c r="G86" s="8" t="inlineStr">
        <is>
          <t>0001_baseline.sql</t>
        </is>
      </c>
      <c r="H86" s="8" t="n">
        <v>4</v>
      </c>
      <c r="I86" s="8" t="inlineStr">
        <is>
          <t>worker/src/routes/growth/rollups.ts
worker/src/routes/hr/office.ts
worker/src/routes/portal/school_life.ts
worker/src/services/message_rules.ts</t>
        </is>
      </c>
      <c r="J86" s="8" t="inlineStr"/>
    </row>
    <row r="87">
      <c r="A87" s="8" t="inlineStr">
        <is>
          <t>School (one per school)</t>
        </is>
      </c>
      <c r="B87" s="8" t="inlineStr">
        <is>
          <t>appraisal_cycles</t>
        </is>
      </c>
      <c r="C87" s="11" t="inlineStr">
        <is>
          <t>Good</t>
        </is>
      </c>
      <c r="D87" s="8" t="n">
        <v>14</v>
      </c>
      <c r="E87" s="8" t="n">
        <v>1</v>
      </c>
      <c r="F87" s="8" t="n">
        <v>3</v>
      </c>
      <c r="G87" s="8" t="inlineStr">
        <is>
          <t>0001_baseline.sql</t>
        </is>
      </c>
      <c r="H87" s="8" t="n">
        <v>1</v>
      </c>
      <c r="I87" s="8" t="inlineStr">
        <is>
          <t>worker/src/routes/growth/hr_appraisal.ts</t>
        </is>
      </c>
      <c r="J87" s="8" t="inlineStr"/>
    </row>
    <row r="88">
      <c r="A88" s="8" t="inlineStr">
        <is>
          <t>School (one per school)</t>
        </is>
      </c>
      <c r="B88" s="8" t="inlineStr">
        <is>
          <t>appraisal_kpis</t>
        </is>
      </c>
      <c r="C88" s="11" t="inlineStr">
        <is>
          <t>Good</t>
        </is>
      </c>
      <c r="D88" s="8" t="n">
        <v>12</v>
      </c>
      <c r="E88" s="8" t="n">
        <v>2</v>
      </c>
      <c r="F88" s="8" t="n">
        <v>3</v>
      </c>
      <c r="G88" s="8" t="inlineStr">
        <is>
          <t>0001_baseline.sql</t>
        </is>
      </c>
      <c r="H88" s="8" t="n">
        <v>1</v>
      </c>
      <c r="I88" s="8" t="inlineStr">
        <is>
          <t>worker/src/routes/growth/hr_appraisal.ts</t>
        </is>
      </c>
      <c r="J88" s="8" t="inlineStr"/>
    </row>
    <row r="89">
      <c r="A89" s="8" t="inlineStr">
        <is>
          <t>School (one per school)</t>
        </is>
      </c>
      <c r="B89" s="8" t="inlineStr">
        <is>
          <t>appraisal_ratings</t>
        </is>
      </c>
      <c r="C89" s="11" t="inlineStr">
        <is>
          <t>Good</t>
        </is>
      </c>
      <c r="D89" s="8" t="n">
        <v>12</v>
      </c>
      <c r="E89" s="8" t="n">
        <v>1</v>
      </c>
      <c r="F89" s="8" t="n">
        <v>3</v>
      </c>
      <c r="G89" s="8" t="inlineStr">
        <is>
          <t>0001_baseline.sql</t>
        </is>
      </c>
      <c r="H89" s="8" t="n">
        <v>1</v>
      </c>
      <c r="I89" s="8" t="inlineStr">
        <is>
          <t>worker/src/routes/growth/hr_appraisal.ts</t>
        </is>
      </c>
      <c r="J89" s="8" t="inlineStr"/>
    </row>
    <row r="90">
      <c r="A90" s="8" t="inlineStr">
        <is>
          <t>School (one per school)</t>
        </is>
      </c>
      <c r="B90" s="8" t="inlineStr">
        <is>
          <t>appraisals</t>
        </is>
      </c>
      <c r="C90" s="11" t="inlineStr">
        <is>
          <t>Good</t>
        </is>
      </c>
      <c r="D90" s="8" t="n">
        <v>31</v>
      </c>
      <c r="E90" s="8" t="n">
        <v>3</v>
      </c>
      <c r="F90" s="8" t="n">
        <v>6</v>
      </c>
      <c r="G90" s="8" t="inlineStr">
        <is>
          <t>0001_baseline.sql</t>
        </is>
      </c>
      <c r="H90" s="8" t="n">
        <v>1</v>
      </c>
      <c r="I90" s="8" t="inlineStr">
        <is>
          <t>worker/src/routes/growth/hr_appraisal.ts</t>
        </is>
      </c>
      <c r="J90" s="8" t="inlineStr"/>
    </row>
    <row r="91">
      <c r="A91" s="8" t="inlineStr">
        <is>
          <t>School (one per school)</t>
        </is>
      </c>
      <c r="B91" s="8" t="inlineStr">
        <is>
          <t>attendance_capture_batches</t>
        </is>
      </c>
      <c r="C91" s="11" t="inlineStr">
        <is>
          <t>Good</t>
        </is>
      </c>
      <c r="D91" s="8" t="n">
        <v>11</v>
      </c>
      <c r="E91" s="8" t="n">
        <v>2</v>
      </c>
      <c r="F91" s="8" t="n">
        <v>3</v>
      </c>
      <c r="G91" s="8" t="inlineStr">
        <is>
          <t>0001_baseline.sql</t>
        </is>
      </c>
      <c r="H91" s="8" t="n">
        <v>1</v>
      </c>
      <c r="I91" s="8" t="inlineStr">
        <is>
          <t>worker/src/routes/comms/capture.ts</t>
        </is>
      </c>
      <c r="J91" s="8" t="inlineStr"/>
    </row>
    <row r="92">
      <c r="A92" s="8" t="inlineStr">
        <is>
          <t>School (one per school)</t>
        </is>
      </c>
      <c r="B92" s="8" t="inlineStr">
        <is>
          <t>attendance_capture_conflicts</t>
        </is>
      </c>
      <c r="C92" s="11" t="inlineStr">
        <is>
          <t>Good</t>
        </is>
      </c>
      <c r="D92" s="8" t="n">
        <v>14</v>
      </c>
      <c r="E92" s="8" t="n">
        <v>2</v>
      </c>
      <c r="F92" s="8" t="n">
        <v>5</v>
      </c>
      <c r="G92" s="8" t="inlineStr">
        <is>
          <t>0001_baseline.sql</t>
        </is>
      </c>
      <c r="H92" s="8" t="n">
        <v>1</v>
      </c>
      <c r="I92" s="8" t="inlineStr">
        <is>
          <t>worker/src/routes/comms/capture.ts</t>
        </is>
      </c>
      <c r="J92" s="8" t="inlineStr"/>
    </row>
    <row r="93">
      <c r="A93" s="8" t="inlineStr">
        <is>
          <t>School (one per school)</t>
        </is>
      </c>
      <c r="B93" s="8" t="inlineStr">
        <is>
          <t>attendance_corrections</t>
        </is>
      </c>
      <c r="C93" s="11" t="inlineStr">
        <is>
          <t>Good</t>
        </is>
      </c>
      <c r="D93" s="8" t="n">
        <v>11</v>
      </c>
      <c r="E93" s="8" t="n">
        <v>1</v>
      </c>
      <c r="F93" s="8" t="n">
        <v>4</v>
      </c>
      <c r="G93" s="8" t="inlineStr">
        <is>
          <t>0001_baseline.sql</t>
        </is>
      </c>
      <c r="H93" s="8" t="n">
        <v>5</v>
      </c>
      <c r="I93" s="8" t="inlineStr">
        <is>
          <t>worker/src/routes/admin/loose.ts
worker/src/routes/daily.ts
worker/src/routes/growth/rollups.ts
worker/src/routes/hr/attendance.ts
worker/src/services/ai/briefs.ts</t>
        </is>
      </c>
      <c r="J93" s="8" t="inlineStr"/>
    </row>
    <row r="94">
      <c r="A94" s="8" t="inlineStr">
        <is>
          <t>School (one per school)</t>
        </is>
      </c>
      <c r="B94" s="8" t="inlineStr">
        <is>
          <t>audit_log</t>
        </is>
      </c>
      <c r="C94" s="11" t="inlineStr">
        <is>
          <t>Good</t>
        </is>
      </c>
      <c r="D94" s="8" t="n">
        <v>12</v>
      </c>
      <c r="E94" s="8" t="n">
        <v>5</v>
      </c>
      <c r="F94" s="8" t="n">
        <v>3</v>
      </c>
      <c r="G94" s="8" t="inlineStr">
        <is>
          <t>0001_baseline.sql</t>
        </is>
      </c>
      <c r="H94" s="8" t="n">
        <v>7</v>
      </c>
      <c r="I94" s="8" t="inlineStr">
        <is>
          <t>worker/src/routes/admin/common.ts
worker/src/routes/admin/platform_config.ts
worker/src/routes/admin/security.ts
worker/src/routes/admin/session_activity.ts
worker/src/routes/fees/banking.ts
worker/src/routes/hr/staff.ts
… +1 more</t>
        </is>
      </c>
      <c r="J94" s="8" t="inlineStr"/>
    </row>
    <row r="95">
      <c r="A95" s="8" t="inlineStr">
        <is>
          <t>School (one per school)</t>
        </is>
      </c>
      <c r="B95" s="8" t="inlineStr">
        <is>
          <t>auth_policies</t>
        </is>
      </c>
      <c r="C95" s="11" t="inlineStr">
        <is>
          <t>Good</t>
        </is>
      </c>
      <c r="D95" s="8" t="n">
        <v>14</v>
      </c>
      <c r="E95" s="8" t="n">
        <v>0</v>
      </c>
      <c r="F95" s="8" t="n">
        <v>1</v>
      </c>
      <c r="G95" s="8" t="inlineStr">
        <is>
          <t>0001_baseline.sql</t>
        </is>
      </c>
      <c r="H95" s="8" t="n">
        <v>1</v>
      </c>
      <c r="I95" s="8" t="inlineStr">
        <is>
          <t>worker/src/routes/admin/platform_config.ts</t>
        </is>
      </c>
      <c r="J95" s="8" t="inlineStr"/>
    </row>
    <row r="96">
      <c r="A96" s="8" t="inlineStr">
        <is>
          <t>School (one per school)</t>
        </is>
      </c>
      <c r="B96" s="8" t="inlineStr">
        <is>
          <t>background_verifications</t>
        </is>
      </c>
      <c r="C96" s="11" t="inlineStr">
        <is>
          <t>Good</t>
        </is>
      </c>
      <c r="D96" s="8" t="n">
        <v>15</v>
      </c>
      <c r="E96" s="8" t="n">
        <v>2</v>
      </c>
      <c r="F96" s="8" t="n">
        <v>4</v>
      </c>
      <c r="G96" s="8" t="inlineStr">
        <is>
          <t>0001_baseline.sql</t>
        </is>
      </c>
      <c r="H96" s="8" t="n">
        <v>2</v>
      </c>
      <c r="I96" s="8" t="inlineStr">
        <is>
          <t>worker/src/routes/growth/rollups.ts
worker/src/routes/hr/lifecycle.ts</t>
        </is>
      </c>
      <c r="J96" s="8" t="inlineStr"/>
    </row>
    <row r="97">
      <c r="A97" s="8" t="inlineStr">
        <is>
          <t>School (one per school)</t>
        </is>
      </c>
      <c r="B97" s="8" t="inlineStr">
        <is>
          <t>backup_policies</t>
        </is>
      </c>
      <c r="C97" s="11" t="inlineStr">
        <is>
          <t>Good</t>
        </is>
      </c>
      <c r="D97" s="8" t="n">
        <v>8</v>
      </c>
      <c r="E97" s="8" t="n">
        <v>0</v>
      </c>
      <c r="F97" s="8" t="n">
        <v>1</v>
      </c>
      <c r="G97" s="8" t="inlineStr">
        <is>
          <t>0001_baseline.sql</t>
        </is>
      </c>
      <c r="H97" s="8" t="n">
        <v>1</v>
      </c>
      <c r="I97" s="8" t="inlineStr">
        <is>
          <t>worker/src/routes/admin/platform_config.ts</t>
        </is>
      </c>
      <c r="J97" s="8" t="inlineStr"/>
    </row>
    <row r="98">
      <c r="A98" s="8" t="inlineStr">
        <is>
          <t>School (one per school)</t>
        </is>
      </c>
      <c r="B98" s="8" t="inlineStr">
        <is>
          <t>backup_runs</t>
        </is>
      </c>
      <c r="C98" s="11" t="inlineStr">
        <is>
          <t>Good</t>
        </is>
      </c>
      <c r="D98" s="8" t="n">
        <v>11</v>
      </c>
      <c r="E98" s="8" t="n">
        <v>2</v>
      </c>
      <c r="F98" s="8" t="n">
        <v>1</v>
      </c>
      <c r="G98" s="8" t="inlineStr">
        <is>
          <t>0001_baseline.sql</t>
        </is>
      </c>
      <c r="H98" s="8" t="n">
        <v>1</v>
      </c>
      <c r="I98" s="8" t="inlineStr">
        <is>
          <t>worker/src/routes/admin/platform_config.ts</t>
        </is>
      </c>
      <c r="J98" s="8" t="inlineStr"/>
    </row>
    <row r="99">
      <c r="A99" s="8" t="inlineStr">
        <is>
          <t>School (one per school)</t>
        </is>
      </c>
      <c r="B99" s="8" t="inlineStr">
        <is>
          <t>bank_accounts</t>
        </is>
      </c>
      <c r="C99" s="11" t="inlineStr">
        <is>
          <t>Good</t>
        </is>
      </c>
      <c r="D99" s="8" t="n">
        <v>13</v>
      </c>
      <c r="E99" s="8" t="n">
        <v>2</v>
      </c>
      <c r="F99" s="8" t="n">
        <v>2</v>
      </c>
      <c r="G99" s="8" t="inlineStr">
        <is>
          <t>0001_baseline.sql</t>
        </is>
      </c>
      <c r="H99" s="8" t="n">
        <v>3</v>
      </c>
      <c r="I99" s="8" t="inlineStr">
        <is>
          <t>worker/src/routes/fees/banking.ts
worker/src/routes/fees/collections.ts
worker/src/routes/fees/concessions.ts</t>
        </is>
      </c>
      <c r="J99" s="8" t="inlineStr"/>
    </row>
    <row r="100">
      <c r="A100" s="8" t="inlineStr">
        <is>
          <t>School (one per school)</t>
        </is>
      </c>
      <c r="B100" s="8" t="inlineStr">
        <is>
          <t>bank_reconciliations</t>
        </is>
      </c>
      <c r="C100" s="11" t="inlineStr">
        <is>
          <t>Good</t>
        </is>
      </c>
      <c r="D100" s="8" t="n">
        <v>23</v>
      </c>
      <c r="E100" s="8" t="n">
        <v>2</v>
      </c>
      <c r="F100" s="8" t="n">
        <v>5</v>
      </c>
      <c r="G100" s="8" t="inlineStr">
        <is>
          <t>0001_baseline.sql</t>
        </is>
      </c>
      <c r="H100" s="8" t="n">
        <v>1</v>
      </c>
      <c r="I100" s="8" t="inlineStr">
        <is>
          <t>worker/src/routes/fees/banking.ts</t>
        </is>
      </c>
      <c r="J100" s="8" t="inlineStr"/>
    </row>
    <row r="101">
      <c r="A101" s="8" t="inlineStr">
        <is>
          <t>School (one per school)</t>
        </is>
      </c>
      <c r="B101" s="8" t="inlineStr">
        <is>
          <t>bank_statement_imports</t>
        </is>
      </c>
      <c r="C101" s="11" t="inlineStr">
        <is>
          <t>Good</t>
        </is>
      </c>
      <c r="D101" s="8" t="n">
        <v>12</v>
      </c>
      <c r="E101" s="8" t="n">
        <v>1</v>
      </c>
      <c r="F101" s="8" t="n">
        <v>3</v>
      </c>
      <c r="G101" s="8" t="inlineStr">
        <is>
          <t>0001_baseline.sql</t>
        </is>
      </c>
      <c r="H101" s="8" t="n">
        <v>1</v>
      </c>
      <c r="I101" s="8" t="inlineStr">
        <is>
          <t>worker/src/routes/fees/banking.ts</t>
        </is>
      </c>
      <c r="J101" s="8" t="inlineStr"/>
    </row>
    <row r="102">
      <c r="A102" s="8" t="inlineStr">
        <is>
          <t>School (one per school)</t>
        </is>
      </c>
      <c r="B102" s="8" t="inlineStr">
        <is>
          <t>bank_statement_lines</t>
        </is>
      </c>
      <c r="C102" s="11" t="inlineStr">
        <is>
          <t>Good</t>
        </is>
      </c>
      <c r="D102" s="8" t="n">
        <v>22</v>
      </c>
      <c r="E102" s="8" t="n">
        <v>5</v>
      </c>
      <c r="F102" s="8" t="n">
        <v>5</v>
      </c>
      <c r="G102" s="8" t="inlineStr">
        <is>
          <t>0001_baseline.sql</t>
        </is>
      </c>
      <c r="H102" s="8" t="n">
        <v>1</v>
      </c>
      <c r="I102" s="8" t="inlineStr">
        <is>
          <t>worker/src/routes/fees/banking.ts</t>
        </is>
      </c>
      <c r="J102" s="8" t="inlineStr"/>
    </row>
    <row r="103">
      <c r="A103" s="8" t="inlineStr">
        <is>
          <t>School (one per school)</t>
        </is>
      </c>
      <c r="B103" s="8" t="inlineStr">
        <is>
          <t>bell_schedules</t>
        </is>
      </c>
      <c r="C103" s="11" t="inlineStr">
        <is>
          <t>Good</t>
        </is>
      </c>
      <c r="D103" s="8" t="n">
        <v>6</v>
      </c>
      <c r="E103" s="8" t="n">
        <v>1</v>
      </c>
      <c r="F103" s="8" t="n">
        <v>2</v>
      </c>
      <c r="G103" s="8" t="inlineStr">
        <is>
          <t>0001_baseline.sql</t>
        </is>
      </c>
      <c r="H103" s="8" t="n">
        <v>3</v>
      </c>
      <c r="I103" s="8" t="inlineStr">
        <is>
          <t>worker/src/routes/daily.ts
worker/src/routes/setup/academics.ts
worker/src/routes/setup/imports.ts</t>
        </is>
      </c>
      <c r="J103" s="8" t="inlineStr"/>
    </row>
    <row r="104">
      <c r="A104" s="8" t="inlineStr">
        <is>
          <t>School (one per school)</t>
        </is>
      </c>
      <c r="B104" s="8" t="inlineStr">
        <is>
          <t>biometric_devices</t>
        </is>
      </c>
      <c r="C104" s="11" t="inlineStr">
        <is>
          <t>Good</t>
        </is>
      </c>
      <c r="D104" s="8" t="n">
        <v>11</v>
      </c>
      <c r="E104" s="8" t="n">
        <v>1</v>
      </c>
      <c r="F104" s="8" t="n">
        <v>2</v>
      </c>
      <c r="G104" s="8" t="inlineStr">
        <is>
          <t>0001_baseline.sql</t>
        </is>
      </c>
      <c r="H104" s="8" t="n">
        <v>4</v>
      </c>
      <c r="I104" s="8" t="inlineStr">
        <is>
          <t>worker/src/routes/admin/platform_gateways.ts
worker/src/routes/hr/staff.ts
worker/src/routes/setup/imports.ts
worker/src/routes/setup/staff.ts</t>
        </is>
      </c>
      <c r="J104" s="8" t="inlineStr"/>
    </row>
    <row r="105">
      <c r="A105" s="8" t="inlineStr">
        <is>
          <t>School (one per school)</t>
        </is>
      </c>
      <c r="B105" s="8" t="inlineStr">
        <is>
          <t>biometric_punches</t>
        </is>
      </c>
      <c r="C105" s="11" t="inlineStr">
        <is>
          <t>Good</t>
        </is>
      </c>
      <c r="D105" s="8" t="n">
        <v>10</v>
      </c>
      <c r="E105" s="8" t="n">
        <v>3</v>
      </c>
      <c r="F105" s="8" t="n">
        <v>3</v>
      </c>
      <c r="G105" s="8" t="inlineStr">
        <is>
          <t>0001_baseline.sql</t>
        </is>
      </c>
      <c r="H105" s="8" t="n">
        <v>3</v>
      </c>
      <c r="I105" s="8" t="inlineStr">
        <is>
          <t>worker/src/routes/admin/platform_gateways.ts
worker/src/routes/setup/imports.ts
worker/src/routes/setup/staff.ts</t>
        </is>
      </c>
      <c r="J105" s="8" t="inlineStr"/>
    </row>
    <row r="106">
      <c r="A106" s="8" t="inlineStr">
        <is>
          <t>School (one per school)</t>
        </is>
      </c>
      <c r="B106" s="8" t="inlineStr">
        <is>
          <t>board_configurations</t>
        </is>
      </c>
      <c r="C106" s="11" t="inlineStr">
        <is>
          <t>Good</t>
        </is>
      </c>
      <c r="D106" s="8" t="n">
        <v>13</v>
      </c>
      <c r="E106" s="8" t="n">
        <v>1</v>
      </c>
      <c r="F106" s="8" t="n">
        <v>2</v>
      </c>
      <c r="G106" s="8" t="inlineStr">
        <is>
          <t>0001_baseline.sql</t>
        </is>
      </c>
      <c r="H106" s="8" t="n">
        <v>1</v>
      </c>
      <c r="I106" s="8" t="inlineStr">
        <is>
          <t>worker/src/routes/admin/platform_config.ts</t>
        </is>
      </c>
      <c r="J106" s="8" t="inlineStr"/>
    </row>
    <row r="107">
      <c r="A107" s="8" t="inlineStr">
        <is>
          <t>School (one per school)</t>
        </is>
      </c>
      <c r="B107" s="8" t="inlineStr">
        <is>
          <t>board_disclosures</t>
        </is>
      </c>
      <c r="C107" s="11" t="inlineStr">
        <is>
          <t>Good</t>
        </is>
      </c>
      <c r="D107" s="8" t="n">
        <v>13</v>
      </c>
      <c r="E107" s="8" t="n">
        <v>2</v>
      </c>
      <c r="F107" s="8" t="n">
        <v>2</v>
      </c>
      <c r="G107" s="8" t="inlineStr">
        <is>
          <t>0001_baseline.sql</t>
        </is>
      </c>
      <c r="H107" s="8" t="n">
        <v>1</v>
      </c>
      <c r="I107" s="8" t="inlineStr">
        <is>
          <t>worker/src/routes/admin/platform_config.ts</t>
        </is>
      </c>
      <c r="J107" s="8" t="inlineStr"/>
    </row>
    <row r="108">
      <c r="A108" s="8" t="inlineStr">
        <is>
          <t>School (one per school)</t>
        </is>
      </c>
      <c r="B108" s="8" t="inlineStr">
        <is>
          <t>board_registration_amendments</t>
        </is>
      </c>
      <c r="C108" s="11" t="inlineStr">
        <is>
          <t>Good</t>
        </is>
      </c>
      <c r="D108" s="8" t="n">
        <v>14</v>
      </c>
      <c r="E108" s="8" t="n">
        <v>2</v>
      </c>
      <c r="F108" s="8" t="n">
        <v>4</v>
      </c>
      <c r="G108" s="8" t="inlineStr">
        <is>
          <t>0001_baseline.sql</t>
        </is>
      </c>
      <c r="H108" s="8" t="n">
        <v>1</v>
      </c>
      <c r="I108" s="8" t="inlineStr">
        <is>
          <t>worker/src/routes/board_exams.ts</t>
        </is>
      </c>
      <c r="J108" s="8" t="inlineStr"/>
    </row>
    <row r="109">
      <c r="A109" s="8" t="inlineStr">
        <is>
          <t>School (one per school)</t>
        </is>
      </c>
      <c r="B109" s="8" t="inlineStr">
        <is>
          <t>board_registrations</t>
        </is>
      </c>
      <c r="C109" s="11" t="inlineStr">
        <is>
          <t>Good</t>
        </is>
      </c>
      <c r="D109" s="8" t="n">
        <v>32</v>
      </c>
      <c r="E109" s="8" t="n">
        <v>3</v>
      </c>
      <c r="F109" s="8" t="n">
        <v>8</v>
      </c>
      <c r="G109" s="8" t="inlineStr">
        <is>
          <t>0001_baseline.sql</t>
        </is>
      </c>
      <c r="H109" s="8" t="n">
        <v>2</v>
      </c>
      <c r="I109" s="8" t="inlineStr">
        <is>
          <t>worker/src/routes/board_exams.ts
worker/src/routes/statutory.ts</t>
        </is>
      </c>
      <c r="J109" s="8" t="inlineStr"/>
    </row>
    <row r="110">
      <c r="A110" s="8" t="inlineStr">
        <is>
          <t>School (one per school)</t>
        </is>
      </c>
      <c r="B110" s="8" t="inlineStr">
        <is>
          <t>board_result_imports</t>
        </is>
      </c>
      <c r="C110" s="11" t="inlineStr">
        <is>
          <t>Good</t>
        </is>
      </c>
      <c r="D110" s="8" t="n">
        <v>15</v>
      </c>
      <c r="E110" s="8" t="n">
        <v>1</v>
      </c>
      <c r="F110" s="8" t="n">
        <v>4</v>
      </c>
      <c r="G110" s="8" t="inlineStr">
        <is>
          <t>0001_baseline.sql</t>
        </is>
      </c>
      <c r="H110" s="8" t="n">
        <v>1</v>
      </c>
      <c r="I110" s="8" t="inlineStr">
        <is>
          <t>worker/src/routes/board_exams.ts</t>
        </is>
      </c>
      <c r="J110" s="8" t="inlineStr"/>
    </row>
    <row r="111">
      <c r="A111" s="8" t="inlineStr">
        <is>
          <t>School (one per school)</t>
        </is>
      </c>
      <c r="B111" s="8" t="inlineStr">
        <is>
          <t>board_result_rows</t>
        </is>
      </c>
      <c r="C111" s="11" t="inlineStr">
        <is>
          <t>Good</t>
        </is>
      </c>
      <c r="D111" s="8" t="n">
        <v>17</v>
      </c>
      <c r="E111" s="8" t="n">
        <v>2</v>
      </c>
      <c r="F111" s="8" t="n">
        <v>5</v>
      </c>
      <c r="G111" s="8" t="inlineStr">
        <is>
          <t>0001_baseline.sql</t>
        </is>
      </c>
      <c r="H111" s="8" t="n">
        <v>1</v>
      </c>
      <c r="I111" s="8" t="inlineStr">
        <is>
          <t>worker/src/routes/board_exams.ts</t>
        </is>
      </c>
      <c r="J111" s="8" t="inlineStr"/>
    </row>
    <row r="112">
      <c r="A112" s="8" t="inlineStr">
        <is>
          <t>School (one per school)</t>
        </is>
      </c>
      <c r="B112" s="8" t="inlineStr">
        <is>
          <t>branding_profiles</t>
        </is>
      </c>
      <c r="C112" s="11" t="inlineStr">
        <is>
          <t>Good</t>
        </is>
      </c>
      <c r="D112" s="8" t="n">
        <v>23</v>
      </c>
      <c r="E112" s="8" t="n">
        <v>2</v>
      </c>
      <c r="F112" s="8" t="n">
        <v>2</v>
      </c>
      <c r="G112" s="8" t="inlineStr">
        <is>
          <t>0001_baseline.sql</t>
        </is>
      </c>
      <c r="H112" s="8" t="n">
        <v>8</v>
      </c>
      <c r="I112" s="8" t="inlineStr">
        <is>
          <t>worker/src/routes/admin/platform_config.ts
worker/src/routes/comms/class_status.ts
worker/src/routes/exams.ts
worker/src/routes/hr/staff.ts
worker/src/routes/portal/family.ts
worker/src/routes/portal/school_life.ts
… +2 more</t>
        </is>
      </c>
      <c r="J112" s="8" t="inlineStr"/>
    </row>
    <row r="113">
      <c r="A113" s="8" t="inlineStr">
        <is>
          <t>School (one per school)</t>
        </is>
      </c>
      <c r="B113" s="8" t="inlineStr">
        <is>
          <t>budget_lines</t>
        </is>
      </c>
      <c r="C113" s="11" t="inlineStr">
        <is>
          <t>Good</t>
        </is>
      </c>
      <c r="D113" s="8" t="n">
        <v>8</v>
      </c>
      <c r="E113" s="8" t="n">
        <v>1</v>
      </c>
      <c r="F113" s="8" t="n">
        <v>4</v>
      </c>
      <c r="G113" s="8" t="inlineStr">
        <is>
          <t>0001_baseline.sql</t>
        </is>
      </c>
      <c r="H113" s="8" t="n">
        <v>1</v>
      </c>
      <c r="I113" s="8" t="inlineStr">
        <is>
          <t>worker/src/routes/fees/ledgers.ts</t>
        </is>
      </c>
      <c r="J113" s="8" t="inlineStr"/>
    </row>
    <row r="114">
      <c r="A114" s="8" t="inlineStr">
        <is>
          <t>School (one per school)</t>
        </is>
      </c>
      <c r="B114" s="8" t="inlineStr">
        <is>
          <t>budgets</t>
        </is>
      </c>
      <c r="C114" s="11" t="inlineStr">
        <is>
          <t>Good</t>
        </is>
      </c>
      <c r="D114" s="8" t="n">
        <v>9</v>
      </c>
      <c r="E114" s="8" t="n">
        <v>0</v>
      </c>
      <c r="F114" s="8" t="n">
        <v>2</v>
      </c>
      <c r="G114" s="8" t="inlineStr">
        <is>
          <t>0001_baseline.sql</t>
        </is>
      </c>
      <c r="H114" s="8" t="n">
        <v>1</v>
      </c>
      <c r="I114" s="8" t="inlineStr">
        <is>
          <t>worker/src/routes/fees/ledgers.ts</t>
        </is>
      </c>
      <c r="J114" s="8" t="inlineStr"/>
    </row>
    <row r="115">
      <c r="A115" s="8" t="inlineStr">
        <is>
          <t>School (one per school)</t>
        </is>
      </c>
      <c r="B115" s="8" t="inlineStr">
        <is>
          <t>cafeteria_purchase_items</t>
        </is>
      </c>
      <c r="C115" s="11" t="inlineStr">
        <is>
          <t>Good</t>
        </is>
      </c>
      <c r="D115" s="8" t="n">
        <v>11</v>
      </c>
      <c r="E115" s="8" t="n">
        <v>1</v>
      </c>
      <c r="F115" s="8" t="n">
        <v>2</v>
      </c>
      <c r="G115" s="8" t="inlineStr">
        <is>
          <t>0001_baseline.sql</t>
        </is>
      </c>
      <c r="H115" s="8" t="n">
        <v>2</v>
      </c>
      <c r="I115" s="8" t="inlineStr">
        <is>
          <t>worker/src/routes/fees/collections.ts
worker/src/routes/portal/school_life.ts</t>
        </is>
      </c>
      <c r="J115" s="8" t="inlineStr"/>
    </row>
    <row r="116">
      <c r="A116" s="8" t="inlineStr">
        <is>
          <t>School (one per school)</t>
        </is>
      </c>
      <c r="B116" s="8" t="inlineStr">
        <is>
          <t>cafeteria_purchases</t>
        </is>
      </c>
      <c r="C116" s="11" t="inlineStr">
        <is>
          <t>Good</t>
        </is>
      </c>
      <c r="D116" s="8" t="n">
        <v>11</v>
      </c>
      <c r="E116" s="8" t="n">
        <v>2</v>
      </c>
      <c r="F116" s="8" t="n">
        <v>4</v>
      </c>
      <c r="G116" s="8" t="inlineStr">
        <is>
          <t>0001_baseline.sql</t>
        </is>
      </c>
      <c r="H116" s="8" t="n">
        <v>2</v>
      </c>
      <c r="I116" s="8" t="inlineStr">
        <is>
          <t>worker/src/routes/fees/collections.ts
worker/src/routes/portal/school_life.ts</t>
        </is>
      </c>
      <c r="J116" s="8" t="inlineStr"/>
    </row>
    <row r="117">
      <c r="A117" s="8" t="inlineStr">
        <is>
          <t>School (one per school)</t>
        </is>
      </c>
      <c r="B117" s="8" t="inlineStr">
        <is>
          <t>call_log</t>
        </is>
      </c>
      <c r="C117" s="11" t="inlineStr">
        <is>
          <t>Good</t>
        </is>
      </c>
      <c r="D117" s="8" t="n">
        <v>12</v>
      </c>
      <c r="E117" s="8" t="n">
        <v>2</v>
      </c>
      <c r="F117" s="8" t="n">
        <v>4</v>
      </c>
      <c r="G117" s="8" t="inlineStr">
        <is>
          <t>0001_baseline.sql</t>
        </is>
      </c>
      <c r="H117" s="8" t="n">
        <v>1</v>
      </c>
      <c r="I117" s="8" t="inlineStr">
        <is>
          <t>worker/src/routes/hr/office.ts</t>
        </is>
      </c>
      <c r="J117" s="8" t="inlineStr"/>
    </row>
    <row r="118">
      <c r="A118" s="8" t="inlineStr">
        <is>
          <t>School (one per school)</t>
        </is>
      </c>
      <c r="B118" s="8" t="inlineStr">
        <is>
          <t>campus_entry_passes</t>
        </is>
      </c>
      <c r="C118" s="11" t="inlineStr">
        <is>
          <t>Good</t>
        </is>
      </c>
      <c r="D118" s="8" t="n">
        <v>8</v>
      </c>
      <c r="E118" s="8" t="n">
        <v>2</v>
      </c>
      <c r="F118" s="8" t="n">
        <v>3</v>
      </c>
      <c r="G118" s="8" t="inlineStr">
        <is>
          <t>0001_baseline.sql</t>
        </is>
      </c>
      <c r="H118" s="8" t="n">
        <v>1</v>
      </c>
      <c r="I118" s="8" t="inlineStr">
        <is>
          <t>worker/src/routes/portal/school_life.ts</t>
        </is>
      </c>
      <c r="J118" s="8" t="inlineStr"/>
    </row>
    <row r="119">
      <c r="A119" s="8" t="inlineStr">
        <is>
          <t>School (one per school)</t>
        </is>
      </c>
      <c r="B119" s="8" t="inlineStr">
        <is>
          <t>campuses</t>
        </is>
      </c>
      <c r="C119" s="11" t="inlineStr">
        <is>
          <t>Good</t>
        </is>
      </c>
      <c r="D119" s="8" t="n">
        <v>18</v>
      </c>
      <c r="E119" s="8" t="n">
        <v>2</v>
      </c>
      <c r="F119" s="8" t="n">
        <v>1</v>
      </c>
      <c r="G119" s="8" t="inlineStr">
        <is>
          <t>0001_baseline.sql</t>
        </is>
      </c>
      <c r="H119" s="8" t="n">
        <v>24</v>
      </c>
      <c r="I119" s="8" t="inlineStr">
        <is>
          <t>worker/src/routes/academics/admin.ts
worker/src/routes/admin/loose.ts
worker/src/routes/admin/platform_config.ts
worker/src/routes/admin/platform_gateways.ts
worker/src/routes/admin/users.ts
worker/src/routes/admissions/funnel.ts
… +18 more</t>
        </is>
      </c>
      <c r="J119" s="8" t="inlineStr"/>
    </row>
    <row r="120">
      <c r="A120" s="8" t="inlineStr">
        <is>
          <t>School (one per school)</t>
        </is>
      </c>
      <c r="B120" s="8" t="inlineStr">
        <is>
          <t>cce_formative_entries</t>
        </is>
      </c>
      <c r="C120" s="11" t="inlineStr">
        <is>
          <t>Good</t>
        </is>
      </c>
      <c r="D120" s="8" t="n">
        <v>16</v>
      </c>
      <c r="E120" s="8" t="n">
        <v>2</v>
      </c>
      <c r="F120" s="8" t="n">
        <v>5</v>
      </c>
      <c r="G120" s="8" t="inlineStr">
        <is>
          <t>0001_baseline.sql</t>
        </is>
      </c>
      <c r="H120" s="8" t="n">
        <v>1</v>
      </c>
      <c r="I120" s="8" t="inlineStr">
        <is>
          <t>worker/src/routes/teaching/assessment.ts</t>
        </is>
      </c>
      <c r="J120" s="8" t="inlineStr"/>
    </row>
    <row r="121">
      <c r="A121" s="8" t="inlineStr">
        <is>
          <t>School (one per school)</t>
        </is>
      </c>
      <c r="B121" s="8" t="inlineStr">
        <is>
          <t>certificate_types</t>
        </is>
      </c>
      <c r="C121" s="11" t="inlineStr">
        <is>
          <t>Good</t>
        </is>
      </c>
      <c r="D121" s="8" t="n">
        <v>15</v>
      </c>
      <c r="E121" s="8" t="n">
        <v>0</v>
      </c>
      <c r="F121" s="8" t="n">
        <v>1</v>
      </c>
      <c r="G121" s="8" t="inlineStr">
        <is>
          <t>0001_baseline.sql</t>
        </is>
      </c>
      <c r="H121" s="8" t="n">
        <v>8</v>
      </c>
      <c r="I121" s="8" t="inlineStr">
        <is>
          <t>worker/src/routes/academics/admin.ts
worker/src/routes/admin/platform_config.ts
worker/src/routes/exams.ts
worker/src/routes/hr/lifecycle.ts
worker/src/routes/hr/staff.ts
worker/src/routes/portal/requests.ts
… +2 more</t>
        </is>
      </c>
      <c r="J121" s="8" t="inlineStr"/>
    </row>
    <row r="122">
      <c r="A122" s="8" t="inlineStr">
        <is>
          <t>School (one per school)</t>
        </is>
      </c>
      <c r="B122" s="8" t="inlineStr">
        <is>
          <t>child_info_differences</t>
        </is>
      </c>
      <c r="C122" s="11" t="inlineStr">
        <is>
          <t>Good</t>
        </is>
      </c>
      <c r="D122" s="8" t="n">
        <v>16</v>
      </c>
      <c r="E122" s="8" t="n">
        <v>2</v>
      </c>
      <c r="F122" s="8" t="n">
        <v>5</v>
      </c>
      <c r="G122" s="8" t="inlineStr">
        <is>
          <t>0001_baseline.sql</t>
        </is>
      </c>
      <c r="H122" s="8" t="n">
        <v>1</v>
      </c>
      <c r="I122" s="8" t="inlineStr">
        <is>
          <t>worker/src/routes/statutory.ts</t>
        </is>
      </c>
      <c r="J122" s="8" t="inlineStr"/>
    </row>
    <row r="123">
      <c r="A123" s="8" t="inlineStr">
        <is>
          <t>School (one per school)</t>
        </is>
      </c>
      <c r="B123" s="8" t="inlineStr">
        <is>
          <t>child_info_imports</t>
        </is>
      </c>
      <c r="C123" s="11" t="inlineStr">
        <is>
          <t>Good</t>
        </is>
      </c>
      <c r="D123" s="8" t="n">
        <v>13</v>
      </c>
      <c r="E123" s="8" t="n">
        <v>1</v>
      </c>
      <c r="F123" s="8" t="n">
        <v>3</v>
      </c>
      <c r="G123" s="8" t="inlineStr">
        <is>
          <t>0001_baseline.sql</t>
        </is>
      </c>
      <c r="H123" s="8" t="n">
        <v>1</v>
      </c>
      <c r="I123" s="8" t="inlineStr">
        <is>
          <t>worker/src/routes/statutory.ts</t>
        </is>
      </c>
      <c r="J123" s="8" t="inlineStr"/>
    </row>
    <row r="124">
      <c r="A124" s="8" t="inlineStr">
        <is>
          <t>School (one per school)</t>
        </is>
      </c>
      <c r="B124" s="8" t="inlineStr">
        <is>
          <t>child_info_portal_connectors</t>
        </is>
      </c>
      <c r="C124" s="11" t="inlineStr">
        <is>
          <t>Good</t>
        </is>
      </c>
      <c r="D124" s="8" t="n">
        <v>16</v>
      </c>
      <c r="E124" s="8" t="n">
        <v>1</v>
      </c>
      <c r="F124" s="8" t="n">
        <v>1</v>
      </c>
      <c r="G124" s="8" t="inlineStr">
        <is>
          <t>0001_baseline.sql</t>
        </is>
      </c>
      <c r="H124" s="8" t="n">
        <v>2</v>
      </c>
      <c r="I124" s="8" t="inlineStr">
        <is>
          <t>worker/src/routes/admin/integrations_index.ts
worker/src/routes/statutory.ts</t>
        </is>
      </c>
      <c r="J124" s="8" t="inlineStr"/>
    </row>
    <row r="125">
      <c r="A125" s="8" t="inlineStr">
        <is>
          <t>School (one per school)</t>
        </is>
      </c>
      <c r="B125" s="8" t="inlineStr">
        <is>
          <t>child_info_resolutions</t>
        </is>
      </c>
      <c r="C125" s="11" t="inlineStr">
        <is>
          <t>Good</t>
        </is>
      </c>
      <c r="D125" s="8" t="n">
        <v>11</v>
      </c>
      <c r="E125" s="8" t="n">
        <v>1</v>
      </c>
      <c r="F125" s="8" t="n">
        <v>2</v>
      </c>
      <c r="G125" s="8" t="inlineStr">
        <is>
          <t>0001_baseline.sql</t>
        </is>
      </c>
      <c r="H125" s="8" t="n">
        <v>1</v>
      </c>
      <c r="I125" s="8" t="inlineStr">
        <is>
          <t>worker/src/routes/statutory.ts</t>
        </is>
      </c>
      <c r="J125" s="8" t="inlineStr"/>
    </row>
    <row r="126">
      <c r="A126" s="8" t="inlineStr">
        <is>
          <t>School (one per school)</t>
        </is>
      </c>
      <c r="B126" s="8" t="inlineStr">
        <is>
          <t>child_info_rows</t>
        </is>
      </c>
      <c r="C126" s="11" t="inlineStr">
        <is>
          <t>Good</t>
        </is>
      </c>
      <c r="D126" s="8" t="n">
        <v>16</v>
      </c>
      <c r="E126" s="8" t="n">
        <v>2</v>
      </c>
      <c r="F126" s="8" t="n">
        <v>2</v>
      </c>
      <c r="G126" s="8" t="inlineStr">
        <is>
          <t>0001_baseline.sql</t>
        </is>
      </c>
      <c r="H126" s="8" t="n">
        <v>1</v>
      </c>
      <c r="I126" s="8" t="inlineStr">
        <is>
          <t>worker/src/routes/statutory.ts</t>
        </is>
      </c>
      <c r="J126" s="8" t="inlineStr"/>
    </row>
    <row r="127">
      <c r="A127" s="8" t="inlineStr">
        <is>
          <t>School (one per school)</t>
        </is>
      </c>
      <c r="B127" s="8" t="inlineStr">
        <is>
          <t>child_info_sync_runs</t>
        </is>
      </c>
      <c r="C127" s="11" t="inlineStr">
        <is>
          <t>Good</t>
        </is>
      </c>
      <c r="D127" s="8" t="n">
        <v>11</v>
      </c>
      <c r="E127" s="8" t="n">
        <v>1</v>
      </c>
      <c r="F127" s="8" t="n">
        <v>2</v>
      </c>
      <c r="G127" s="8" t="inlineStr">
        <is>
          <t>0001_baseline.sql</t>
        </is>
      </c>
      <c r="H127" s="8" t="n">
        <v>1</v>
      </c>
      <c r="I127" s="8" t="inlineStr">
        <is>
          <t>worker/src/routes/statutory.ts</t>
        </is>
      </c>
      <c r="J127" s="8" t="inlineStr"/>
    </row>
    <row r="128">
      <c r="A128" s="8" t="inlineStr">
        <is>
          <t>School (one per school)</t>
        </is>
      </c>
      <c r="B128" s="8" t="inlineStr">
        <is>
          <t>class_diary_entries</t>
        </is>
      </c>
      <c r="C128" s="11" t="inlineStr">
        <is>
          <t>Good</t>
        </is>
      </c>
      <c r="D128" s="8" t="n">
        <v>14</v>
      </c>
      <c r="E128" s="8" t="n">
        <v>1</v>
      </c>
      <c r="F128" s="8" t="n">
        <v>5</v>
      </c>
      <c r="G128" s="8" t="inlineStr">
        <is>
          <t>0001_baseline.sql</t>
        </is>
      </c>
      <c r="H128" s="8" t="n">
        <v>1</v>
      </c>
      <c r="I128" s="8" t="inlineStr">
        <is>
          <t>worker/src/routes/comms/capture.ts</t>
        </is>
      </c>
      <c r="J128" s="8" t="inlineStr"/>
    </row>
    <row r="129">
      <c r="A129" s="8" t="inlineStr">
        <is>
          <t>School (one per school)</t>
        </is>
      </c>
      <c r="B129" s="8" t="inlineStr">
        <is>
          <t>class_language_options</t>
        </is>
      </c>
      <c r="C129" s="11" t="inlineStr">
        <is>
          <t>Good</t>
        </is>
      </c>
      <c r="D129" s="8" t="n">
        <v>10</v>
      </c>
      <c r="E129" s="8" t="n">
        <v>2</v>
      </c>
      <c r="F129" s="8" t="n">
        <v>3</v>
      </c>
      <c r="G129" s="8" t="inlineStr">
        <is>
          <t>0001_baseline.sql</t>
        </is>
      </c>
      <c r="H129" s="8" t="n">
        <v>1</v>
      </c>
      <c r="I129" s="8" t="inlineStr">
        <is>
          <t>worker/src/routes/comms/classroom.ts</t>
        </is>
      </c>
      <c r="J129" s="8" t="inlineStr"/>
    </row>
    <row r="130">
      <c r="A130" s="8" t="inlineStr">
        <is>
          <t>School (one per school)</t>
        </is>
      </c>
      <c r="B130" s="8" t="inlineStr">
        <is>
          <t>class_subjects</t>
        </is>
      </c>
      <c r="C130" s="11" t="inlineStr">
        <is>
          <t>Good</t>
        </is>
      </c>
      <c r="D130" s="8" t="n">
        <v>8</v>
      </c>
      <c r="E130" s="8" t="n">
        <v>1</v>
      </c>
      <c r="F130" s="8" t="n">
        <v>3</v>
      </c>
      <c r="G130" s="8" t="inlineStr">
        <is>
          <t>0001_baseline.sql</t>
        </is>
      </c>
      <c r="H130" s="8" t="n">
        <v>39</v>
      </c>
      <c r="I130" s="8" t="inlineStr">
        <is>
          <t>worker/src/routes/academics.ts
worker/src/routes/academics/admin.ts
worker/src/routes/admin/export.ts
worker/src/routes/admin/loose.ts
worker/src/routes/admin/security.ts
worker/src/routes/board_exams.ts
… +33 more</t>
        </is>
      </c>
      <c r="J130" s="8" t="inlineStr"/>
    </row>
    <row r="131">
      <c r="A131" s="8" t="inlineStr">
        <is>
          <t>School (one per school)</t>
        </is>
      </c>
      <c r="B131" s="8" t="inlineStr">
        <is>
          <t>classes</t>
        </is>
      </c>
      <c r="C131" s="11" t="inlineStr">
        <is>
          <t>Good</t>
        </is>
      </c>
      <c r="D131" s="8" t="n">
        <v>8</v>
      </c>
      <c r="E131" s="8" t="n">
        <v>2</v>
      </c>
      <c r="F131" s="8" t="n">
        <v>3</v>
      </c>
      <c r="G131" s="8" t="inlineStr">
        <is>
          <t>0001_baseline.sql</t>
        </is>
      </c>
      <c r="H131" s="8" t="n">
        <v>78</v>
      </c>
      <c r="I131" s="8" t="inlineStr">
        <is>
          <t>worker/src/routes/academics.ts
worker/src/routes/academics/admin.ts
worker/src/routes/admin/connectors.ts
worker/src/routes/admin/export.ts
worker/src/routes/admin/inbox.ts
worker/src/routes/admin/msg_plans.ts
… +72 more</t>
        </is>
      </c>
      <c r="J131" s="8" t="inlineStr"/>
    </row>
    <row r="132">
      <c r="A132" s="8" t="inlineStr">
        <is>
          <t>School (one per school)</t>
        </is>
      </c>
      <c r="B132" s="8" t="inlineStr">
        <is>
          <t>clearance_departments</t>
        </is>
      </c>
      <c r="C132" s="11" t="inlineStr">
        <is>
          <t>Good</t>
        </is>
      </c>
      <c r="D132" s="8" t="n">
        <v>6</v>
      </c>
      <c r="E132" s="8" t="n">
        <v>1</v>
      </c>
      <c r="F132" s="8" t="n">
        <v>1</v>
      </c>
      <c r="G132" s="8" t="inlineStr">
        <is>
          <t>0001_baseline.sql</t>
        </is>
      </c>
      <c r="H132" s="8" t="n">
        <v>3</v>
      </c>
      <c r="I132" s="8" t="inlineStr">
        <is>
          <t>worker/src/routes/hr/lifecycle.ts
worker/src/routes/seller/tenants.ts
worker/src/services/provision.ts</t>
        </is>
      </c>
      <c r="J132" s="8" t="inlineStr"/>
    </row>
    <row r="133">
      <c r="A133" s="8" t="inlineStr">
        <is>
          <t>School (one per school)</t>
        </is>
      </c>
      <c r="B133" s="8" t="inlineStr">
        <is>
          <t>club_event_tickets</t>
        </is>
      </c>
      <c r="C133" s="11" t="inlineStr">
        <is>
          <t>Good</t>
        </is>
      </c>
      <c r="D133" s="8" t="n">
        <v>10</v>
      </c>
      <c r="E133" s="8" t="n">
        <v>2</v>
      </c>
      <c r="F133" s="8" t="n">
        <v>4</v>
      </c>
      <c r="G133" s="8" t="inlineStr">
        <is>
          <t>0001_baseline.sql</t>
        </is>
      </c>
      <c r="H133" s="8" t="n">
        <v>1</v>
      </c>
      <c r="I133" s="8" t="inlineStr">
        <is>
          <t>worker/src/routes/portal/learning.ts</t>
        </is>
      </c>
      <c r="J133" s="8" t="inlineStr"/>
    </row>
    <row r="134">
      <c r="A134" s="8" t="inlineStr">
        <is>
          <t>School (one per school)</t>
        </is>
      </c>
      <c r="B134" s="8" t="inlineStr">
        <is>
          <t>club_events</t>
        </is>
      </c>
      <c r="C134" s="11" t="inlineStr">
        <is>
          <t>Good</t>
        </is>
      </c>
      <c r="D134" s="8" t="n">
        <v>17</v>
      </c>
      <c r="E134" s="8" t="n">
        <v>2</v>
      </c>
      <c r="F134" s="8" t="n">
        <v>3</v>
      </c>
      <c r="G134" s="8" t="inlineStr">
        <is>
          <t>0001_baseline.sql</t>
        </is>
      </c>
      <c r="H134" s="8" t="n">
        <v>3</v>
      </c>
      <c r="I134" s="8" t="inlineStr">
        <is>
          <t>worker/src/routes/portal/learning.ts
worker/src/routes/portal/life.ts
worker/src/routes/portal/records.ts</t>
        </is>
      </c>
      <c r="J134" s="8" t="inlineStr"/>
    </row>
    <row r="135">
      <c r="A135" s="8" t="inlineStr">
        <is>
          <t>School (one per school)</t>
        </is>
      </c>
      <c r="B135" s="8" t="inlineStr">
        <is>
          <t>co_po_map</t>
        </is>
      </c>
      <c r="C135" s="11" t="inlineStr">
        <is>
          <t>Good</t>
        </is>
      </c>
      <c r="D135" s="8" t="n">
        <v>5</v>
      </c>
      <c r="E135" s="8" t="n">
        <v>1</v>
      </c>
      <c r="F135" s="8" t="n">
        <v>3</v>
      </c>
      <c r="G135" s="8" t="inlineStr">
        <is>
          <t>0001_baseline.sql</t>
        </is>
      </c>
      <c r="H135" s="8" t="n">
        <v>1</v>
      </c>
      <c r="I135" s="8" t="inlineStr">
        <is>
          <t>worker/src/routes/academics/admin.ts</t>
        </is>
      </c>
      <c r="J135" s="8" t="inlineStr"/>
    </row>
    <row r="136">
      <c r="A136" s="8" t="inlineStr">
        <is>
          <t>School (one per school)</t>
        </is>
      </c>
      <c r="B136" s="8" t="inlineStr">
        <is>
          <t>co_scholastic_areas</t>
        </is>
      </c>
      <c r="C136" s="11" t="inlineStr">
        <is>
          <t>Good</t>
        </is>
      </c>
      <c r="D136" s="8" t="n">
        <v>6</v>
      </c>
      <c r="E136" s="8" t="n">
        <v>1</v>
      </c>
      <c r="F136" s="8" t="n">
        <v>1</v>
      </c>
      <c r="G136" s="8" t="inlineStr">
        <is>
          <t>0001_baseline.sql</t>
        </is>
      </c>
      <c r="H136" s="8" t="n">
        <v>2</v>
      </c>
      <c r="I136" s="8" t="inlineStr">
        <is>
          <t>worker/src/routes/academics.ts
worker/src/routes/students.ts</t>
        </is>
      </c>
      <c r="J136" s="8" t="inlineStr"/>
    </row>
    <row r="137">
      <c r="A137" s="8" t="inlineStr">
        <is>
          <t>School (one per school)</t>
        </is>
      </c>
      <c r="B137" s="8" t="inlineStr">
        <is>
          <t>co_scholastic_grades</t>
        </is>
      </c>
      <c r="C137" s="11" t="inlineStr">
        <is>
          <t>Good</t>
        </is>
      </c>
      <c r="D137" s="8" t="n">
        <v>9</v>
      </c>
      <c r="E137" s="8" t="n">
        <v>2</v>
      </c>
      <c r="F137" s="8" t="n">
        <v>5</v>
      </c>
      <c r="G137" s="8" t="inlineStr">
        <is>
          <t>0001_baseline.sql</t>
        </is>
      </c>
      <c r="H137" s="8" t="n">
        <v>1</v>
      </c>
      <c r="I137" s="8" t="inlineStr">
        <is>
          <t>worker/src/routes/students.ts</t>
        </is>
      </c>
      <c r="J137" s="8" t="inlineStr"/>
    </row>
    <row r="138">
      <c r="A138" s="8" t="inlineStr">
        <is>
          <t>School (one per school)</t>
        </is>
      </c>
      <c r="B138" s="8" t="inlineStr">
        <is>
          <t>collections_settings</t>
        </is>
      </c>
      <c r="C138" s="11" t="inlineStr">
        <is>
          <t>Good</t>
        </is>
      </c>
      <c r="D138" s="8" t="n">
        <v>7</v>
      </c>
      <c r="E138" s="8" t="n">
        <v>0</v>
      </c>
      <c r="F138" s="8" t="n">
        <v>5</v>
      </c>
      <c r="G138" s="8" t="inlineStr">
        <is>
          <t>0001_baseline.sql</t>
        </is>
      </c>
      <c r="H138" s="8" t="n">
        <v>1</v>
      </c>
      <c r="I138" s="8" t="inlineStr">
        <is>
          <t>worker/src/routes/fees/collections.ts</t>
        </is>
      </c>
      <c r="J138" s="8" t="inlineStr"/>
    </row>
    <row r="139">
      <c r="A139" s="8" t="inlineStr">
        <is>
          <t>School (one per school)</t>
        </is>
      </c>
      <c r="B139" s="8" t="inlineStr">
        <is>
          <t>contractor_bills</t>
        </is>
      </c>
      <c r="C139" s="11" t="inlineStr">
        <is>
          <t>Good</t>
        </is>
      </c>
      <c r="D139" s="8" t="n">
        <v>16</v>
      </c>
      <c r="E139" s="8" t="n">
        <v>1</v>
      </c>
      <c r="F139" s="8" t="n">
        <v>2</v>
      </c>
      <c r="G139" s="8" t="inlineStr">
        <is>
          <t>0001_baseline.sql</t>
        </is>
      </c>
      <c r="H139" s="8" t="n">
        <v>1</v>
      </c>
      <c r="I139" s="8" t="inlineStr">
        <is>
          <t>worker/src/routes/payroll.ts</t>
        </is>
      </c>
      <c r="J139" s="8" t="inlineStr"/>
    </row>
    <row r="140">
      <c r="A140" s="8" t="inlineStr">
        <is>
          <t>School (one per school)</t>
        </is>
      </c>
      <c r="B140" s="8" t="inlineStr">
        <is>
          <t>council_duties</t>
        </is>
      </c>
      <c r="C140" s="11" t="inlineStr">
        <is>
          <t>Good</t>
        </is>
      </c>
      <c r="D140" s="8" t="n">
        <v>9</v>
      </c>
      <c r="E140" s="8" t="n">
        <v>2</v>
      </c>
      <c r="F140" s="8" t="n">
        <v>3</v>
      </c>
      <c r="G140" s="8" t="inlineStr">
        <is>
          <t>0001_baseline.sql</t>
        </is>
      </c>
      <c r="H140" s="8" t="n">
        <v>1</v>
      </c>
      <c r="I140" s="8" t="inlineStr">
        <is>
          <t>worker/src/routes/academics/admin.ts</t>
        </is>
      </c>
      <c r="J140" s="8" t="inlineStr"/>
    </row>
    <row r="141">
      <c r="A141" s="8" t="inlineStr">
        <is>
          <t>School (one per school)</t>
        </is>
      </c>
      <c r="B141" s="8" t="inlineStr">
        <is>
          <t>council_members</t>
        </is>
      </c>
      <c r="C141" s="11" t="inlineStr">
        <is>
          <t>Good</t>
        </is>
      </c>
      <c r="D141" s="8" t="n">
        <v>12</v>
      </c>
      <c r="E141" s="8" t="n">
        <v>2</v>
      </c>
      <c r="F141" s="8" t="n">
        <v>4</v>
      </c>
      <c r="G141" s="8" t="inlineStr">
        <is>
          <t>0001_baseline.sql</t>
        </is>
      </c>
      <c r="H141" s="8" t="n">
        <v>1</v>
      </c>
      <c r="I141" s="8" t="inlineStr">
        <is>
          <t>worker/src/routes/academics/admin.ts</t>
        </is>
      </c>
      <c r="J141" s="8" t="inlineStr"/>
    </row>
    <row r="142">
      <c r="A142" s="8" t="inlineStr">
        <is>
          <t>School (one per school)</t>
        </is>
      </c>
      <c r="B142" s="8" t="inlineStr">
        <is>
          <t>council_positions</t>
        </is>
      </c>
      <c r="C142" s="11" t="inlineStr">
        <is>
          <t>Good</t>
        </is>
      </c>
      <c r="D142" s="8" t="n">
        <v>10</v>
      </c>
      <c r="E142" s="8" t="n">
        <v>2</v>
      </c>
      <c r="F142" s="8" t="n">
        <v>2</v>
      </c>
      <c r="G142" s="8" t="inlineStr">
        <is>
          <t>0001_baseline.sql</t>
        </is>
      </c>
      <c r="H142" s="8" t="n">
        <v>1</v>
      </c>
      <c r="I142" s="8" t="inlineStr">
        <is>
          <t>worker/src/routes/academics/admin.ts</t>
        </is>
      </c>
      <c r="J142" s="8" t="inlineStr"/>
    </row>
    <row r="143">
      <c r="A143" s="8" t="inlineStr">
        <is>
          <t>School (one per school)</t>
        </is>
      </c>
      <c r="B143" s="8" t="inlineStr">
        <is>
          <t>counselor_access_events</t>
        </is>
      </c>
      <c r="C143" s="11" t="inlineStr">
        <is>
          <t>Good</t>
        </is>
      </c>
      <c r="D143" s="8" t="n">
        <v>8</v>
      </c>
      <c r="E143" s="8" t="n">
        <v>2</v>
      </c>
      <c r="F143" s="8" t="n">
        <v>4</v>
      </c>
      <c r="G143" s="8" t="inlineStr">
        <is>
          <t>0001_baseline.sql</t>
        </is>
      </c>
      <c r="H143" s="8" t="n">
        <v>1</v>
      </c>
      <c r="I143" s="8" t="inlineStr">
        <is>
          <t>worker/src/routes/comms/counselor.ts</t>
        </is>
      </c>
      <c r="J143" s="8" t="inlineStr"/>
    </row>
    <row r="144">
      <c r="A144" s="8" t="inlineStr">
        <is>
          <t>School (one per school)</t>
        </is>
      </c>
      <c r="B144" s="8" t="inlineStr">
        <is>
          <t>counselor_messages</t>
        </is>
      </c>
      <c r="C144" s="11" t="inlineStr">
        <is>
          <t>Good</t>
        </is>
      </c>
      <c r="D144" s="8" t="n">
        <v>7</v>
      </c>
      <c r="E144" s="8" t="n">
        <v>2</v>
      </c>
      <c r="F144" s="8" t="n">
        <v>3</v>
      </c>
      <c r="G144" s="8" t="inlineStr">
        <is>
          <t>0001_baseline.sql</t>
        </is>
      </c>
      <c r="H144" s="8" t="n">
        <v>2</v>
      </c>
      <c r="I144" s="8" t="inlineStr">
        <is>
          <t>worker/src/routes/admin/security.ts
worker/src/routes/comms/counselor.ts</t>
        </is>
      </c>
      <c r="J144" s="8" t="inlineStr"/>
    </row>
    <row r="145">
      <c r="A145" s="8" t="inlineStr">
        <is>
          <t>School (one per school)</t>
        </is>
      </c>
      <c r="B145" s="8" t="inlineStr">
        <is>
          <t>counselor_thread_participants</t>
        </is>
      </c>
      <c r="C145" s="11" t="inlineStr">
        <is>
          <t>Good</t>
        </is>
      </c>
      <c r="D145" s="8" t="n">
        <v>11</v>
      </c>
      <c r="E145" s="8" t="n">
        <v>2</v>
      </c>
      <c r="F145" s="8" t="n">
        <v>5</v>
      </c>
      <c r="G145" s="8" t="inlineStr">
        <is>
          <t>0001_baseline.sql</t>
        </is>
      </c>
      <c r="H145" s="8" t="n">
        <v>2</v>
      </c>
      <c r="I145" s="8" t="inlineStr">
        <is>
          <t>worker/src/routes/admin/loose.ts
worker/src/routes/comms/counselor.ts</t>
        </is>
      </c>
      <c r="J145" s="8" t="inlineStr"/>
    </row>
    <row r="146">
      <c r="A146" s="8" t="inlineStr">
        <is>
          <t>School (one per school)</t>
        </is>
      </c>
      <c r="B146" s="8" t="inlineStr">
        <is>
          <t>counselor_threads</t>
        </is>
      </c>
      <c r="C146" s="11" t="inlineStr">
        <is>
          <t>Good</t>
        </is>
      </c>
      <c r="D146" s="8" t="n">
        <v>13</v>
      </c>
      <c r="E146" s="8" t="n">
        <v>1</v>
      </c>
      <c r="F146" s="8" t="n">
        <v>5</v>
      </c>
      <c r="G146" s="8" t="inlineStr">
        <is>
          <t>0001_baseline.sql</t>
        </is>
      </c>
      <c r="H146" s="8" t="n">
        <v>3</v>
      </c>
      <c r="I146" s="8" t="inlineStr">
        <is>
          <t>worker/src/routes/admin/inbox.ts
worker/src/routes/admin/security.ts
worker/src/routes/comms/counselor.ts</t>
        </is>
      </c>
      <c r="J146" s="8" t="inlineStr"/>
    </row>
    <row r="147">
      <c r="A147" s="8" t="inlineStr">
        <is>
          <t>School (one per school)</t>
        </is>
      </c>
      <c r="B147" s="8" t="inlineStr">
        <is>
          <t>courier_log</t>
        </is>
      </c>
      <c r="C147" s="11" t="inlineStr">
        <is>
          <t>Good</t>
        </is>
      </c>
      <c r="D147" s="8" t="n">
        <v>14</v>
      </c>
      <c r="E147" s="8" t="n">
        <v>2</v>
      </c>
      <c r="F147" s="8" t="n">
        <v>2</v>
      </c>
      <c r="G147" s="8" t="inlineStr">
        <is>
          <t>0001_baseline.sql</t>
        </is>
      </c>
      <c r="H147" s="8" t="n">
        <v>1</v>
      </c>
      <c r="I147" s="8" t="inlineStr">
        <is>
          <t>worker/src/routes/hr/office.ts</t>
        </is>
      </c>
      <c r="J147" s="8" t="inlineStr"/>
    </row>
    <row r="148">
      <c r="A148" s="8" t="inlineStr">
        <is>
          <t>School (one per school)</t>
        </is>
      </c>
      <c r="B148" s="8" t="inlineStr">
        <is>
          <t>course_outcomes</t>
        </is>
      </c>
      <c r="C148" s="11" t="inlineStr">
        <is>
          <t>Good</t>
        </is>
      </c>
      <c r="D148" s="8" t="n">
        <v>10</v>
      </c>
      <c r="E148" s="8" t="n">
        <v>2</v>
      </c>
      <c r="F148" s="8" t="n">
        <v>2</v>
      </c>
      <c r="G148" s="8" t="inlineStr">
        <is>
          <t>0001_baseline.sql</t>
        </is>
      </c>
      <c r="H148" s="8" t="n">
        <v>1</v>
      </c>
      <c r="I148" s="8" t="inlineStr">
        <is>
          <t>worker/src/routes/academics/admin.ts</t>
        </is>
      </c>
      <c r="J148" s="8" t="inlineStr"/>
    </row>
    <row r="149">
      <c r="A149" s="8" t="inlineStr">
        <is>
          <t>School (one per school)</t>
        </is>
      </c>
      <c r="B149" s="8" t="inlineStr">
        <is>
          <t>crm_api_credentials</t>
        </is>
      </c>
      <c r="C149" s="11" t="inlineStr">
        <is>
          <t>Good</t>
        </is>
      </c>
      <c r="D149" s="8" t="n">
        <v>8</v>
      </c>
      <c r="E149" s="8" t="n">
        <v>1</v>
      </c>
      <c r="F149" s="8" t="n">
        <v>2</v>
      </c>
      <c r="G149" s="8" t="inlineStr">
        <is>
          <t>0001_baseline.sql</t>
        </is>
      </c>
      <c r="H149" s="8" t="n">
        <v>2</v>
      </c>
      <c r="I149" s="8" t="inlineStr">
        <is>
          <t>worker/src/routes/admin/connectors.ts
worker/src/routes/admin/integrations_index.ts</t>
        </is>
      </c>
      <c r="J149" s="8" t="inlineStr"/>
    </row>
    <row r="150">
      <c r="A150" s="8" t="inlineStr">
        <is>
          <t>School (one per school)</t>
        </is>
      </c>
      <c r="B150" s="8" t="inlineStr">
        <is>
          <t>crm_connector_settings</t>
        </is>
      </c>
      <c r="C150" s="11" t="inlineStr">
        <is>
          <t>Good</t>
        </is>
      </c>
      <c r="D150" s="8" t="n">
        <v>9</v>
      </c>
      <c r="E150" s="8" t="n">
        <v>0</v>
      </c>
      <c r="F150" s="8" t="n">
        <v>2</v>
      </c>
      <c r="G150" s="8" t="inlineStr">
        <is>
          <t>0001_baseline.sql</t>
        </is>
      </c>
      <c r="H150" s="8" t="n">
        <v>1</v>
      </c>
      <c r="I150" s="8" t="inlineStr">
        <is>
          <t>worker/src/routes/admin/connectors.ts</t>
        </is>
      </c>
      <c r="J150" s="8" t="inlineStr"/>
    </row>
    <row r="151">
      <c r="A151" s="8" t="inlineStr">
        <is>
          <t>School (one per school)</t>
        </is>
      </c>
      <c r="B151" s="8" t="inlineStr">
        <is>
          <t>crm_field_mappings</t>
        </is>
      </c>
      <c r="C151" s="11" t="inlineStr">
        <is>
          <t>Good</t>
        </is>
      </c>
      <c r="D151" s="8" t="n">
        <v>7</v>
      </c>
      <c r="E151" s="8" t="n">
        <v>1</v>
      </c>
      <c r="F151" s="8" t="n">
        <v>1</v>
      </c>
      <c r="G151" s="8" t="inlineStr">
        <is>
          <t>0001_baseline.sql</t>
        </is>
      </c>
      <c r="H151" s="8" t="n">
        <v>1</v>
      </c>
      <c r="I151" s="8" t="inlineStr">
        <is>
          <t>worker/src/routes/admin/connectors.ts</t>
        </is>
      </c>
      <c r="J151" s="8" t="inlineStr"/>
    </row>
    <row r="152">
      <c r="A152" s="8" t="inlineStr">
        <is>
          <t>School (one per school)</t>
        </is>
      </c>
      <c r="B152" s="8" t="inlineStr">
        <is>
          <t>crm_lead_links</t>
        </is>
      </c>
      <c r="C152" s="11" t="inlineStr">
        <is>
          <t>Good</t>
        </is>
      </c>
      <c r="D152" s="8" t="n">
        <v>13</v>
      </c>
      <c r="E152" s="8" t="n">
        <v>3</v>
      </c>
      <c r="F152" s="8" t="n">
        <v>2</v>
      </c>
      <c r="G152" s="8" t="inlineStr">
        <is>
          <t>0001_baseline.sql</t>
        </is>
      </c>
      <c r="H152" s="8" t="n">
        <v>1</v>
      </c>
      <c r="I152" s="8" t="inlineStr">
        <is>
          <t>worker/src/routes/admin/connectors.ts</t>
        </is>
      </c>
      <c r="J152" s="8" t="inlineStr"/>
    </row>
    <row r="153">
      <c r="A153" s="8" t="inlineStr">
        <is>
          <t>School (one per school)</t>
        </is>
      </c>
      <c r="B153" s="8" t="inlineStr">
        <is>
          <t>crm_sync_run_items</t>
        </is>
      </c>
      <c r="C153" s="11" t="inlineStr">
        <is>
          <t>Good</t>
        </is>
      </c>
      <c r="D153" s="8" t="n">
        <v>7</v>
      </c>
      <c r="E153" s="8" t="n">
        <v>1</v>
      </c>
      <c r="F153" s="8" t="n">
        <v>2</v>
      </c>
      <c r="G153" s="8" t="inlineStr">
        <is>
          <t>0001_baseline.sql</t>
        </is>
      </c>
      <c r="H153" s="8" t="n">
        <v>1</v>
      </c>
      <c r="I153" s="8" t="inlineStr">
        <is>
          <t>worker/src/routes/admin/connectors.ts</t>
        </is>
      </c>
      <c r="J153" s="8" t="inlineStr"/>
    </row>
    <row r="154">
      <c r="A154" s="8" t="inlineStr">
        <is>
          <t>School (one per school)</t>
        </is>
      </c>
      <c r="B154" s="8" t="inlineStr">
        <is>
          <t>crm_sync_runs</t>
        </is>
      </c>
      <c r="C154" s="11" t="inlineStr">
        <is>
          <t>Good</t>
        </is>
      </c>
      <c r="D154" s="8" t="n">
        <v>16</v>
      </c>
      <c r="E154" s="8" t="n">
        <v>1</v>
      </c>
      <c r="F154" s="8" t="n">
        <v>2</v>
      </c>
      <c r="G154" s="8" t="inlineStr">
        <is>
          <t>0001_baseline.sql</t>
        </is>
      </c>
      <c r="H154" s="8" t="n">
        <v>2</v>
      </c>
      <c r="I154" s="8" t="inlineStr">
        <is>
          <t>worker/src/routes/admin/connectors.ts
worker/src/routes/admin/integrations_index.ts</t>
        </is>
      </c>
      <c r="J154" s="8" t="inlineStr"/>
    </row>
    <row r="155">
      <c r="A155" s="8" t="inlineStr">
        <is>
          <t>School (one per school)</t>
        </is>
      </c>
      <c r="B155" s="8" t="inlineStr">
        <is>
          <t>cron_runs</t>
        </is>
      </c>
      <c r="C155" s="11" t="inlineStr">
        <is>
          <t>Good</t>
        </is>
      </c>
      <c r="D155" s="8" t="n">
        <v>2</v>
      </c>
      <c r="E155" s="8" t="n">
        <v>0</v>
      </c>
      <c r="F155" s="8" t="n">
        <v>0</v>
      </c>
      <c r="G155" s="8" t="inlineStr">
        <is>
          <t>0001_baseline.sql</t>
        </is>
      </c>
      <c r="H155" s="8" t="n">
        <v>1</v>
      </c>
      <c r="I155" s="8" t="inlineStr">
        <is>
          <t>worker/src/services/cron.ts</t>
        </is>
      </c>
      <c r="J155" s="8" t="inlineStr"/>
    </row>
    <row r="156">
      <c r="A156" s="8" t="inlineStr">
        <is>
          <t>School (one per school)</t>
        </is>
      </c>
      <c r="B156" s="8" t="inlineStr">
        <is>
          <t>custom_options</t>
        </is>
      </c>
      <c r="C156" s="11" t="inlineStr">
        <is>
          <t>Good</t>
        </is>
      </c>
      <c r="D156" s="8" t="n">
        <v>9</v>
      </c>
      <c r="E156" s="8" t="n">
        <v>2</v>
      </c>
      <c r="F156" s="8" t="n">
        <v>1</v>
      </c>
      <c r="G156" s="8" t="inlineStr">
        <is>
          <t>0001_baseline.sql</t>
        </is>
      </c>
      <c r="H156" s="8" t="n">
        <v>4</v>
      </c>
      <c r="I156" s="8" t="inlineStr">
        <is>
          <t>worker/src/routes/admissions/campaigns.ts
worker/src/routes/admissions/util.ts
worker/src/routes/setup/profile.ts
worker/src/routes/students/common.ts</t>
        </is>
      </c>
      <c r="J156" s="8" t="inlineStr"/>
    </row>
    <row r="157">
      <c r="A157" s="8" t="inlineStr">
        <is>
          <t>School (one per school)</t>
        </is>
      </c>
      <c r="B157" s="8" t="inlineStr">
        <is>
          <t>departments</t>
        </is>
      </c>
      <c r="C157" s="11" t="inlineStr">
        <is>
          <t>Good</t>
        </is>
      </c>
      <c r="D157" s="8" t="n">
        <v>6</v>
      </c>
      <c r="E157" s="8" t="n">
        <v>1</v>
      </c>
      <c r="F157" s="8" t="n">
        <v>4</v>
      </c>
      <c r="G157" s="8" t="inlineStr">
        <is>
          <t>0001_baseline.sql</t>
        </is>
      </c>
      <c r="H157" s="8" t="n">
        <v>25</v>
      </c>
      <c r="I157" s="8" t="inlineStr">
        <is>
          <t>worker/src/routes/academics/admin.ts
worker/src/routes/admin/export.ts
worker/src/routes/admin/ops_evaluation.ts
worker/src/routes/admin/ops_purchasing.ts
worker/src/routes/daily.ts
worker/src/routes/fees/common.ts
… +19 more</t>
        </is>
      </c>
      <c r="J157" s="8" t="inlineStr"/>
    </row>
    <row r="158">
      <c r="A158" s="8" t="inlineStr">
        <is>
          <t>School (one per school)</t>
        </is>
      </c>
      <c r="B158" s="8" t="inlineStr">
        <is>
          <t>depreciation_charges</t>
        </is>
      </c>
      <c r="C158" s="11" t="inlineStr">
        <is>
          <t>Good</t>
        </is>
      </c>
      <c r="D158" s="8" t="n">
        <v>10</v>
      </c>
      <c r="E158" s="8" t="n">
        <v>1</v>
      </c>
      <c r="F158" s="8" t="n">
        <v>3</v>
      </c>
      <c r="G158" s="8" t="inlineStr">
        <is>
          <t>0001_baseline.sql</t>
        </is>
      </c>
      <c r="H158" s="8" t="n">
        <v>1</v>
      </c>
      <c r="I158" s="8" t="inlineStr">
        <is>
          <t>worker/src/routes/fees/ledgers.ts</t>
        </is>
      </c>
      <c r="J158" s="8" t="inlineStr"/>
    </row>
    <row r="159">
      <c r="A159" s="8" t="inlineStr">
        <is>
          <t>School (one per school)</t>
        </is>
      </c>
      <c r="B159" s="8" t="inlineStr">
        <is>
          <t>designations</t>
        </is>
      </c>
      <c r="C159" s="11" t="inlineStr">
        <is>
          <t>Good</t>
        </is>
      </c>
      <c r="D159" s="8" t="n">
        <v>4</v>
      </c>
      <c r="E159" s="8" t="n">
        <v>0</v>
      </c>
      <c r="F159" s="8" t="n">
        <v>1</v>
      </c>
      <c r="G159" s="8" t="inlineStr">
        <is>
          <t>0001_baseline.sql</t>
        </is>
      </c>
      <c r="H159" s="8" t="n">
        <v>17</v>
      </c>
      <c r="I159" s="8" t="inlineStr">
        <is>
          <t>worker/src/routes/admin/export.ts
worker/src/routes/comms/grievances.ts
worker/src/routes/growth/hr_appraisal.ts
worker/src/routes/growth/hr_recruit.ts
worker/src/routes/growth/hr_training.ts
worker/src/routes/growth/people.ts
… +11 more</t>
        </is>
      </c>
      <c r="J159" s="8" t="inlineStr"/>
    </row>
    <row r="160">
      <c r="A160" s="8" t="inlineStr">
        <is>
          <t>School (one per school)</t>
        </is>
      </c>
      <c r="B160" s="8" t="inlineStr">
        <is>
          <t>device_staff_sessions</t>
        </is>
      </c>
      <c r="C160" s="11" t="inlineStr">
        <is>
          <t>Good</t>
        </is>
      </c>
      <c r="D160" s="8" t="n">
        <v>11</v>
      </c>
      <c r="E160" s="8" t="n">
        <v>2</v>
      </c>
      <c r="F160" s="8" t="n">
        <v>2</v>
      </c>
      <c r="G160" s="8" t="inlineStr">
        <is>
          <t>0001_baseline.sql</t>
        </is>
      </c>
      <c r="H160" s="8" t="n">
        <v>2</v>
      </c>
      <c r="I160" s="8" t="inlineStr">
        <is>
          <t>worker/src/routes/comms/sms_gateway_public.ts
worker/src/routes/scheduling/bus_tracker.ts</t>
        </is>
      </c>
      <c r="J160" s="8" t="inlineStr"/>
    </row>
    <row r="161">
      <c r="A161" s="8" t="inlineStr">
        <is>
          <t>School (one per school)</t>
        </is>
      </c>
      <c r="B161" s="8" t="inlineStr">
        <is>
          <t>digital_holding_opens</t>
        </is>
      </c>
      <c r="C161" s="11" t="inlineStr">
        <is>
          <t>Good</t>
        </is>
      </c>
      <c r="D161" s="8" t="n">
        <v>5</v>
      </c>
      <c r="E161" s="8" t="n">
        <v>2</v>
      </c>
      <c r="F161" s="8" t="n">
        <v>3</v>
      </c>
      <c r="G161" s="8" t="inlineStr">
        <is>
          <t>0001_baseline.sql</t>
        </is>
      </c>
      <c r="H161" s="8" t="n">
        <v>1</v>
      </c>
      <c r="I161" s="8" t="inlineStr">
        <is>
          <t>worker/src/routes/ops/digital_library.ts</t>
        </is>
      </c>
      <c r="J161" s="8" t="inlineStr"/>
    </row>
    <row r="162">
      <c r="A162" s="8" t="inlineStr">
        <is>
          <t>School (one per school)</t>
        </is>
      </c>
      <c r="B162" s="8" t="inlineStr">
        <is>
          <t>digital_holding_visibility</t>
        </is>
      </c>
      <c r="C162" s="11" t="inlineStr">
        <is>
          <t>Good</t>
        </is>
      </c>
      <c r="D162" s="8" t="n">
        <v>4</v>
      </c>
      <c r="E162" s="8" t="n">
        <v>1</v>
      </c>
      <c r="F162" s="8" t="n">
        <v>2</v>
      </c>
      <c r="G162" s="8" t="inlineStr">
        <is>
          <t>0001_baseline.sql</t>
        </is>
      </c>
      <c r="H162" s="8" t="n">
        <v>1</v>
      </c>
      <c r="I162" s="8" t="inlineStr">
        <is>
          <t>worker/src/routes/ops/digital_library.ts</t>
        </is>
      </c>
      <c r="J162" s="8" t="inlineStr"/>
    </row>
    <row r="163">
      <c r="A163" s="8" t="inlineStr">
        <is>
          <t>School (one per school)</t>
        </is>
      </c>
      <c r="B163" s="8" t="inlineStr">
        <is>
          <t>digital_holdings</t>
        </is>
      </c>
      <c r="C163" s="11" t="inlineStr">
        <is>
          <t>Good</t>
        </is>
      </c>
      <c r="D163" s="8" t="n">
        <v>21</v>
      </c>
      <c r="E163" s="8" t="n">
        <v>2</v>
      </c>
      <c r="F163" s="8" t="n">
        <v>6</v>
      </c>
      <c r="G163" s="8" t="inlineStr">
        <is>
          <t>0001_baseline.sql</t>
        </is>
      </c>
      <c r="H163" s="8" t="n">
        <v>1</v>
      </c>
      <c r="I163" s="8" t="inlineStr">
        <is>
          <t>worker/src/routes/ops/digital_library.ts</t>
        </is>
      </c>
      <c r="J163" s="8" t="inlineStr"/>
    </row>
    <row r="164">
      <c r="A164" s="8" t="inlineStr">
        <is>
          <t>School (one per school)</t>
        </is>
      </c>
      <c r="B164" s="8" t="inlineStr">
        <is>
          <t>digital_library_providers</t>
        </is>
      </c>
      <c r="C164" s="11" t="inlineStr">
        <is>
          <t>Good</t>
        </is>
      </c>
      <c r="D164" s="8" t="n">
        <v>10</v>
      </c>
      <c r="E164" s="8" t="n">
        <v>1</v>
      </c>
      <c r="F164" s="8" t="n">
        <v>1</v>
      </c>
      <c r="G164" s="8" t="inlineStr">
        <is>
          <t>0001_baseline.sql</t>
        </is>
      </c>
      <c r="H164" s="8" t="n">
        <v>1</v>
      </c>
      <c r="I164" s="8" t="inlineStr">
        <is>
          <t>worker/src/routes/ops/digital_library.ts</t>
        </is>
      </c>
      <c r="J164" s="8" t="inlineStr"/>
    </row>
    <row r="165">
      <c r="A165" s="8" t="inlineStr">
        <is>
          <t>School (one per school)</t>
        </is>
      </c>
      <c r="B165" s="8" t="inlineStr">
        <is>
          <t>discipline_records</t>
        </is>
      </c>
      <c r="C165" s="11" t="inlineStr">
        <is>
          <t>Good</t>
        </is>
      </c>
      <c r="D165" s="8" t="n">
        <v>22</v>
      </c>
      <c r="E165" s="8" t="n">
        <v>5</v>
      </c>
      <c r="F165" s="8" t="n">
        <v>4</v>
      </c>
      <c r="G165" s="8" t="inlineStr">
        <is>
          <t>0001_baseline.sql</t>
        </is>
      </c>
      <c r="H165" s="8" t="n">
        <v>7</v>
      </c>
      <c r="I165" s="8" t="inlineStr">
        <is>
          <t>worker/src/routes/academics/admin.ts
worker/src/routes/portal/family.ts
worker/src/routes/portal/life.ts
worker/src/routes/students.ts
worker/src/routes/teaching/dashboards.ts
worker/src/services/ai/briefs.ts
… +1 more</t>
        </is>
      </c>
      <c r="J165" s="8" t="inlineStr"/>
    </row>
    <row r="166">
      <c r="A166" s="8" t="inlineStr">
        <is>
          <t>School (one per school)</t>
        </is>
      </c>
      <c r="B166" s="8" t="inlineStr">
        <is>
          <t>driver_notices</t>
        </is>
      </c>
      <c r="C166" s="11" t="inlineStr">
        <is>
          <t>Good</t>
        </is>
      </c>
      <c r="D166" s="8" t="n">
        <v>9</v>
      </c>
      <c r="E166" s="8" t="n">
        <v>2</v>
      </c>
      <c r="F166" s="8" t="n">
        <v>4</v>
      </c>
      <c r="G166" s="8" t="inlineStr">
        <is>
          <t>0001_baseline.sql</t>
        </is>
      </c>
      <c r="H166" s="8" t="n">
        <v>2</v>
      </c>
      <c r="I166" s="8" t="inlineStr">
        <is>
          <t>worker/src/routes/scheduling/bus_tracker.ts
worker/src/routes/scheduling/office.ts</t>
        </is>
      </c>
      <c r="J166" s="8" t="inlineStr"/>
    </row>
    <row r="167">
      <c r="A167" s="8" t="inlineStr">
        <is>
          <t>School (one per school)</t>
        </is>
      </c>
      <c r="B167" s="8" t="inlineStr">
        <is>
          <t>duty_assignments</t>
        </is>
      </c>
      <c r="C167" s="11" t="inlineStr">
        <is>
          <t>Good</t>
        </is>
      </c>
      <c r="D167" s="8" t="n">
        <v>15</v>
      </c>
      <c r="E167" s="8" t="n">
        <v>4</v>
      </c>
      <c r="F167" s="8" t="n">
        <v>6</v>
      </c>
      <c r="G167" s="8" t="inlineStr">
        <is>
          <t>0001_baseline.sql</t>
        </is>
      </c>
      <c r="H167" s="8" t="n">
        <v>2</v>
      </c>
      <c r="I167" s="8" t="inlineStr">
        <is>
          <t>worker/src/routes/board_exams.ts
worker/src/routes/growth/hr_training.ts</t>
        </is>
      </c>
      <c r="J167" s="8" t="inlineStr"/>
    </row>
    <row r="168">
      <c r="A168" s="8" t="inlineStr">
        <is>
          <t>School (one per school)</t>
        </is>
      </c>
      <c r="B168" s="8" t="inlineStr">
        <is>
          <t>duty_shifts</t>
        </is>
      </c>
      <c r="C168" s="11" t="inlineStr">
        <is>
          <t>Good</t>
        </is>
      </c>
      <c r="D168" s="8" t="n">
        <v>16</v>
      </c>
      <c r="E168" s="8" t="n">
        <v>2</v>
      </c>
      <c r="F168" s="8" t="n">
        <v>2</v>
      </c>
      <c r="G168" s="8" t="inlineStr">
        <is>
          <t>0001_baseline.sql</t>
        </is>
      </c>
      <c r="H168" s="8" t="n">
        <v>2</v>
      </c>
      <c r="I168" s="8" t="inlineStr">
        <is>
          <t>worker/src/routes/board_exams.ts
worker/src/routes/growth/hr_training.ts</t>
        </is>
      </c>
      <c r="J168" s="8" t="inlineStr"/>
    </row>
    <row r="169">
      <c r="A169" s="8" t="inlineStr">
        <is>
          <t>School (one per school)</t>
        </is>
      </c>
      <c r="B169" s="8" t="inlineStr">
        <is>
          <t>education_loan_applications</t>
        </is>
      </c>
      <c r="C169" s="11" t="inlineStr">
        <is>
          <t>Good</t>
        </is>
      </c>
      <c r="D169" s="8" t="n">
        <v>19</v>
      </c>
      <c r="E169" s="8" t="n">
        <v>3</v>
      </c>
      <c r="F169" s="8" t="n">
        <v>5</v>
      </c>
      <c r="G169" s="8" t="inlineStr">
        <is>
          <t>0001_baseline.sql</t>
        </is>
      </c>
      <c r="H169" s="8" t="n">
        <v>1</v>
      </c>
      <c r="I169" s="8" t="inlineStr">
        <is>
          <t>worker/src/routes/fees/concessions.ts</t>
        </is>
      </c>
      <c r="J169" s="8" t="inlineStr"/>
    </row>
    <row r="170">
      <c r="A170" s="8" t="inlineStr">
        <is>
          <t>School (one per school)</t>
        </is>
      </c>
      <c r="B170" s="8" t="inlineStr">
        <is>
          <t>education_loan_documents</t>
        </is>
      </c>
      <c r="C170" s="11" t="inlineStr">
        <is>
          <t>Good</t>
        </is>
      </c>
      <c r="D170" s="8" t="n">
        <v>14</v>
      </c>
      <c r="E170" s="8" t="n">
        <v>1</v>
      </c>
      <c r="F170" s="8" t="n">
        <v>5</v>
      </c>
      <c r="G170" s="8" t="inlineStr">
        <is>
          <t>0001_baseline.sql</t>
        </is>
      </c>
      <c r="H170" s="8" t="n">
        <v>1</v>
      </c>
      <c r="I170" s="8" t="inlineStr">
        <is>
          <t>worker/src/routes/fees/concessions.ts</t>
        </is>
      </c>
      <c r="J170" s="8" t="inlineStr"/>
    </row>
    <row r="171">
      <c r="A171" s="8" t="inlineStr">
        <is>
          <t>School (one per school)</t>
        </is>
      </c>
      <c r="B171" s="8" t="inlineStr">
        <is>
          <t>education_loan_events</t>
        </is>
      </c>
      <c r="C171" s="11" t="inlineStr">
        <is>
          <t>Good</t>
        </is>
      </c>
      <c r="D171" s="8" t="n">
        <v>8</v>
      </c>
      <c r="E171" s="8" t="n">
        <v>1</v>
      </c>
      <c r="F171" s="8" t="n">
        <v>3</v>
      </c>
      <c r="G171" s="8" t="inlineStr">
        <is>
          <t>0001_baseline.sql</t>
        </is>
      </c>
      <c r="H171" s="8" t="n">
        <v>1</v>
      </c>
      <c r="I171" s="8" t="inlineStr">
        <is>
          <t>worker/src/routes/fees/concessions.ts</t>
        </is>
      </c>
      <c r="J171" s="8" t="inlineStr"/>
    </row>
    <row r="172">
      <c r="A172" s="8" t="inlineStr">
        <is>
          <t>School (one per school)</t>
        </is>
      </c>
      <c r="B172" s="8" t="inlineStr">
        <is>
          <t>education_loan_lenders</t>
        </is>
      </c>
      <c r="C172" s="11" t="inlineStr">
        <is>
          <t>Good</t>
        </is>
      </c>
      <c r="D172" s="8" t="n">
        <v>13</v>
      </c>
      <c r="E172" s="8" t="n">
        <v>1</v>
      </c>
      <c r="F172" s="8" t="n">
        <v>2</v>
      </c>
      <c r="G172" s="8" t="inlineStr">
        <is>
          <t>0001_baseline.sql</t>
        </is>
      </c>
      <c r="H172" s="8" t="n">
        <v>1</v>
      </c>
      <c r="I172" s="8" t="inlineStr">
        <is>
          <t>worker/src/routes/fees/concessions.ts</t>
        </is>
      </c>
      <c r="J172" s="8" t="inlineStr"/>
    </row>
    <row r="173">
      <c r="A173" s="8" t="inlineStr">
        <is>
          <t>School (one per school)</t>
        </is>
      </c>
      <c r="B173" s="8" t="inlineStr">
        <is>
          <t>email_changes</t>
        </is>
      </c>
      <c r="C173" s="10" t="inlineStr">
        <is>
          <t>Check</t>
        </is>
      </c>
      <c r="D173" s="8" t="n">
        <v>7</v>
      </c>
      <c r="E173" s="8" t="n">
        <v>2</v>
      </c>
      <c r="F173" s="8" t="n">
        <v>1</v>
      </c>
      <c r="G173" s="8" t="inlineStr">
        <is>
          <t>0001_baseline.sql</t>
        </is>
      </c>
      <c r="H173" s="8" t="n">
        <v>0</v>
      </c>
      <c r="I173" s="8" t="inlineStr"/>
      <c r="J173" s="8" t="inlineStr">
        <is>
          <t>No backend code reads or writes this table.</t>
        </is>
      </c>
    </row>
    <row r="174">
      <c r="A174" s="8" t="inlineStr">
        <is>
          <t>School (one per school)</t>
        </is>
      </c>
      <c r="B174" s="8" t="inlineStr">
        <is>
          <t>emergency_pickup_authorisations</t>
        </is>
      </c>
      <c r="C174" s="11" t="inlineStr">
        <is>
          <t>Good</t>
        </is>
      </c>
      <c r="D174" s="8" t="n">
        <v>16</v>
      </c>
      <c r="E174" s="8" t="n">
        <v>4</v>
      </c>
      <c r="F174" s="8" t="n">
        <v>4</v>
      </c>
      <c r="G174" s="8" t="inlineStr">
        <is>
          <t>0001_baseline.sql</t>
        </is>
      </c>
      <c r="H174" s="8" t="n">
        <v>1</v>
      </c>
      <c r="I174" s="8" t="inlineStr">
        <is>
          <t>worker/src/routes/portal/requests.ts</t>
        </is>
      </c>
      <c r="J174" s="8" t="inlineStr"/>
    </row>
    <row r="175">
      <c r="A175" s="8" t="inlineStr">
        <is>
          <t>School (one per school)</t>
        </is>
      </c>
      <c r="B175" s="8" t="inlineStr">
        <is>
          <t>employee_documents</t>
        </is>
      </c>
      <c r="C175" s="11" t="inlineStr">
        <is>
          <t>Good</t>
        </is>
      </c>
      <c r="D175" s="8" t="n">
        <v>7</v>
      </c>
      <c r="E175" s="8" t="n">
        <v>2</v>
      </c>
      <c r="F175" s="8" t="n">
        <v>3</v>
      </c>
      <c r="G175" s="8" t="inlineStr">
        <is>
          <t>0001_baseline.sql</t>
        </is>
      </c>
      <c r="H175" s="8" t="n">
        <v>4</v>
      </c>
      <c r="I175" s="8" t="inlineStr">
        <is>
          <t>worker/src/routes/admin/export.ts
worker/src/routes/hr/staff.ts
worker/src/routes/misc/files.ts
worker/src/routes/setup/staff.ts</t>
        </is>
      </c>
      <c r="J175" s="8" t="inlineStr"/>
    </row>
    <row r="176">
      <c r="A176" s="8" t="inlineStr">
        <is>
          <t>School (one per school)</t>
        </is>
      </c>
      <c r="B176" s="8" t="inlineStr">
        <is>
          <t>employee_tax_elections</t>
        </is>
      </c>
      <c r="C176" s="11" t="inlineStr">
        <is>
          <t>Good</t>
        </is>
      </c>
      <c r="D176" s="8" t="n">
        <v>7</v>
      </c>
      <c r="E176" s="8" t="n">
        <v>1</v>
      </c>
      <c r="F176" s="8" t="n">
        <v>2</v>
      </c>
      <c r="G176" s="8" t="inlineStr">
        <is>
          <t>0001_baseline.sql</t>
        </is>
      </c>
      <c r="H176" s="8" t="n">
        <v>1</v>
      </c>
      <c r="I176" s="8" t="inlineStr">
        <is>
          <t>worker/src/routes/payroll.ts</t>
        </is>
      </c>
      <c r="J176" s="8" t="inlineStr"/>
    </row>
    <row r="177">
      <c r="A177" s="8" t="inlineStr">
        <is>
          <t>School (one per school)</t>
        </is>
      </c>
      <c r="B177" s="8" t="inlineStr">
        <is>
          <t>employee_year_history</t>
        </is>
      </c>
      <c r="C177" s="11" t="inlineStr">
        <is>
          <t>Good</t>
        </is>
      </c>
      <c r="D177" s="8" t="n">
        <v>12</v>
      </c>
      <c r="E177" s="8" t="n">
        <v>1</v>
      </c>
      <c r="F177" s="8" t="n">
        <v>2</v>
      </c>
      <c r="G177" s="8" t="inlineStr">
        <is>
          <t>0001_baseline.sql</t>
        </is>
      </c>
      <c r="H177" s="8" t="n">
        <v>3</v>
      </c>
      <c r="I177" s="8" t="inlineStr">
        <is>
          <t>worker/src/routes/hr/staff.ts
worker/src/routes/setup/academics.ts
worker/src/routes/setup/imports.ts</t>
        </is>
      </c>
      <c r="J177" s="8" t="inlineStr"/>
    </row>
    <row r="178">
      <c r="A178" s="8" t="inlineStr">
        <is>
          <t>School (one per school)</t>
        </is>
      </c>
      <c r="B178" s="8" t="inlineStr">
        <is>
          <t>employees</t>
        </is>
      </c>
      <c r="C178" s="11" t="inlineStr">
        <is>
          <t>Good</t>
        </is>
      </c>
      <c r="D178" s="8" t="n">
        <v>37</v>
      </c>
      <c r="E178" s="8" t="n">
        <v>10</v>
      </c>
      <c r="F178" s="8" t="n">
        <v>7</v>
      </c>
      <c r="G178" s="8" t="inlineStr">
        <is>
          <t>0001_baseline.sql</t>
        </is>
      </c>
      <c r="H178" s="8" t="n">
        <v>63</v>
      </c>
      <c r="I178" s="8" t="inlineStr">
        <is>
          <t>worker/src/routes/academics.ts
worker/src/routes/academics/admin.ts
worker/src/routes/admin/export.ts
worker/src/routes/admin/inbox.ts
worker/src/routes/admin/loose.ts
worker/src/routes/admin/metrics.ts
… +57 more</t>
        </is>
      </c>
      <c r="J178" s="8" t="inlineStr"/>
    </row>
    <row r="179">
      <c r="A179" s="8" t="inlineStr">
        <is>
          <t>School (one per school)</t>
        </is>
      </c>
      <c r="B179" s="8" t="inlineStr">
        <is>
          <t>enquiries</t>
        </is>
      </c>
      <c r="C179" s="11" t="inlineStr">
        <is>
          <t>Good</t>
        </is>
      </c>
      <c r="D179" s="8" t="n">
        <v>31</v>
      </c>
      <c r="E179" s="8" t="n">
        <v>7</v>
      </c>
      <c r="F179" s="8" t="n">
        <v>7</v>
      </c>
      <c r="G179" s="8" t="inlineStr">
        <is>
          <t>0001_baseline.sql</t>
        </is>
      </c>
      <c r="H179" s="8" t="n">
        <v>12</v>
      </c>
      <c r="I179" s="8" t="inlineStr">
        <is>
          <t>worker/src/routes/admin/connectors.ts
worker/src/routes/admin/loose.ts
worker/src/routes/admin/metrics.ts
worker/src/routes/admin/users.ts
worker/src/routes/admissions/campaigns.ts
worker/src/routes/admissions/crm.ts
… +6 more</t>
        </is>
      </c>
      <c r="J179" s="8" t="inlineStr"/>
    </row>
    <row r="180">
      <c r="A180" s="8" t="inlineStr">
        <is>
          <t>School (one per school)</t>
        </is>
      </c>
      <c r="B180" s="8" t="inlineStr">
        <is>
          <t>enquiry_activities</t>
        </is>
      </c>
      <c r="C180" s="11" t="inlineStr">
        <is>
          <t>Good</t>
        </is>
      </c>
      <c r="D180" s="8" t="n">
        <v>10</v>
      </c>
      <c r="E180" s="8" t="n">
        <v>1</v>
      </c>
      <c r="F180" s="8" t="n">
        <v>0</v>
      </c>
      <c r="G180" s="8" t="inlineStr">
        <is>
          <t>0004_enquiry_activity.sql</t>
        </is>
      </c>
      <c r="H180" s="8" t="n">
        <v>2</v>
      </c>
      <c r="I180" s="8" t="inlineStr">
        <is>
          <t>worker/src/routes/admissions/crm.ts
worker/src/routes/ai/drafting.ts</t>
        </is>
      </c>
      <c r="J180" s="8" t="inlineStr"/>
    </row>
    <row r="181">
      <c r="A181" s="8" t="inlineStr">
        <is>
          <t>School (one per school)</t>
        </is>
      </c>
      <c r="B181" s="8" t="inlineStr">
        <is>
          <t>enrollments</t>
        </is>
      </c>
      <c r="C181" s="11" t="inlineStr">
        <is>
          <t>Good</t>
        </is>
      </c>
      <c r="D181" s="8" t="n">
        <v>13</v>
      </c>
      <c r="E181" s="8" t="n">
        <v>7</v>
      </c>
      <c r="F181" s="8" t="n">
        <v>6</v>
      </c>
      <c r="G181" s="8" t="inlineStr">
        <is>
          <t>0001_baseline.sql</t>
        </is>
      </c>
      <c r="H181" s="8" t="n">
        <v>74</v>
      </c>
      <c r="I181" s="8" t="inlineStr">
        <is>
          <t>worker/src/routes/academics.ts
worker/src/routes/academics/admin.ts
worker/src/routes/admin/export.ts
worker/src/routes/admin/inbox.ts
worker/src/routes/admin/loose.ts
worker/src/routes/admin/msg_plans.ts
… +68 more</t>
        </is>
      </c>
      <c r="J181" s="8" t="inlineStr"/>
    </row>
    <row r="182">
      <c r="A182" s="8" t="inlineStr">
        <is>
          <t>School (one per school)</t>
        </is>
      </c>
      <c r="B182" s="8" t="inlineStr">
        <is>
          <t>evaluation_answers</t>
        </is>
      </c>
      <c r="C182" s="11" t="inlineStr">
        <is>
          <t>Good</t>
        </is>
      </c>
      <c r="D182" s="8" t="n">
        <v>6</v>
      </c>
      <c r="E182" s="8" t="n">
        <v>2</v>
      </c>
      <c r="F182" s="8" t="n">
        <v>3</v>
      </c>
      <c r="G182" s="8" t="inlineStr">
        <is>
          <t>0001_baseline.sql</t>
        </is>
      </c>
      <c r="H182" s="8" t="n">
        <v>1</v>
      </c>
      <c r="I182" s="8" t="inlineStr">
        <is>
          <t>worker/src/routes/admin/ops_evaluation.ts</t>
        </is>
      </c>
      <c r="J182" s="8" t="inlineStr"/>
    </row>
    <row r="183">
      <c r="A183" s="8" t="inlineStr">
        <is>
          <t>School (one per school)</t>
        </is>
      </c>
      <c r="B183" s="8" t="inlineStr">
        <is>
          <t>evaluation_cycles</t>
        </is>
      </c>
      <c r="C183" s="11" t="inlineStr">
        <is>
          <t>Good</t>
        </is>
      </c>
      <c r="D183" s="8" t="n">
        <v>16</v>
      </c>
      <c r="E183" s="8" t="n">
        <v>2</v>
      </c>
      <c r="F183" s="8" t="n">
        <v>5</v>
      </c>
      <c r="G183" s="8" t="inlineStr">
        <is>
          <t>0001_baseline.sql</t>
        </is>
      </c>
      <c r="H183" s="8" t="n">
        <v>1</v>
      </c>
      <c r="I183" s="8" t="inlineStr">
        <is>
          <t>worker/src/routes/admin/ops_evaluation.ts</t>
        </is>
      </c>
      <c r="J183" s="8" t="inlineStr"/>
    </row>
    <row r="184">
      <c r="A184" s="8" t="inlineStr">
        <is>
          <t>School (one per school)</t>
        </is>
      </c>
      <c r="B184" s="8" t="inlineStr">
        <is>
          <t>evaluation_invitations</t>
        </is>
      </c>
      <c r="C184" s="11" t="inlineStr">
        <is>
          <t>Good</t>
        </is>
      </c>
      <c r="D184" s="8" t="n">
        <v>11</v>
      </c>
      <c r="E184" s="8" t="n">
        <v>3</v>
      </c>
      <c r="F184" s="8" t="n">
        <v>4</v>
      </c>
      <c r="G184" s="8" t="inlineStr">
        <is>
          <t>0001_baseline.sql</t>
        </is>
      </c>
      <c r="H184" s="8" t="n">
        <v>1</v>
      </c>
      <c r="I184" s="8" t="inlineStr">
        <is>
          <t>worker/src/routes/admin/ops_evaluation.ts</t>
        </is>
      </c>
      <c r="J184" s="8" t="inlineStr"/>
    </row>
    <row r="185">
      <c r="A185" s="8" t="inlineStr">
        <is>
          <t>School (one per school)</t>
        </is>
      </c>
      <c r="B185" s="8" t="inlineStr">
        <is>
          <t>evaluation_questions</t>
        </is>
      </c>
      <c r="C185" s="11" t="inlineStr">
        <is>
          <t>Good</t>
        </is>
      </c>
      <c r="D185" s="8" t="n">
        <v>8</v>
      </c>
      <c r="E185" s="8" t="n">
        <v>1</v>
      </c>
      <c r="F185" s="8" t="n">
        <v>2</v>
      </c>
      <c r="G185" s="8" t="inlineStr">
        <is>
          <t>0001_baseline.sql</t>
        </is>
      </c>
      <c r="H185" s="8" t="n">
        <v>1</v>
      </c>
      <c r="I185" s="8" t="inlineStr">
        <is>
          <t>worker/src/routes/admin/ops_evaluation.ts</t>
        </is>
      </c>
      <c r="J185" s="8" t="inlineStr"/>
    </row>
    <row r="186">
      <c r="A186" s="8" t="inlineStr">
        <is>
          <t>School (one per school)</t>
        </is>
      </c>
      <c r="B186" s="8" t="inlineStr">
        <is>
          <t>evaluation_responses</t>
        </is>
      </c>
      <c r="C186" s="11" t="inlineStr">
        <is>
          <t>Good</t>
        </is>
      </c>
      <c r="D186" s="8" t="n">
        <v>6</v>
      </c>
      <c r="E186" s="8" t="n">
        <v>1</v>
      </c>
      <c r="F186" s="8" t="n">
        <v>3</v>
      </c>
      <c r="G186" s="8" t="inlineStr">
        <is>
          <t>0001_baseline.sql</t>
        </is>
      </c>
      <c r="H186" s="8" t="n">
        <v>1</v>
      </c>
      <c r="I186" s="8" t="inlineStr">
        <is>
          <t>worker/src/routes/admin/ops_evaluation.ts</t>
        </is>
      </c>
      <c r="J186" s="8" t="inlineStr"/>
    </row>
    <row r="187">
      <c r="A187" s="8" t="inlineStr">
        <is>
          <t>School (one per school)</t>
        </is>
      </c>
      <c r="B187" s="8" t="inlineStr">
        <is>
          <t>evaluation_reviewees</t>
        </is>
      </c>
      <c r="C187" s="11" t="inlineStr">
        <is>
          <t>Good</t>
        </is>
      </c>
      <c r="D187" s="8" t="n">
        <v>6</v>
      </c>
      <c r="E187" s="8" t="n">
        <v>2</v>
      </c>
      <c r="F187" s="8" t="n">
        <v>3</v>
      </c>
      <c r="G187" s="8" t="inlineStr">
        <is>
          <t>0001_baseline.sql</t>
        </is>
      </c>
      <c r="H187" s="8" t="n">
        <v>1</v>
      </c>
      <c r="I187" s="8" t="inlineStr">
        <is>
          <t>worker/src/routes/admin/ops_evaluation.ts</t>
        </is>
      </c>
      <c r="J187" s="8" t="inlineStr"/>
    </row>
    <row r="188">
      <c r="A188" s="8" t="inlineStr">
        <is>
          <t>School (one per school)</t>
        </is>
      </c>
      <c r="B188" s="8" t="inlineStr">
        <is>
          <t>event_media</t>
        </is>
      </c>
      <c r="C188" s="11" t="inlineStr">
        <is>
          <t>Good</t>
        </is>
      </c>
      <c r="D188" s="8" t="n">
        <v>10</v>
      </c>
      <c r="E188" s="8" t="n">
        <v>2</v>
      </c>
      <c r="F188" s="8" t="n">
        <v>4</v>
      </c>
      <c r="G188" s="8" t="inlineStr">
        <is>
          <t>0001_baseline.sql</t>
        </is>
      </c>
      <c r="H188" s="8" t="n">
        <v>1</v>
      </c>
      <c r="I188" s="8" t="inlineStr">
        <is>
          <t>worker/src/routes/portal/school_life.ts</t>
        </is>
      </c>
      <c r="J188" s="8" t="inlineStr"/>
    </row>
    <row r="189">
      <c r="A189" s="8" t="inlineStr">
        <is>
          <t>School (one per school)</t>
        </is>
      </c>
      <c r="B189" s="8" t="inlineStr">
        <is>
          <t>event_seat_passes</t>
        </is>
      </c>
      <c r="C189" s="11" t="inlineStr">
        <is>
          <t>Good</t>
        </is>
      </c>
      <c r="D189" s="8" t="n">
        <v>14</v>
      </c>
      <c r="E189" s="8" t="n">
        <v>3</v>
      </c>
      <c r="F189" s="8" t="n">
        <v>5</v>
      </c>
      <c r="G189" s="8" t="inlineStr">
        <is>
          <t>0001_baseline.sql</t>
        </is>
      </c>
      <c r="H189" s="8" t="n">
        <v>1</v>
      </c>
      <c r="I189" s="8" t="inlineStr">
        <is>
          <t>worker/src/routes/portal/school_life.ts</t>
        </is>
      </c>
      <c r="J189" s="8" t="inlineStr"/>
    </row>
    <row r="190">
      <c r="A190" s="8" t="inlineStr">
        <is>
          <t>School (one per school)</t>
        </is>
      </c>
      <c r="B190" s="8" t="inlineStr">
        <is>
          <t>exam_halls</t>
        </is>
      </c>
      <c r="C190" s="11" t="inlineStr">
        <is>
          <t>Good</t>
        </is>
      </c>
      <c r="D190" s="8" t="n">
        <v>8</v>
      </c>
      <c r="E190" s="8" t="n">
        <v>0</v>
      </c>
      <c r="F190" s="8" t="n">
        <v>2</v>
      </c>
      <c r="G190" s="8" t="inlineStr">
        <is>
          <t>0001_baseline.sql</t>
        </is>
      </c>
      <c r="H190" s="8" t="n">
        <v>1</v>
      </c>
      <c r="I190" s="8" t="inlineStr">
        <is>
          <t>worker/src/routes/exams.ts</t>
        </is>
      </c>
      <c r="J190" s="8" t="inlineStr"/>
    </row>
    <row r="191">
      <c r="A191" s="8" t="inlineStr">
        <is>
          <t>School (one per school)</t>
        </is>
      </c>
      <c r="B191" s="8" t="inlineStr">
        <is>
          <t>exam_seats</t>
        </is>
      </c>
      <c r="C191" s="11" t="inlineStr">
        <is>
          <t>Good</t>
        </is>
      </c>
      <c r="D191" s="8" t="n">
        <v>9</v>
      </c>
      <c r="E191" s="8" t="n">
        <v>4</v>
      </c>
      <c r="F191" s="8" t="n">
        <v>4</v>
      </c>
      <c r="G191" s="8" t="inlineStr">
        <is>
          <t>0001_baseline.sql</t>
        </is>
      </c>
      <c r="H191" s="8" t="n">
        <v>1</v>
      </c>
      <c r="I191" s="8" t="inlineStr">
        <is>
          <t>worker/src/routes/exams.ts</t>
        </is>
      </c>
      <c r="J191" s="8" t="inlineStr"/>
    </row>
    <row r="192">
      <c r="A192" s="8" t="inlineStr">
        <is>
          <t>School (one per school)</t>
        </is>
      </c>
      <c r="B192" s="8" t="inlineStr">
        <is>
          <t>exam_subjects</t>
        </is>
      </c>
      <c r="C192" s="11" t="inlineStr">
        <is>
          <t>Good</t>
        </is>
      </c>
      <c r="D192" s="8" t="n">
        <v>9</v>
      </c>
      <c r="E192" s="8" t="n">
        <v>3</v>
      </c>
      <c r="F192" s="8" t="n">
        <v>3</v>
      </c>
      <c r="G192" s="8" t="inlineStr">
        <is>
          <t>0001_baseline.sql</t>
        </is>
      </c>
      <c r="H192" s="8" t="n">
        <v>22</v>
      </c>
      <c r="I192" s="8" t="inlineStr">
        <is>
          <t>worker/src/routes/academics/admin.ts
worker/src/routes/admin/export.ts
worker/src/routes/admin/loose.ts
worker/src/routes/admin/platform_signals.ts
worker/src/routes/board_exams.ts
worker/src/routes/daily.ts
… +16 more</t>
        </is>
      </c>
      <c r="J192" s="8" t="inlineStr"/>
    </row>
    <row r="193">
      <c r="A193" s="8" t="inlineStr">
        <is>
          <t>School (one per school)</t>
        </is>
      </c>
      <c r="B193" s="8" t="inlineStr">
        <is>
          <t>exams</t>
        </is>
      </c>
      <c r="C193" s="11" t="inlineStr">
        <is>
          <t>Good</t>
        </is>
      </c>
      <c r="D193" s="8" t="n">
        <v>18</v>
      </c>
      <c r="E193" s="8" t="n">
        <v>1</v>
      </c>
      <c r="F193" s="8" t="n">
        <v>6</v>
      </c>
      <c r="G193" s="8" t="inlineStr">
        <is>
          <t>0001_baseline.sql</t>
        </is>
      </c>
      <c r="H193" s="8" t="n">
        <v>23</v>
      </c>
      <c r="I193" s="8" t="inlineStr">
        <is>
          <t>worker/src/routes/academics/admin.ts
worker/src/routes/admin/export.ts
worker/src/routes/admin/platform_signals.ts
worker/src/routes/board_exams.ts
worker/src/routes/daily.ts
worker/src/routes/exams.ts
… +17 more</t>
        </is>
      </c>
      <c r="J193" s="8" t="inlineStr"/>
    </row>
    <row r="194">
      <c r="A194" s="8" t="inlineStr">
        <is>
          <t>School (one per school)</t>
        </is>
      </c>
      <c r="B194" s="8" t="inlineStr">
        <is>
          <t>exit_clearances</t>
        </is>
      </c>
      <c r="C194" s="11" t="inlineStr">
        <is>
          <t>Good</t>
        </is>
      </c>
      <c r="D194" s="8" t="n">
        <v>10</v>
      </c>
      <c r="E194" s="8" t="n">
        <v>2</v>
      </c>
      <c r="F194" s="8" t="n">
        <v>4</v>
      </c>
      <c r="G194" s="8" t="inlineStr">
        <is>
          <t>0001_baseline.sql</t>
        </is>
      </c>
      <c r="H194" s="8" t="n">
        <v>1</v>
      </c>
      <c r="I194" s="8" t="inlineStr">
        <is>
          <t>worker/src/routes/hr/lifecycle.ts</t>
        </is>
      </c>
      <c r="J194" s="8" t="inlineStr"/>
    </row>
    <row r="195">
      <c r="A195" s="8" t="inlineStr">
        <is>
          <t>School (one per school)</t>
        </is>
      </c>
      <c r="B195" s="8" t="inlineStr">
        <is>
          <t>fee_concessions</t>
        </is>
      </c>
      <c r="C195" s="11" t="inlineStr">
        <is>
          <t>Good</t>
        </is>
      </c>
      <c r="D195" s="8" t="n">
        <v>18</v>
      </c>
      <c r="E195" s="8" t="n">
        <v>5</v>
      </c>
      <c r="F195" s="8" t="n">
        <v>7</v>
      </c>
      <c r="G195" s="8" t="inlineStr">
        <is>
          <t>0001_baseline.sql</t>
        </is>
      </c>
      <c r="H195" s="8" t="n">
        <v>14</v>
      </c>
      <c r="I195" s="8" t="inlineStr">
        <is>
          <t>worker/src/routes/admin/loose.ts
worker/src/routes/admissions/workflow.ts
worker/src/routes/daily.ts
worker/src/routes/exams.ts
worker/src/routes/fees/concessions.ts
worker/src/routes/fees/counter.ts
… +8 more</t>
        </is>
      </c>
      <c r="J195" s="8" t="inlineStr"/>
    </row>
    <row r="196">
      <c r="A196" s="8" t="inlineStr">
        <is>
          <t>School (one per school)</t>
        </is>
      </c>
      <c r="B196" s="8" t="inlineStr">
        <is>
          <t>fee_fine_charges</t>
        </is>
      </c>
      <c r="C196" s="11" t="inlineStr">
        <is>
          <t>Good</t>
        </is>
      </c>
      <c r="D196" s="8" t="n">
        <v>18</v>
      </c>
      <c r="E196" s="8" t="n">
        <v>2</v>
      </c>
      <c r="F196" s="8" t="n">
        <v>6</v>
      </c>
      <c r="G196" s="8" t="inlineStr">
        <is>
          <t>0001_baseline.sql</t>
        </is>
      </c>
      <c r="H196" s="8" t="n">
        <v>1</v>
      </c>
      <c r="I196" s="8" t="inlineStr">
        <is>
          <t>worker/src/routes/fees/fee_engine.ts</t>
        </is>
      </c>
      <c r="J196" s="8" t="inlineStr"/>
    </row>
    <row r="197">
      <c r="A197" s="8" t="inlineStr">
        <is>
          <t>School (one per school)</t>
        </is>
      </c>
      <c r="B197" s="8" t="inlineStr">
        <is>
          <t>fee_fine_rules</t>
        </is>
      </c>
      <c r="C197" s="11" t="inlineStr">
        <is>
          <t>Good</t>
        </is>
      </c>
      <c r="D197" s="8" t="n">
        <v>18</v>
      </c>
      <c r="E197" s="8" t="n">
        <v>2</v>
      </c>
      <c r="F197" s="8" t="n">
        <v>4</v>
      </c>
      <c r="G197" s="8" t="inlineStr">
        <is>
          <t>0001_baseline.sql</t>
        </is>
      </c>
      <c r="H197" s="8" t="n">
        <v>1</v>
      </c>
      <c r="I197" s="8" t="inlineStr">
        <is>
          <t>worker/src/routes/fees/fee_engine.ts</t>
        </is>
      </c>
      <c r="J197" s="8" t="inlineStr"/>
    </row>
    <row r="198">
      <c r="A198" s="8" t="inlineStr">
        <is>
          <t>School (one per school)</t>
        </is>
      </c>
      <c r="B198" s="8" t="inlineStr">
        <is>
          <t>fee_heads</t>
        </is>
      </c>
      <c r="C198" s="11" t="inlineStr">
        <is>
          <t>Good</t>
        </is>
      </c>
      <c r="D198" s="8" t="n">
        <v>14</v>
      </c>
      <c r="E198" s="8" t="n">
        <v>0</v>
      </c>
      <c r="F198" s="8" t="n">
        <v>2</v>
      </c>
      <c r="G198" s="8" t="inlineStr">
        <is>
          <t>0001_baseline.sql</t>
        </is>
      </c>
      <c r="H198" s="8" t="n">
        <v>16</v>
      </c>
      <c r="I198" s="8" t="inlineStr">
        <is>
          <t>worker/src/routes/admin/export.ts
worker/src/routes/admin/ops_fee_filings.ts
worker/src/routes/admissions/workflow.ts
worker/src/routes/fees/collections.ts
worker/src/routes/fees/counter.ts
worker/src/routes/fees/fee_engine.ts
… +10 more</t>
        </is>
      </c>
      <c r="J198" s="8" t="inlineStr"/>
    </row>
    <row r="199">
      <c r="A199" s="8" t="inlineStr">
        <is>
          <t>School (one per school)</t>
        </is>
      </c>
      <c r="B199" s="8" t="inlineStr">
        <is>
          <t>fee_regulatory_filing_documents</t>
        </is>
      </c>
      <c r="C199" s="11" t="inlineStr">
        <is>
          <t>Good</t>
        </is>
      </c>
      <c r="D199" s="8" t="n">
        <v>9</v>
      </c>
      <c r="E199" s="8" t="n">
        <v>2</v>
      </c>
      <c r="F199" s="8" t="n">
        <v>4</v>
      </c>
      <c r="G199" s="8" t="inlineStr">
        <is>
          <t>0001_baseline.sql</t>
        </is>
      </c>
      <c r="H199" s="8" t="n">
        <v>1</v>
      </c>
      <c r="I199" s="8" t="inlineStr">
        <is>
          <t>worker/src/routes/admin/ops_fee_filings.ts</t>
        </is>
      </c>
      <c r="J199" s="8" t="inlineStr"/>
    </row>
    <row r="200">
      <c r="A200" s="8" t="inlineStr">
        <is>
          <t>School (one per school)</t>
        </is>
      </c>
      <c r="B200" s="8" t="inlineStr">
        <is>
          <t>fee_regulatory_filing_lines</t>
        </is>
      </c>
      <c r="C200" s="11" t="inlineStr">
        <is>
          <t>Good</t>
        </is>
      </c>
      <c r="D200" s="8" t="n">
        <v>9</v>
      </c>
      <c r="E200" s="8" t="n">
        <v>2</v>
      </c>
      <c r="F200" s="8" t="n">
        <v>4</v>
      </c>
      <c r="G200" s="8" t="inlineStr">
        <is>
          <t>0001_baseline.sql</t>
        </is>
      </c>
      <c r="H200" s="8" t="n">
        <v>2</v>
      </c>
      <c r="I200" s="8" t="inlineStr">
        <is>
          <t>worker/src/routes/admin/ops_fee_filings.ts
worker/src/routes/fees/invoicing.ts</t>
        </is>
      </c>
      <c r="J200" s="8" t="inlineStr"/>
    </row>
    <row r="201">
      <c r="A201" s="8" t="inlineStr">
        <is>
          <t>School (one per school)</t>
        </is>
      </c>
      <c r="B201" s="8" t="inlineStr">
        <is>
          <t>fee_regulatory_filings</t>
        </is>
      </c>
      <c r="C201" s="11" t="inlineStr">
        <is>
          <t>Good</t>
        </is>
      </c>
      <c r="D201" s="8" t="n">
        <v>20</v>
      </c>
      <c r="E201" s="8" t="n">
        <v>2</v>
      </c>
      <c r="F201" s="8" t="n">
        <v>6</v>
      </c>
      <c r="G201" s="8" t="inlineStr">
        <is>
          <t>0001_baseline.sql</t>
        </is>
      </c>
      <c r="H201" s="8" t="n">
        <v>2</v>
      </c>
      <c r="I201" s="8" t="inlineStr">
        <is>
          <t>worker/src/routes/admin/ops_fee_filings.ts
worker/src/routes/fees/invoicing.ts</t>
        </is>
      </c>
      <c r="J201" s="8" t="inlineStr"/>
    </row>
    <row r="202">
      <c r="A202" s="8" t="inlineStr">
        <is>
          <t>School (one per school)</t>
        </is>
      </c>
      <c r="B202" s="8" t="inlineStr">
        <is>
          <t>fee_structure_items</t>
        </is>
      </c>
      <c r="C202" s="11" t="inlineStr">
        <is>
          <t>Good</t>
        </is>
      </c>
      <c r="D202" s="8" t="n">
        <v>7</v>
      </c>
      <c r="E202" s="8" t="n">
        <v>1</v>
      </c>
      <c r="F202" s="8" t="n">
        <v>3</v>
      </c>
      <c r="G202" s="8" t="inlineStr">
        <is>
          <t>0001_baseline.sql</t>
        </is>
      </c>
      <c r="H202" s="8" t="n">
        <v>8</v>
      </c>
      <c r="I202" s="8" t="inlineStr">
        <is>
          <t>worker/src/routes/admin/security.ts
worker/src/routes/admissions/workflow.ts
worker/src/routes/daily.ts
worker/src/routes/fees/fee_engine.ts
worker/src/routes/fees/invoicing.ts
worker/src/routes/setup/academics.ts
… +2 more</t>
        </is>
      </c>
      <c r="J202" s="8" t="inlineStr"/>
    </row>
    <row r="203">
      <c r="A203" s="8" t="inlineStr">
        <is>
          <t>School (one per school)</t>
        </is>
      </c>
      <c r="B203" s="8" t="inlineStr">
        <is>
          <t>fee_structure_version_items</t>
        </is>
      </c>
      <c r="C203" s="11" t="inlineStr">
        <is>
          <t>Good</t>
        </is>
      </c>
      <c r="D203" s="8" t="n">
        <v>7</v>
      </c>
      <c r="E203" s="8" t="n">
        <v>2</v>
      </c>
      <c r="F203" s="8" t="n">
        <v>3</v>
      </c>
      <c r="G203" s="8" t="inlineStr">
        <is>
          <t>0001_baseline.sql</t>
        </is>
      </c>
      <c r="H203" s="8" t="n">
        <v>4</v>
      </c>
      <c r="I203" s="8" t="inlineStr">
        <is>
          <t>worker/src/routes/admin/ops_fee_filings.ts
worker/src/routes/admin/security.ts
worker/src/routes/fees/fee_engine.ts
worker/src/routes/fees/invoicing.ts</t>
        </is>
      </c>
      <c r="J203" s="8" t="inlineStr"/>
    </row>
    <row r="204">
      <c r="A204" s="8" t="inlineStr">
        <is>
          <t>School (one per school)</t>
        </is>
      </c>
      <c r="B204" s="8" t="inlineStr">
        <is>
          <t>fee_structure_versions</t>
        </is>
      </c>
      <c r="C204" s="11" t="inlineStr">
        <is>
          <t>Good</t>
        </is>
      </c>
      <c r="D204" s="8" t="n">
        <v>15</v>
      </c>
      <c r="E204" s="8" t="n">
        <v>3</v>
      </c>
      <c r="F204" s="8" t="n">
        <v>6</v>
      </c>
      <c r="G204" s="8" t="inlineStr">
        <is>
          <t>0001_baseline.sql</t>
        </is>
      </c>
      <c r="H204" s="8" t="n">
        <v>5</v>
      </c>
      <c r="I204" s="8" t="inlineStr">
        <is>
          <t>worker/src/routes/admin/ops_fee_filings.ts
worker/src/routes/admin/security.ts
worker/src/routes/fees/fee_engine.ts
worker/src/routes/fees/invoicing.ts
worker/src/routes/setup/academics.ts</t>
        </is>
      </c>
      <c r="J204" s="8" t="inlineStr"/>
    </row>
    <row r="205">
      <c r="A205" s="8" t="inlineStr">
        <is>
          <t>School (one per school)</t>
        </is>
      </c>
      <c r="B205" s="8" t="inlineStr">
        <is>
          <t>fee_structures</t>
        </is>
      </c>
      <c r="C205" s="11" t="inlineStr">
        <is>
          <t>Good</t>
        </is>
      </c>
      <c r="D205" s="8" t="n">
        <v>9</v>
      </c>
      <c r="E205" s="8" t="n">
        <v>2</v>
      </c>
      <c r="F205" s="8" t="n">
        <v>4</v>
      </c>
      <c r="G205" s="8" t="inlineStr">
        <is>
          <t>0001_baseline.sql</t>
        </is>
      </c>
      <c r="H205" s="8" t="n">
        <v>9</v>
      </c>
      <c r="I205" s="8" t="inlineStr">
        <is>
          <t>worker/src/routes/admin/ops_fee_filings.ts
worker/src/routes/admin/security.ts
worker/src/routes/admissions/workflow.ts
worker/src/routes/daily.ts
worker/src/routes/fees/fee_engine.ts
worker/src/routes/fees/invoicing.ts
… +3 more</t>
        </is>
      </c>
      <c r="J205" s="8" t="inlineStr"/>
    </row>
    <row r="206">
      <c r="A206" s="8" t="inlineStr">
        <is>
          <t>School (one per school)</t>
        </is>
      </c>
      <c r="B206" s="8" t="inlineStr">
        <is>
          <t>files</t>
        </is>
      </c>
      <c r="C206" s="11" t="inlineStr">
        <is>
          <t>Good</t>
        </is>
      </c>
      <c r="D206" s="8" t="n">
        <v>14</v>
      </c>
      <c r="E206" s="8" t="n">
        <v>1</v>
      </c>
      <c r="F206" s="8" t="n">
        <v>3</v>
      </c>
      <c r="G206" s="8" t="inlineStr">
        <is>
          <t>0001_baseline.sql</t>
        </is>
      </c>
      <c r="H206" s="8" t="n">
        <v>25</v>
      </c>
      <c r="I206" s="8" t="inlineStr">
        <is>
          <t>worker/src/routes/admin/ops_fee_filings.ts
worker/src/routes/admissions/workflow.ts
worker/src/routes/comms/concern_shared.ts
worker/src/routes/comms/grievances.ts
worker/src/routes/comms/showcase.ts
worker/src/routes/daily.ts
… +19 more</t>
        </is>
      </c>
      <c r="J206" s="8" t="inlineStr"/>
    </row>
    <row r="207">
      <c r="A207" s="8" t="inlineStr">
        <is>
          <t>School (one per school)</t>
        </is>
      </c>
      <c r="B207" s="8" t="inlineStr">
        <is>
          <t>fixed_assets</t>
        </is>
      </c>
      <c r="C207" s="11" t="inlineStr">
        <is>
          <t>Good</t>
        </is>
      </c>
      <c r="D207" s="8" t="n">
        <v>21</v>
      </c>
      <c r="E207" s="8" t="n">
        <v>2</v>
      </c>
      <c r="F207" s="8" t="n">
        <v>3</v>
      </c>
      <c r="G207" s="8" t="inlineStr">
        <is>
          <t>0001_baseline.sql</t>
        </is>
      </c>
      <c r="H207" s="8" t="n">
        <v>1</v>
      </c>
      <c r="I207" s="8" t="inlineStr">
        <is>
          <t>worker/src/routes/fees/ledgers.ts</t>
        </is>
      </c>
      <c r="J207" s="8" t="inlineStr"/>
    </row>
    <row r="208">
      <c r="A208" s="8" t="inlineStr">
        <is>
          <t>School (one per school)</t>
        </is>
      </c>
      <c r="B208" s="8" t="inlineStr">
        <is>
          <t>franchise_members</t>
        </is>
      </c>
      <c r="C208" s="11" t="inlineStr">
        <is>
          <t>Good</t>
        </is>
      </c>
      <c r="D208" s="8" t="n">
        <v>10</v>
      </c>
      <c r="E208" s="8" t="n">
        <v>1</v>
      </c>
      <c r="F208" s="8" t="n">
        <v>2</v>
      </c>
      <c r="G208" s="8" t="inlineStr">
        <is>
          <t>0001_baseline.sql</t>
        </is>
      </c>
      <c r="H208" s="8" t="n">
        <v>1</v>
      </c>
      <c r="I208" s="8" t="inlineStr">
        <is>
          <t>worker/src/routes/admin/platform_config.ts</t>
        </is>
      </c>
      <c r="J208" s="8" t="inlineStr"/>
    </row>
    <row r="209">
      <c r="A209" s="8" t="inlineStr">
        <is>
          <t>School (one per school)</t>
        </is>
      </c>
      <c r="B209" s="8" t="inlineStr">
        <is>
          <t>franchises</t>
        </is>
      </c>
      <c r="C209" s="11" t="inlineStr">
        <is>
          <t>Good</t>
        </is>
      </c>
      <c r="D209" s="8" t="n">
        <v>11</v>
      </c>
      <c r="E209" s="8" t="n">
        <v>0</v>
      </c>
      <c r="F209" s="8" t="n">
        <v>0</v>
      </c>
      <c r="G209" s="8" t="inlineStr">
        <is>
          <t>0001_baseline.sql</t>
        </is>
      </c>
      <c r="H209" s="8" t="n">
        <v>1</v>
      </c>
      <c r="I209" s="8" t="inlineStr">
        <is>
          <t>worker/src/routes/admin/platform_config.ts</t>
        </is>
      </c>
      <c r="J209" s="8" t="inlineStr"/>
    </row>
    <row r="210">
      <c r="A210" s="8" t="inlineStr">
        <is>
          <t>School (one per school)</t>
        </is>
      </c>
      <c r="B210" s="8" t="inlineStr">
        <is>
          <t>goods_receipt_lines</t>
        </is>
      </c>
      <c r="C210" s="11" t="inlineStr">
        <is>
          <t>Good</t>
        </is>
      </c>
      <c r="D210" s="8" t="n">
        <v>9</v>
      </c>
      <c r="E210" s="8" t="n">
        <v>2</v>
      </c>
      <c r="F210" s="8" t="n">
        <v>4</v>
      </c>
      <c r="G210" s="8" t="inlineStr">
        <is>
          <t>0001_baseline.sql</t>
        </is>
      </c>
      <c r="H210" s="8" t="n">
        <v>1</v>
      </c>
      <c r="I210" s="8" t="inlineStr">
        <is>
          <t>worker/src/routes/admin/ops_purchasing.ts</t>
        </is>
      </c>
      <c r="J210" s="8" t="inlineStr"/>
    </row>
    <row r="211">
      <c r="A211" s="8" t="inlineStr">
        <is>
          <t>School (one per school)</t>
        </is>
      </c>
      <c r="B211" s="8" t="inlineStr">
        <is>
          <t>goods_receipts</t>
        </is>
      </c>
      <c r="C211" s="11" t="inlineStr">
        <is>
          <t>Good</t>
        </is>
      </c>
      <c r="D211" s="8" t="n">
        <v>9</v>
      </c>
      <c r="E211" s="8" t="n">
        <v>2</v>
      </c>
      <c r="F211" s="8" t="n">
        <v>3</v>
      </c>
      <c r="G211" s="8" t="inlineStr">
        <is>
          <t>0001_baseline.sql</t>
        </is>
      </c>
      <c r="H211" s="8" t="n">
        <v>1</v>
      </c>
      <c r="I211" s="8" t="inlineStr">
        <is>
          <t>worker/src/routes/admin/ops_purchasing.ts</t>
        </is>
      </c>
      <c r="J211" s="8" t="inlineStr"/>
    </row>
    <row r="212">
      <c r="A212" s="8" t="inlineStr">
        <is>
          <t>School (one per school)</t>
        </is>
      </c>
      <c r="B212" s="8" t="inlineStr">
        <is>
          <t>government_aid_schemes</t>
        </is>
      </c>
      <c r="C212" s="11" t="inlineStr">
        <is>
          <t>Good</t>
        </is>
      </c>
      <c r="D212" s="8" t="n">
        <v>14</v>
      </c>
      <c r="E212" s="8" t="n">
        <v>2</v>
      </c>
      <c r="F212" s="8" t="n">
        <v>2</v>
      </c>
      <c r="G212" s="8" t="inlineStr">
        <is>
          <t>0001_baseline.sql</t>
        </is>
      </c>
      <c r="H212" s="8" t="n">
        <v>1</v>
      </c>
      <c r="I212" s="8" t="inlineStr">
        <is>
          <t>worker/src/routes/fees/concessions.ts</t>
        </is>
      </c>
      <c r="J212" s="8" t="inlineStr"/>
    </row>
    <row r="213">
      <c r="A213" s="8" t="inlineStr">
        <is>
          <t>School (one per school)</t>
        </is>
      </c>
      <c r="B213" s="8" t="inlineStr">
        <is>
          <t>grade_bands</t>
        </is>
      </c>
      <c r="C213" s="11" t="inlineStr">
        <is>
          <t>Good</t>
        </is>
      </c>
      <c r="D213" s="8" t="n">
        <v>8</v>
      </c>
      <c r="E213" s="8" t="n">
        <v>2</v>
      </c>
      <c r="F213" s="8" t="n">
        <v>2</v>
      </c>
      <c r="G213" s="8" t="inlineStr">
        <is>
          <t>0001_baseline.sql</t>
        </is>
      </c>
      <c r="H213" s="8" t="n">
        <v>5</v>
      </c>
      <c r="I213" s="8" t="inlineStr">
        <is>
          <t>worker/src/routes/exams.ts
worker/src/routes/portal/family.ts
worker/src/routes/setup/academics.ts
worker/src/routes/setup/profile.ts
worker/src/routes/teaching/assessment.ts</t>
        </is>
      </c>
      <c r="J213" s="8" t="inlineStr"/>
    </row>
    <row r="214">
      <c r="A214" s="8" t="inlineStr">
        <is>
          <t>School (one per school)</t>
        </is>
      </c>
      <c r="B214" s="8" t="inlineStr">
        <is>
          <t>grading_scales</t>
        </is>
      </c>
      <c r="C214" s="11" t="inlineStr">
        <is>
          <t>Good</t>
        </is>
      </c>
      <c r="D214" s="8" t="n">
        <v>4</v>
      </c>
      <c r="E214" s="8" t="n">
        <v>0</v>
      </c>
      <c r="F214" s="8" t="n">
        <v>1</v>
      </c>
      <c r="G214" s="8" t="inlineStr">
        <is>
          <t>0001_baseline.sql</t>
        </is>
      </c>
      <c r="H214" s="8" t="n">
        <v>3</v>
      </c>
      <c r="I214" s="8" t="inlineStr">
        <is>
          <t>worker/src/routes/admin/platform_config.ts
worker/src/routes/setup/academics.ts
worker/src/routes/setup/profile.ts</t>
        </is>
      </c>
      <c r="J214" s="8" t="inlineStr"/>
    </row>
    <row r="215">
      <c r="A215" s="8" t="inlineStr">
        <is>
          <t>School (one per school)</t>
        </is>
      </c>
      <c r="B215" s="8" t="inlineStr">
        <is>
          <t>grant_expenditures</t>
        </is>
      </c>
      <c r="C215" s="11" t="inlineStr">
        <is>
          <t>Good</t>
        </is>
      </c>
      <c r="D215" s="8" t="n">
        <v>12</v>
      </c>
      <c r="E215" s="8" t="n">
        <v>2</v>
      </c>
      <c r="F215" s="8" t="n">
        <v>4</v>
      </c>
      <c r="G215" s="8" t="inlineStr">
        <is>
          <t>0001_baseline.sql</t>
        </is>
      </c>
      <c r="H215" s="8" t="n">
        <v>1</v>
      </c>
      <c r="I215" s="8" t="inlineStr">
        <is>
          <t>worker/src/routes/fees/collections.ts</t>
        </is>
      </c>
      <c r="J215" s="8" t="inlineStr"/>
    </row>
    <row r="216">
      <c r="A216" s="8" t="inlineStr">
        <is>
          <t>School (one per school)</t>
        </is>
      </c>
      <c r="B216" s="8" t="inlineStr">
        <is>
          <t>grant_in_aid_heads</t>
        </is>
      </c>
      <c r="C216" s="11" t="inlineStr">
        <is>
          <t>Good</t>
        </is>
      </c>
      <c r="D216" s="8" t="n">
        <v>11</v>
      </c>
      <c r="E216" s="8" t="n">
        <v>1</v>
      </c>
      <c r="F216" s="8" t="n">
        <v>2</v>
      </c>
      <c r="G216" s="8" t="inlineStr">
        <is>
          <t>0001_baseline.sql</t>
        </is>
      </c>
      <c r="H216" s="8" t="n">
        <v>1</v>
      </c>
      <c r="I216" s="8" t="inlineStr">
        <is>
          <t>worker/src/routes/fees/collections.ts</t>
        </is>
      </c>
      <c r="J216" s="8" t="inlineStr"/>
    </row>
    <row r="217">
      <c r="A217" s="8" t="inlineStr">
        <is>
          <t>School (one per school)</t>
        </is>
      </c>
      <c r="B217" s="8" t="inlineStr">
        <is>
          <t>grant_receipts</t>
        </is>
      </c>
      <c r="C217" s="11" t="inlineStr">
        <is>
          <t>Good</t>
        </is>
      </c>
      <c r="D217" s="8" t="n">
        <v>12</v>
      </c>
      <c r="E217" s="8" t="n">
        <v>1</v>
      </c>
      <c r="F217" s="8" t="n">
        <v>5</v>
      </c>
      <c r="G217" s="8" t="inlineStr">
        <is>
          <t>0001_baseline.sql</t>
        </is>
      </c>
      <c r="H217" s="8" t="n">
        <v>1</v>
      </c>
      <c r="I217" s="8" t="inlineStr">
        <is>
          <t>worker/src/routes/fees/collections.ts</t>
        </is>
      </c>
      <c r="J217" s="8" t="inlineStr"/>
    </row>
    <row r="218">
      <c r="A218" s="8" t="inlineStr">
        <is>
          <t>School (one per school)</t>
        </is>
      </c>
      <c r="B218" s="8" t="inlineStr">
        <is>
          <t>grant_sanctions</t>
        </is>
      </c>
      <c r="C218" s="11" t="inlineStr">
        <is>
          <t>Good</t>
        </is>
      </c>
      <c r="D218" s="8" t="n">
        <v>16</v>
      </c>
      <c r="E218" s="8" t="n">
        <v>2</v>
      </c>
      <c r="F218" s="8" t="n">
        <v>3</v>
      </c>
      <c r="G218" s="8" t="inlineStr">
        <is>
          <t>0001_baseline.sql</t>
        </is>
      </c>
      <c r="H218" s="8" t="n">
        <v>1</v>
      </c>
      <c r="I218" s="8" t="inlineStr">
        <is>
          <t>worker/src/routes/fees/collections.ts</t>
        </is>
      </c>
      <c r="J218" s="8" t="inlineStr"/>
    </row>
    <row r="219">
      <c r="A219" s="8" t="inlineStr">
        <is>
          <t>School (one per school)</t>
        </is>
      </c>
      <c r="B219" s="8" t="inlineStr">
        <is>
          <t>grant_utilisation_certificate_lines</t>
        </is>
      </c>
      <c r="C219" s="11" t="inlineStr">
        <is>
          <t>Good</t>
        </is>
      </c>
      <c r="D219" s="8" t="n">
        <v>11</v>
      </c>
      <c r="E219" s="8" t="n">
        <v>1</v>
      </c>
      <c r="F219" s="8" t="n">
        <v>3</v>
      </c>
      <c r="G219" s="8" t="inlineStr">
        <is>
          <t>0001_baseline.sql</t>
        </is>
      </c>
      <c r="H219" s="8" t="n">
        <v>1</v>
      </c>
      <c r="I219" s="8" t="inlineStr">
        <is>
          <t>worker/src/routes/fees/collections.ts</t>
        </is>
      </c>
      <c r="J219" s="8" t="inlineStr"/>
    </row>
    <row r="220">
      <c r="A220" s="8" t="inlineStr">
        <is>
          <t>School (one per school)</t>
        </is>
      </c>
      <c r="B220" s="8" t="inlineStr">
        <is>
          <t>grant_utilisation_certificates</t>
        </is>
      </c>
      <c r="C220" s="11" t="inlineStr">
        <is>
          <t>Good</t>
        </is>
      </c>
      <c r="D220" s="8" t="n">
        <v>23</v>
      </c>
      <c r="E220" s="8" t="n">
        <v>2</v>
      </c>
      <c r="F220" s="8" t="n">
        <v>2</v>
      </c>
      <c r="G220" s="8" t="inlineStr">
        <is>
          <t>0001_baseline.sql</t>
        </is>
      </c>
      <c r="H220" s="8" t="n">
        <v>1</v>
      </c>
      <c r="I220" s="8" t="inlineStr">
        <is>
          <t>worker/src/routes/fees/collections.ts</t>
        </is>
      </c>
      <c r="J220" s="8" t="inlineStr"/>
    </row>
    <row r="221">
      <c r="A221" s="8" t="inlineStr">
        <is>
          <t>School (one per school)</t>
        </is>
      </c>
      <c r="B221" s="8" t="inlineStr">
        <is>
          <t>grievance_sla_policies</t>
        </is>
      </c>
      <c r="C221" s="11" t="inlineStr">
        <is>
          <t>Good</t>
        </is>
      </c>
      <c r="D221" s="8" t="n">
        <v>11</v>
      </c>
      <c r="E221" s="8" t="n">
        <v>1</v>
      </c>
      <c r="F221" s="8" t="n">
        <v>2</v>
      </c>
      <c r="G221" s="8" t="inlineStr">
        <is>
          <t>0001_baseline.sql</t>
        </is>
      </c>
      <c r="H221" s="8" t="n">
        <v>4</v>
      </c>
      <c r="I221" s="8" t="inlineStr">
        <is>
          <t>worker/src/routes/comms/concern_shared.ts
worker/src/routes/comms/grievances.ts
worker/src/routes/hr/concerns.ts
worker/src/routes/portal/extra.ts</t>
        </is>
      </c>
      <c r="J221" s="8" t="inlineStr"/>
    </row>
    <row r="222">
      <c r="A222" s="8" t="inlineStr">
        <is>
          <t>School (one per school)</t>
        </is>
      </c>
      <c r="B222" s="8" t="inlineStr">
        <is>
          <t>grievance_updates</t>
        </is>
      </c>
      <c r="C222" s="11" t="inlineStr">
        <is>
          <t>Good</t>
        </is>
      </c>
      <c r="D222" s="8" t="n">
        <v>9</v>
      </c>
      <c r="E222" s="8" t="n">
        <v>2</v>
      </c>
      <c r="F222" s="8" t="n">
        <v>3</v>
      </c>
      <c r="G222" s="8" t="inlineStr">
        <is>
          <t>0001_baseline.sql</t>
        </is>
      </c>
      <c r="H222" s="8" t="n">
        <v>4</v>
      </c>
      <c r="I222" s="8" t="inlineStr">
        <is>
          <t>worker/src/routes/admin/inbox.ts
worker/src/routes/comms/grievances.ts
worker/src/routes/portal/extra.ts
worker/src/routes/portal/requests.ts</t>
        </is>
      </c>
      <c r="J222" s="8" t="inlineStr"/>
    </row>
    <row r="223">
      <c r="A223" s="8" t="inlineStr">
        <is>
          <t>School (one per school)</t>
        </is>
      </c>
      <c r="B223" s="8" t="inlineStr">
        <is>
          <t>guardians</t>
        </is>
      </c>
      <c r="C223" s="11" t="inlineStr">
        <is>
          <t>Good</t>
        </is>
      </c>
      <c r="D223" s="8" t="n">
        <v>11</v>
      </c>
      <c r="E223" s="8" t="n">
        <v>3</v>
      </c>
      <c r="F223" s="8" t="n">
        <v>3</v>
      </c>
      <c r="G223" s="8" t="inlineStr">
        <is>
          <t>0001_baseline.sql</t>
        </is>
      </c>
      <c r="H223" s="8" t="n">
        <v>44</v>
      </c>
      <c r="I223" s="8" t="inlineStr">
        <is>
          <t>worker/src/routes/academics/admin.ts
worker/src/routes/admin/export.ts
worker/src/routes/admin/inbox.ts
worker/src/routes/admin/msg_plans.ts
worker/src/routes/admin/security.ts
worker/src/routes/admin/student_logins.ts
… +38 more</t>
        </is>
      </c>
      <c r="J223" s="8" t="inlineStr"/>
    </row>
    <row r="224">
      <c r="A224" s="8" t="inlineStr">
        <is>
          <t>School (one per school)</t>
        </is>
      </c>
      <c r="B224" s="8" t="inlineStr">
        <is>
          <t>hall_of_fame_entries</t>
        </is>
      </c>
      <c r="C224" s="11" t="inlineStr">
        <is>
          <t>Good</t>
        </is>
      </c>
      <c r="D224" s="8" t="n">
        <v>12</v>
      </c>
      <c r="E224" s="8" t="n">
        <v>1</v>
      </c>
      <c r="F224" s="8" t="n">
        <v>4</v>
      </c>
      <c r="G224" s="8" t="inlineStr">
        <is>
          <t>0001_baseline.sql</t>
        </is>
      </c>
      <c r="H224" s="8" t="n">
        <v>1</v>
      </c>
      <c r="I224" s="8" t="inlineStr">
        <is>
          <t>worker/src/routes/portal/life.ts</t>
        </is>
      </c>
      <c r="J224" s="8" t="inlineStr"/>
    </row>
    <row r="225">
      <c r="A225" s="8" t="inlineStr">
        <is>
          <t>School (one per school)</t>
        </is>
      </c>
      <c r="B225" s="8" t="inlineStr">
        <is>
          <t>health_camp_attendance</t>
        </is>
      </c>
      <c r="C225" s="11" t="inlineStr">
        <is>
          <t>Good</t>
        </is>
      </c>
      <c r="D225" s="8" t="n">
        <v>12</v>
      </c>
      <c r="E225" s="8" t="n">
        <v>2</v>
      </c>
      <c r="F225" s="8" t="n">
        <v>3</v>
      </c>
      <c r="G225" s="8" t="inlineStr">
        <is>
          <t>0001_baseline.sql</t>
        </is>
      </c>
      <c r="H225" s="8" t="n">
        <v>1</v>
      </c>
      <c r="I225" s="8" t="inlineStr">
        <is>
          <t>worker/src/routes/ops/infirmary.ts</t>
        </is>
      </c>
      <c r="J225" s="8" t="inlineStr"/>
    </row>
    <row r="226">
      <c r="A226" s="8" t="inlineStr">
        <is>
          <t>School (one per school)</t>
        </is>
      </c>
      <c r="B226" s="8" t="inlineStr">
        <is>
          <t>health_camps</t>
        </is>
      </c>
      <c r="C226" s="11" t="inlineStr">
        <is>
          <t>Good</t>
        </is>
      </c>
      <c r="D226" s="8" t="n">
        <v>11</v>
      </c>
      <c r="E226" s="8" t="n">
        <v>1</v>
      </c>
      <c r="F226" s="8" t="n">
        <v>1</v>
      </c>
      <c r="G226" s="8" t="inlineStr">
        <is>
          <t>0001_baseline.sql</t>
        </is>
      </c>
      <c r="H226" s="8" t="n">
        <v>1</v>
      </c>
      <c r="I226" s="8" t="inlineStr">
        <is>
          <t>worker/src/routes/ops/infirmary.ts</t>
        </is>
      </c>
      <c r="J226" s="8" t="inlineStr"/>
    </row>
    <row r="227">
      <c r="A227" s="8" t="inlineStr">
        <is>
          <t>School (one per school)</t>
        </is>
      </c>
      <c r="B227" s="8" t="inlineStr">
        <is>
          <t>health_checkups</t>
        </is>
      </c>
      <c r="C227" s="11" t="inlineStr">
        <is>
          <t>Good</t>
        </is>
      </c>
      <c r="D227" s="8" t="n">
        <v>22</v>
      </c>
      <c r="E227" s="8" t="n">
        <v>2</v>
      </c>
      <c r="F227" s="8" t="n">
        <v>4</v>
      </c>
      <c r="G227" s="8" t="inlineStr">
        <is>
          <t>0001_baseline.sql</t>
        </is>
      </c>
      <c r="H227" s="8" t="n">
        <v>2</v>
      </c>
      <c r="I227" s="8" t="inlineStr">
        <is>
          <t>worker/src/routes/ops/infirmary.ts
worker/src/routes/students.ts</t>
        </is>
      </c>
      <c r="J227" s="8" t="inlineStr"/>
    </row>
    <row r="228">
      <c r="A228" s="8" t="inlineStr">
        <is>
          <t>School (one per school)</t>
        </is>
      </c>
      <c r="B228" s="8" t="inlineStr">
        <is>
          <t>holidays</t>
        </is>
      </c>
      <c r="C228" s="11" t="inlineStr">
        <is>
          <t>Good</t>
        </is>
      </c>
      <c r="D228" s="8" t="n">
        <v>10</v>
      </c>
      <c r="E228" s="8" t="n">
        <v>2</v>
      </c>
      <c r="F228" s="8" t="n">
        <v>3</v>
      </c>
      <c r="G228" s="8" t="inlineStr">
        <is>
          <t>0001_baseline.sql</t>
        </is>
      </c>
      <c r="H228" s="8" t="n">
        <v>15</v>
      </c>
      <c r="I228" s="8" t="inlineStr">
        <is>
          <t>worker/src/routes/academics/admin.ts
worker/src/routes/admin/loose.ts
worker/src/routes/admin/ops_mdm.ts
worker/src/routes/board_exams.ts
worker/src/routes/growth/rollups.ts
worker/src/routes/hr/lop.ts
… +9 more</t>
        </is>
      </c>
      <c r="J228" s="8" t="inlineStr"/>
    </row>
    <row r="229">
      <c r="A229" s="8" t="inlineStr">
        <is>
          <t>School (one per school)</t>
        </is>
      </c>
      <c r="B229" s="8" t="inlineStr">
        <is>
          <t>homework</t>
        </is>
      </c>
      <c r="C229" s="11" t="inlineStr">
        <is>
          <t>Good</t>
        </is>
      </c>
      <c r="D229" s="8" t="n">
        <v>15</v>
      </c>
      <c r="E229" s="8" t="n">
        <v>5</v>
      </c>
      <c r="F229" s="8" t="n">
        <v>4</v>
      </c>
      <c r="G229" s="8" t="inlineStr">
        <is>
          <t>0001_baseline.sql</t>
        </is>
      </c>
      <c r="H229" s="8" t="n">
        <v>15</v>
      </c>
      <c r="I229" s="8" t="inlineStr">
        <is>
          <t>worker/src/routes/admin/loose.ts
worker/src/routes/admin/metrics.ts
worker/src/routes/board_exams.ts
worker/src/routes/daily.ts
worker/src/routes/misc/files.ts
worker/src/routes/portal/family.ts
… +9 more</t>
        </is>
      </c>
      <c r="J229" s="8" t="inlineStr"/>
    </row>
    <row r="230">
      <c r="A230" s="8" t="inlineStr">
        <is>
          <t>School (one per school)</t>
        </is>
      </c>
      <c r="B230" s="8" t="inlineStr">
        <is>
          <t>homework_attachments</t>
        </is>
      </c>
      <c r="C230" s="11" t="inlineStr">
        <is>
          <t>Good</t>
        </is>
      </c>
      <c r="D230" s="8" t="n">
        <v>4</v>
      </c>
      <c r="E230" s="8" t="n">
        <v>3</v>
      </c>
      <c r="F230" s="8" t="n">
        <v>3</v>
      </c>
      <c r="G230" s="8" t="inlineStr">
        <is>
          <t>0001_baseline.sql</t>
        </is>
      </c>
      <c r="H230" s="8" t="n">
        <v>4</v>
      </c>
      <c r="I230" s="8" t="inlineStr">
        <is>
          <t>worker/src/routes/daily.ts
worker/src/routes/misc/files.ts
worker/src/routes/portal/lms.ts
worker/src/routes/teaching/lms.ts</t>
        </is>
      </c>
      <c r="J230" s="8" t="inlineStr"/>
    </row>
    <row r="231">
      <c r="A231" s="8" t="inlineStr">
        <is>
          <t>School (one per school)</t>
        </is>
      </c>
      <c r="B231" s="8" t="inlineStr">
        <is>
          <t>homework_forum_posts</t>
        </is>
      </c>
      <c r="C231" s="10" t="inlineStr">
        <is>
          <t>Check</t>
        </is>
      </c>
      <c r="D231" s="8" t="n">
        <v>13</v>
      </c>
      <c r="E231" s="8" t="n">
        <v>1</v>
      </c>
      <c r="F231" s="8" t="n">
        <v>5</v>
      </c>
      <c r="G231" s="8" t="inlineStr">
        <is>
          <t>0001_baseline.sql</t>
        </is>
      </c>
      <c r="H231" s="8" t="n">
        <v>0</v>
      </c>
      <c r="I231" s="8" t="inlineStr"/>
      <c r="J231" s="8" t="inlineStr">
        <is>
          <t>No backend code reads or writes this table.</t>
        </is>
      </c>
    </row>
    <row r="232">
      <c r="A232" s="8" t="inlineStr">
        <is>
          <t>School (one per school)</t>
        </is>
      </c>
      <c r="B232" s="8" t="inlineStr">
        <is>
          <t>homework_forum_threads</t>
        </is>
      </c>
      <c r="C232" s="10" t="inlineStr">
        <is>
          <t>Check</t>
        </is>
      </c>
      <c r="D232" s="8" t="n">
        <v>15</v>
      </c>
      <c r="E232" s="8" t="n">
        <v>2</v>
      </c>
      <c r="F232" s="8" t="n">
        <v>7</v>
      </c>
      <c r="G232" s="8" t="inlineStr">
        <is>
          <t>0001_baseline.sql</t>
        </is>
      </c>
      <c r="H232" s="8" t="n">
        <v>0</v>
      </c>
      <c r="I232" s="8" t="inlineStr"/>
      <c r="J232" s="8" t="inlineStr">
        <is>
          <t>No backend code reads or writes this table.</t>
        </is>
      </c>
    </row>
    <row r="233">
      <c r="A233" s="8" t="inlineStr">
        <is>
          <t>School (one per school)</t>
        </is>
      </c>
      <c r="B233" s="8" t="inlineStr">
        <is>
          <t>homework_submissions</t>
        </is>
      </c>
      <c r="C233" s="11" t="inlineStr">
        <is>
          <t>Good</t>
        </is>
      </c>
      <c r="D233" s="8" t="n">
        <v>13</v>
      </c>
      <c r="E233" s="8" t="n">
        <v>4</v>
      </c>
      <c r="F233" s="8" t="n">
        <v>6</v>
      </c>
      <c r="G233" s="8" t="inlineStr">
        <is>
          <t>0001_baseline.sql</t>
        </is>
      </c>
      <c r="H233" s="8" t="n">
        <v>13</v>
      </c>
      <c r="I233" s="8" t="inlineStr">
        <is>
          <t>worker/src/routes/admin/loose.ts
worker/src/routes/daily.ts
worker/src/routes/misc/files.ts
worker/src/routes/portal/family.ts
worker/src/routes/portal/learning.ts
worker/src/routes/portal/life.ts
… +7 more</t>
        </is>
      </c>
      <c r="J233" s="8" t="inlineStr"/>
    </row>
    <row r="234">
      <c r="A234" s="8" t="inlineStr">
        <is>
          <t>School (one per school)</t>
        </is>
      </c>
      <c r="B234" s="8" t="inlineStr">
        <is>
          <t>hostel_allocations</t>
        </is>
      </c>
      <c r="C234" s="11" t="inlineStr">
        <is>
          <t>Good</t>
        </is>
      </c>
      <c r="D234" s="8" t="n">
        <v>7</v>
      </c>
      <c r="E234" s="8" t="n">
        <v>2</v>
      </c>
      <c r="F234" s="8" t="n">
        <v>3</v>
      </c>
      <c r="G234" s="8" t="inlineStr">
        <is>
          <t>0001_baseline.sql</t>
        </is>
      </c>
      <c r="H234" s="8" t="n">
        <v>3</v>
      </c>
      <c r="I234" s="8" t="inlineStr">
        <is>
          <t>worker/src/routes/admin/security.ts
worker/src/routes/ops/hostel.ts
worker/src/routes/ops/infirmary.ts</t>
        </is>
      </c>
      <c r="J234" s="8" t="inlineStr"/>
    </row>
    <row r="235">
      <c r="A235" s="8" t="inlineStr">
        <is>
          <t>School (one per school)</t>
        </is>
      </c>
      <c r="B235" s="8" t="inlineStr">
        <is>
          <t>hostel_blocks</t>
        </is>
      </c>
      <c r="C235" s="11" t="inlineStr">
        <is>
          <t>Good</t>
        </is>
      </c>
      <c r="D235" s="8" t="n">
        <v>6</v>
      </c>
      <c r="E235" s="8" t="n">
        <v>0</v>
      </c>
      <c r="F235" s="8" t="n">
        <v>3</v>
      </c>
      <c r="G235" s="8" t="inlineStr">
        <is>
          <t>0001_baseline.sql</t>
        </is>
      </c>
      <c r="H235" s="8" t="n">
        <v>2</v>
      </c>
      <c r="I235" s="8" t="inlineStr">
        <is>
          <t>worker/src/routes/ops/hostel.ts
worker/src/routes/ops/infirmary.ts</t>
        </is>
      </c>
      <c r="J235" s="8" t="inlineStr"/>
    </row>
    <row r="236">
      <c r="A236" s="8" t="inlineStr">
        <is>
          <t>School (one per school)</t>
        </is>
      </c>
      <c r="B236" s="8" t="inlineStr">
        <is>
          <t>hostel_complaints</t>
        </is>
      </c>
      <c r="C236" s="11" t="inlineStr">
        <is>
          <t>Good</t>
        </is>
      </c>
      <c r="D236" s="8" t="n">
        <v>15</v>
      </c>
      <c r="E236" s="8" t="n">
        <v>1</v>
      </c>
      <c r="F236" s="8" t="n">
        <v>4</v>
      </c>
      <c r="G236" s="8" t="inlineStr">
        <is>
          <t>0001_baseline.sql</t>
        </is>
      </c>
      <c r="H236" s="8" t="n">
        <v>1</v>
      </c>
      <c r="I236" s="8" t="inlineStr">
        <is>
          <t>worker/src/routes/ops/hostel.ts</t>
        </is>
      </c>
      <c r="J236" s="8" t="inlineStr"/>
    </row>
    <row r="237">
      <c r="A237" s="8" t="inlineStr">
        <is>
          <t>School (one per school)</t>
        </is>
      </c>
      <c r="B237" s="8" t="inlineStr">
        <is>
          <t>hostel_laundry</t>
        </is>
      </c>
      <c r="C237" s="11" t="inlineStr">
        <is>
          <t>Good</t>
        </is>
      </c>
      <c r="D237" s="8" t="n">
        <v>16</v>
      </c>
      <c r="E237" s="8" t="n">
        <v>2</v>
      </c>
      <c r="F237" s="8" t="n">
        <v>3</v>
      </c>
      <c r="G237" s="8" t="inlineStr">
        <is>
          <t>0001_baseline.sql</t>
        </is>
      </c>
      <c r="H237" s="8" t="n">
        <v>1</v>
      </c>
      <c r="I237" s="8" t="inlineStr">
        <is>
          <t>worker/src/routes/ops/infirmary.ts</t>
        </is>
      </c>
      <c r="J237" s="8" t="inlineStr"/>
    </row>
    <row r="238">
      <c r="A238" s="8" t="inlineStr">
        <is>
          <t>School (one per school)</t>
        </is>
      </c>
      <c r="B238" s="8" t="inlineStr">
        <is>
          <t>hostel_outpasses</t>
        </is>
      </c>
      <c r="C238" s="11" t="inlineStr">
        <is>
          <t>Good</t>
        </is>
      </c>
      <c r="D238" s="8" t="n">
        <v>22</v>
      </c>
      <c r="E238" s="8" t="n">
        <v>2</v>
      </c>
      <c r="F238" s="8" t="n">
        <v>6</v>
      </c>
      <c r="G238" s="8" t="inlineStr">
        <is>
          <t>0001_baseline.sql</t>
        </is>
      </c>
      <c r="H238" s="8" t="n">
        <v>3</v>
      </c>
      <c r="I238" s="8" t="inlineStr">
        <is>
          <t>worker/src/routes/admin/metrics.ts
worker/src/routes/ops/hostel.ts
worker/src/routes/ops/infirmary.ts</t>
        </is>
      </c>
      <c r="J238" s="8" t="inlineStr"/>
    </row>
    <row r="239">
      <c r="A239" s="8" t="inlineStr">
        <is>
          <t>School (one per school)</t>
        </is>
      </c>
      <c r="B239" s="8" t="inlineStr">
        <is>
          <t>hostel_rooms</t>
        </is>
      </c>
      <c r="C239" s="11" t="inlineStr">
        <is>
          <t>Good</t>
        </is>
      </c>
      <c r="D239" s="8" t="n">
        <v>6</v>
      </c>
      <c r="E239" s="8" t="n">
        <v>0</v>
      </c>
      <c r="F239" s="8" t="n">
        <v>2</v>
      </c>
      <c r="G239" s="8" t="inlineStr">
        <is>
          <t>0001_baseline.sql</t>
        </is>
      </c>
      <c r="H239" s="8" t="n">
        <v>3</v>
      </c>
      <c r="I239" s="8" t="inlineStr">
        <is>
          <t>worker/src/routes/misc/shell.ts
worker/src/routes/ops/hostel.ts
worker/src/routes/ops/infirmary.ts</t>
        </is>
      </c>
      <c r="J239" s="8" t="inlineStr"/>
    </row>
    <row r="240">
      <c r="A240" s="8" t="inlineStr">
        <is>
          <t>School (one per school)</t>
        </is>
      </c>
      <c r="B240" s="8" t="inlineStr">
        <is>
          <t>hostel_visits</t>
        </is>
      </c>
      <c r="C240" s="11" t="inlineStr">
        <is>
          <t>Good</t>
        </is>
      </c>
      <c r="D240" s="8" t="n">
        <v>12</v>
      </c>
      <c r="E240" s="8" t="n">
        <v>2</v>
      </c>
      <c r="F240" s="8" t="n">
        <v>4</v>
      </c>
      <c r="G240" s="8" t="inlineStr">
        <is>
          <t>0001_baseline.sql</t>
        </is>
      </c>
      <c r="H240" s="8" t="n">
        <v>1</v>
      </c>
      <c r="I240" s="8" t="inlineStr">
        <is>
          <t>worker/src/routes/ops/infirmary.ts</t>
        </is>
      </c>
      <c r="J240" s="8" t="inlineStr"/>
    </row>
    <row r="241">
      <c r="A241" s="8" t="inlineStr">
        <is>
          <t>School (one per school)</t>
        </is>
      </c>
      <c r="B241" s="8" t="inlineStr">
        <is>
          <t>houses</t>
        </is>
      </c>
      <c r="C241" s="11" t="inlineStr">
        <is>
          <t>Good</t>
        </is>
      </c>
      <c r="D241" s="8" t="n">
        <v>6</v>
      </c>
      <c r="E241" s="8" t="n">
        <v>0</v>
      </c>
      <c r="F241" s="8" t="n">
        <v>2</v>
      </c>
      <c r="G241" s="8" t="inlineStr">
        <is>
          <t>0001_baseline.sql</t>
        </is>
      </c>
      <c r="H241" s="8" t="n">
        <v>3</v>
      </c>
      <c r="I241" s="8" t="inlineStr">
        <is>
          <t>worker/src/routes/academics.ts
worker/src/routes/portal/school_life.ts
worker/src/routes/students.ts</t>
        </is>
      </c>
      <c r="J241" s="8" t="inlineStr"/>
    </row>
    <row r="242">
      <c r="A242" s="8" t="inlineStr">
        <is>
          <t>School (one per school)</t>
        </is>
      </c>
      <c r="B242" s="8" t="inlineStr">
        <is>
          <t>hpc_competencies</t>
        </is>
      </c>
      <c r="C242" s="11" t="inlineStr">
        <is>
          <t>Good</t>
        </is>
      </c>
      <c r="D242" s="8" t="n">
        <v>10</v>
      </c>
      <c r="E242" s="8" t="n">
        <v>0</v>
      </c>
      <c r="F242" s="8" t="n">
        <v>1</v>
      </c>
      <c r="G242" s="8" t="inlineStr">
        <is>
          <t>0001_baseline.sql</t>
        </is>
      </c>
      <c r="H242" s="8" t="n">
        <v>1</v>
      </c>
      <c r="I242" s="8" t="inlineStr">
        <is>
          <t>worker/src/routes/exams.ts</t>
        </is>
      </c>
      <c r="J242" s="8" t="inlineStr"/>
    </row>
    <row r="243">
      <c r="A243" s="8" t="inlineStr">
        <is>
          <t>School (one per school)</t>
        </is>
      </c>
      <c r="B243" s="8" t="inlineStr">
        <is>
          <t>hpc_observations</t>
        </is>
      </c>
      <c r="C243" s="11" t="inlineStr">
        <is>
          <t>Good</t>
        </is>
      </c>
      <c r="D243" s="8" t="n">
        <v>13</v>
      </c>
      <c r="E243" s="8" t="n">
        <v>2</v>
      </c>
      <c r="F243" s="8" t="n">
        <v>6</v>
      </c>
      <c r="G243" s="8" t="inlineStr">
        <is>
          <t>0001_baseline.sql</t>
        </is>
      </c>
      <c r="H243" s="8" t="n">
        <v>1</v>
      </c>
      <c r="I243" s="8" t="inlineStr">
        <is>
          <t>worker/src/routes/exams.ts</t>
        </is>
      </c>
      <c r="J243" s="8" t="inlineStr"/>
    </row>
    <row r="244">
      <c r="A244" s="8" t="inlineStr">
        <is>
          <t>School (one per school)</t>
        </is>
      </c>
      <c r="B244" s="8" t="inlineStr">
        <is>
          <t>idempotency_keys</t>
        </is>
      </c>
      <c r="C244" s="11" t="inlineStr">
        <is>
          <t>Good</t>
        </is>
      </c>
      <c r="D244" s="8" t="n">
        <v>10</v>
      </c>
      <c r="E244" s="8" t="n">
        <v>1</v>
      </c>
      <c r="F244" s="8" t="n">
        <v>2</v>
      </c>
      <c r="G244" s="8" t="inlineStr">
        <is>
          <t>0001_baseline.sql</t>
        </is>
      </c>
      <c r="H244" s="8" t="n">
        <v>2</v>
      </c>
      <c r="I244" s="8" t="inlineStr">
        <is>
          <t>worker/src/idempotency.ts
worker/src/services/background/housekeeping.ts</t>
        </is>
      </c>
      <c r="J244" s="8" t="inlineStr"/>
    </row>
    <row r="245">
      <c r="A245" s="8" t="inlineStr">
        <is>
          <t>School (one per school)</t>
        </is>
      </c>
      <c r="B245" s="8" t="inlineStr">
        <is>
          <t>impersonation_grants</t>
        </is>
      </c>
      <c r="C245" s="11" t="inlineStr">
        <is>
          <t>Good</t>
        </is>
      </c>
      <c r="D245" s="8" t="n">
        <v>12</v>
      </c>
      <c r="E245" s="8" t="n">
        <v>2</v>
      </c>
      <c r="F245" s="8" t="n">
        <v>3</v>
      </c>
      <c r="G245" s="8" t="inlineStr">
        <is>
          <t>0001_baseline.sql</t>
        </is>
      </c>
      <c r="H245" s="8" t="n">
        <v>2</v>
      </c>
      <c r="I245" s="8" t="inlineStr">
        <is>
          <t>worker/src/identity.ts
worker/src/routes/admin/platform_config.ts</t>
        </is>
      </c>
      <c r="J245" s="8" t="inlineStr"/>
    </row>
    <row r="246">
      <c r="A246" s="8" t="inlineStr">
        <is>
          <t>School (one per school)</t>
        </is>
      </c>
      <c r="B246" s="8" t="inlineStr">
        <is>
          <t>import_run_rows</t>
        </is>
      </c>
      <c r="C246" s="11" t="inlineStr">
        <is>
          <t>Good</t>
        </is>
      </c>
      <c r="D246" s="8" t="n">
        <v>5</v>
      </c>
      <c r="E246" s="8" t="n">
        <v>1</v>
      </c>
      <c r="F246" s="8" t="n">
        <v>2</v>
      </c>
      <c r="G246" s="8" t="inlineStr">
        <is>
          <t>0001_baseline.sql</t>
        </is>
      </c>
      <c r="H246" s="8" t="n">
        <v>2</v>
      </c>
      <c r="I246" s="8" t="inlineStr">
        <is>
          <t>worker/src/routes/setup/imports.ts
worker/src/routes/students.ts</t>
        </is>
      </c>
      <c r="J246" s="8" t="inlineStr"/>
    </row>
    <row r="247">
      <c r="A247" s="8" t="inlineStr">
        <is>
          <t>School (one per school)</t>
        </is>
      </c>
      <c r="B247" s="8" t="inlineStr">
        <is>
          <t>import_runs</t>
        </is>
      </c>
      <c r="C247" s="11" t="inlineStr">
        <is>
          <t>Good</t>
        </is>
      </c>
      <c r="D247" s="8" t="n">
        <v>13</v>
      </c>
      <c r="E247" s="8" t="n">
        <v>1</v>
      </c>
      <c r="F247" s="8" t="n">
        <v>3</v>
      </c>
      <c r="G247" s="8" t="inlineStr">
        <is>
          <t>0001_baseline.sql</t>
        </is>
      </c>
      <c r="H247" s="8" t="n">
        <v>2</v>
      </c>
      <c r="I247" s="8" t="inlineStr">
        <is>
          <t>worker/src/routes/setup/imports.ts
worker/src/routes/students.ts</t>
        </is>
      </c>
      <c r="J247" s="8" t="inlineStr"/>
    </row>
    <row r="248">
      <c r="A248" s="8" t="inlineStr">
        <is>
          <t>School (one per school)</t>
        </is>
      </c>
      <c r="B248" s="8" t="inlineStr">
        <is>
          <t>infirmary_visits</t>
        </is>
      </c>
      <c r="C248" s="11" t="inlineStr">
        <is>
          <t>Good</t>
        </is>
      </c>
      <c r="D248" s="8" t="n">
        <v>18</v>
      </c>
      <c r="E248" s="8" t="n">
        <v>2</v>
      </c>
      <c r="F248" s="8" t="n">
        <v>3</v>
      </c>
      <c r="G248" s="8" t="inlineStr">
        <is>
          <t>0001_baseline.sql</t>
        </is>
      </c>
      <c r="H248" s="8" t="n">
        <v>2</v>
      </c>
      <c r="I248" s="8" t="inlineStr">
        <is>
          <t>worker/src/routes/ops/infirmary.ts
worker/src/services/ai/briefs.ts</t>
        </is>
      </c>
      <c r="J248" s="8" t="inlineStr"/>
    </row>
    <row r="249">
      <c r="A249" s="8" t="inlineStr">
        <is>
          <t>School (one per school)</t>
        </is>
      </c>
      <c r="B249" s="8" t="inlineStr">
        <is>
          <t>institutions</t>
        </is>
      </c>
      <c r="C249" s="11" t="inlineStr">
        <is>
          <t>Good</t>
        </is>
      </c>
      <c r="D249" s="8" t="n">
        <v>29</v>
      </c>
      <c r="E249" s="8" t="n">
        <v>0</v>
      </c>
      <c r="F249" s="8" t="n">
        <v>0</v>
      </c>
      <c r="G249" s="8" t="inlineStr">
        <is>
          <t>0001_baseline.sql</t>
        </is>
      </c>
      <c r="H249" s="8" t="n">
        <v>54</v>
      </c>
      <c r="I249" s="8" t="inlineStr">
        <is>
          <t>worker/src/identity.ts
worker/src/pages/reset.ts
worker/src/routes/admin/connectors_common.ts
worker/src/routes/admin/messaging.ts
worker/src/routes/admin/msg_plans.ts
worker/src/routes/admin/platform_config.ts
… +48 more</t>
        </is>
      </c>
      <c r="J249" s="8" t="inlineStr"/>
    </row>
    <row r="250">
      <c r="A250" s="8" t="inlineStr">
        <is>
          <t>School (one per school)</t>
        </is>
      </c>
      <c r="B250" s="8" t="inlineStr">
        <is>
          <t>instructional_norms</t>
        </is>
      </c>
      <c r="C250" s="11" t="inlineStr">
        <is>
          <t>Good</t>
        </is>
      </c>
      <c r="D250" s="8" t="n">
        <v>11</v>
      </c>
      <c r="E250" s="8" t="n">
        <v>1</v>
      </c>
      <c r="F250" s="8" t="n">
        <v>1</v>
      </c>
      <c r="G250" s="8" t="inlineStr">
        <is>
          <t>0001_baseline.sql</t>
        </is>
      </c>
      <c r="H250" s="8" t="n">
        <v>1</v>
      </c>
      <c r="I250" s="8" t="inlineStr">
        <is>
          <t>worker/src/routes/statutory.ts</t>
        </is>
      </c>
      <c r="J250" s="8" t="inlineStr"/>
    </row>
    <row r="251">
      <c r="A251" s="8" t="inlineStr">
        <is>
          <t>School (one per school)</t>
        </is>
      </c>
      <c r="B251" s="8" t="inlineStr">
        <is>
          <t>integrations</t>
        </is>
      </c>
      <c r="C251" s="11" t="inlineStr">
        <is>
          <t>Good</t>
        </is>
      </c>
      <c r="D251" s="8" t="n">
        <v>9</v>
      </c>
      <c r="E251" s="8" t="n">
        <v>1</v>
      </c>
      <c r="F251" s="8" t="n">
        <v>1</v>
      </c>
      <c r="G251" s="8" t="inlineStr">
        <is>
          <t>0001_baseline.sql</t>
        </is>
      </c>
      <c r="H251" s="8" t="n">
        <v>7</v>
      </c>
      <c r="I251" s="8" t="inlineStr">
        <is>
          <t>worker/src/routes/admin/messaging.ts
worker/src/routes/admin/platform_config.ts
worker/src/routes/admin/providers.ts
worker/src/routes/admin/users.ts
worker/src/routes/admin/whatsapp.ts
worker/src/routes/comms/sms_gateway.ts
… +1 more</t>
        </is>
      </c>
      <c r="J251" s="8" t="inlineStr"/>
    </row>
    <row r="252">
      <c r="A252" s="8" t="inlineStr">
        <is>
          <t>School (one per school)</t>
        </is>
      </c>
      <c r="B252" s="8" t="inlineStr">
        <is>
          <t>inventory_items</t>
        </is>
      </c>
      <c r="C252" s="11" t="inlineStr">
        <is>
          <t>Good</t>
        </is>
      </c>
      <c r="D252" s="8" t="n">
        <v>9</v>
      </c>
      <c r="E252" s="8" t="n">
        <v>0</v>
      </c>
      <c r="F252" s="8" t="n">
        <v>2</v>
      </c>
      <c r="G252" s="8" t="inlineStr">
        <is>
          <t>0001_baseline.sql</t>
        </is>
      </c>
      <c r="H252" s="8" t="n">
        <v>4</v>
      </c>
      <c r="I252" s="8" t="inlineStr">
        <is>
          <t>worker/src/routes/admin/ops_purchasing.ts
worker/src/routes/fees/collections.ts
worker/src/routes/misc/shell.ts
worker/src/routes/ops/inventory.ts</t>
        </is>
      </c>
      <c r="J252" s="8" t="inlineStr"/>
    </row>
    <row r="253">
      <c r="A253" s="8" t="inlineStr">
        <is>
          <t>School (one per school)</t>
        </is>
      </c>
      <c r="B253" s="8" t="inlineStr">
        <is>
          <t>inventory_movements</t>
        </is>
      </c>
      <c r="C253" s="11" t="inlineStr">
        <is>
          <t>Good</t>
        </is>
      </c>
      <c r="D253" s="8" t="n">
        <v>12</v>
      </c>
      <c r="E253" s="8" t="n">
        <v>0</v>
      </c>
      <c r="F253" s="8" t="n">
        <v>4</v>
      </c>
      <c r="G253" s="8" t="inlineStr">
        <is>
          <t>0001_baseline.sql</t>
        </is>
      </c>
      <c r="H253" s="8" t="n">
        <v>3</v>
      </c>
      <c r="I253" s="8" t="inlineStr">
        <is>
          <t>worker/src/routes/admin/ops_purchasing.ts
worker/src/routes/fees/collections.ts
worker/src/routes/ops/inventory.ts</t>
        </is>
      </c>
      <c r="J253" s="8" t="inlineStr"/>
    </row>
    <row r="254">
      <c r="A254" s="8" t="inlineStr">
        <is>
          <t>School (one per school)</t>
        </is>
      </c>
      <c r="B254" s="8" t="inlineStr">
        <is>
          <t>investment_declarations</t>
        </is>
      </c>
      <c r="C254" s="11" t="inlineStr">
        <is>
          <t>Good</t>
        </is>
      </c>
      <c r="D254" s="8" t="n">
        <v>13</v>
      </c>
      <c r="E254" s="8" t="n">
        <v>1</v>
      </c>
      <c r="F254" s="8" t="n">
        <v>3</v>
      </c>
      <c r="G254" s="8" t="inlineStr">
        <is>
          <t>0001_baseline.sql</t>
        </is>
      </c>
      <c r="H254" s="8" t="n">
        <v>1</v>
      </c>
      <c r="I254" s="8" t="inlineStr">
        <is>
          <t>worker/src/routes/payroll.ts</t>
        </is>
      </c>
      <c r="J254" s="8" t="inlineStr"/>
    </row>
    <row r="255">
      <c r="A255" s="8" t="inlineStr">
        <is>
          <t>School (one per school)</t>
        </is>
      </c>
      <c r="B255" s="8" t="inlineStr">
        <is>
          <t>invoice_carry_forwards</t>
        </is>
      </c>
      <c r="C255" s="11" t="inlineStr">
        <is>
          <t>Good</t>
        </is>
      </c>
      <c r="D255" s="8" t="n">
        <v>7</v>
      </c>
      <c r="E255" s="8" t="n">
        <v>2</v>
      </c>
      <c r="F255" s="8" t="n">
        <v>4</v>
      </c>
      <c r="G255" s="8" t="inlineStr">
        <is>
          <t>0001_baseline.sql</t>
        </is>
      </c>
      <c r="H255" s="8" t="n">
        <v>1</v>
      </c>
      <c r="I255" s="8" t="inlineStr">
        <is>
          <t>worker/src/routes/fees/invoicing.ts</t>
        </is>
      </c>
      <c r="J255" s="8" t="inlineStr"/>
    </row>
    <row r="256">
      <c r="A256" s="8" t="inlineStr">
        <is>
          <t>School (one per school)</t>
        </is>
      </c>
      <c r="B256" s="8" t="inlineStr">
        <is>
          <t>invoice_lines</t>
        </is>
      </c>
      <c r="C256" s="11" t="inlineStr">
        <is>
          <t>Good</t>
        </is>
      </c>
      <c r="D256" s="8" t="n">
        <v>7</v>
      </c>
      <c r="E256" s="8" t="n">
        <v>3</v>
      </c>
      <c r="F256" s="8" t="n">
        <v>3</v>
      </c>
      <c r="G256" s="8" t="inlineStr">
        <is>
          <t>0001_baseline.sql</t>
        </is>
      </c>
      <c r="H256" s="8" t="n">
        <v>11</v>
      </c>
      <c r="I256" s="8" t="inlineStr">
        <is>
          <t>worker/src/routes/admin/export.ts
worker/src/routes/admin/ops_fee_filings.ts
worker/src/routes/admissions/workflow.ts
worker/src/routes/fees/collections.ts
worker/src/routes/fees/counter.ts
worker/src/routes/fees/invoicing.ts
… +5 more</t>
        </is>
      </c>
      <c r="J256" s="8" t="inlineStr"/>
    </row>
    <row r="257">
      <c r="A257" s="8" t="inlineStr">
        <is>
          <t>School (one per school)</t>
        </is>
      </c>
      <c r="B257" s="8" t="inlineStr">
        <is>
          <t>invoices</t>
        </is>
      </c>
      <c r="C257" s="11" t="inlineStr">
        <is>
          <t>Good</t>
        </is>
      </c>
      <c r="D257" s="8" t="n">
        <v>21</v>
      </c>
      <c r="E257" s="8" t="n">
        <v>8</v>
      </c>
      <c r="F257" s="8" t="n">
        <v>5</v>
      </c>
      <c r="G257" s="8" t="inlineStr">
        <is>
          <t>0001_baseline.sql</t>
        </is>
      </c>
      <c r="H257" s="8" t="n">
        <v>37</v>
      </c>
      <c r="I257" s="8" t="inlineStr">
        <is>
          <t>worker/src/routes/admin/export.ts
worker/src/routes/admin/loose.ts
worker/src/routes/admin/metrics.ts
worker/src/routes/admin/msg_plans.ts
worker/src/routes/admin/ops_fee_filings.ts
worker/src/routes/admin/platform_signals.ts
… +31 more</t>
        </is>
      </c>
      <c r="J257" s="8" t="inlineStr"/>
    </row>
    <row r="258">
      <c r="A258" s="8" t="inlineStr">
        <is>
          <t>School (one per school)</t>
        </is>
      </c>
      <c r="B258" s="8" t="inlineStr">
        <is>
          <t>issued_certificates</t>
        </is>
      </c>
      <c r="C258" s="11" t="inlineStr">
        <is>
          <t>Good</t>
        </is>
      </c>
      <c r="D258" s="8" t="n">
        <v>16</v>
      </c>
      <c r="E258" s="8" t="n">
        <v>2</v>
      </c>
      <c r="F258" s="8" t="n">
        <v>8</v>
      </c>
      <c r="G258" s="8" t="inlineStr">
        <is>
          <t>0001_baseline.sql</t>
        </is>
      </c>
      <c r="H258" s="8" t="n">
        <v>9</v>
      </c>
      <c r="I258" s="8" t="inlineStr">
        <is>
          <t>worker/src/routes/academics/admin.ts
worker/src/routes/admin/loose.ts
worker/src/routes/exams.ts
worker/src/routes/fees/concessions.ts
worker/src/routes/hr/lifecycle.ts
worker/src/routes/hr/staff.ts
… +3 more</t>
        </is>
      </c>
      <c r="J258" s="8" t="inlineStr"/>
    </row>
    <row r="259">
      <c r="A259" s="8" t="inlineStr">
        <is>
          <t>School (one per school)</t>
        </is>
      </c>
      <c r="B259" s="8" t="inlineStr">
        <is>
          <t>job_candidate_events</t>
        </is>
      </c>
      <c r="C259" s="11" t="inlineStr">
        <is>
          <t>Good</t>
        </is>
      </c>
      <c r="D259" s="8" t="n">
        <v>8</v>
      </c>
      <c r="E259" s="8" t="n">
        <v>1</v>
      </c>
      <c r="F259" s="8" t="n">
        <v>3</v>
      </c>
      <c r="G259" s="8" t="inlineStr">
        <is>
          <t>0001_baseline.sql</t>
        </is>
      </c>
      <c r="H259" s="8" t="n">
        <v>1</v>
      </c>
      <c r="I259" s="8" t="inlineStr">
        <is>
          <t>worker/src/routes/growth/hr_recruit.ts</t>
        </is>
      </c>
      <c r="J259" s="8" t="inlineStr"/>
    </row>
    <row r="260">
      <c r="A260" s="8" t="inlineStr">
        <is>
          <t>School (one per school)</t>
        </is>
      </c>
      <c r="B260" s="8" t="inlineStr">
        <is>
          <t>job_candidates</t>
        </is>
      </c>
      <c r="C260" s="11" t="inlineStr">
        <is>
          <t>Good</t>
        </is>
      </c>
      <c r="D260" s="8" t="n">
        <v>26</v>
      </c>
      <c r="E260" s="8" t="n">
        <v>3</v>
      </c>
      <c r="F260" s="8" t="n">
        <v>5</v>
      </c>
      <c r="G260" s="8" t="inlineStr">
        <is>
          <t>0001_baseline.sql</t>
        </is>
      </c>
      <c r="H260" s="8" t="n">
        <v>1</v>
      </c>
      <c r="I260" s="8" t="inlineStr">
        <is>
          <t>worker/src/routes/growth/hr_recruit.ts</t>
        </is>
      </c>
      <c r="J260" s="8" t="inlineStr"/>
    </row>
    <row r="261">
      <c r="A261" s="8" t="inlineStr">
        <is>
          <t>School (one per school)</t>
        </is>
      </c>
      <c r="B261" s="8" t="inlineStr">
        <is>
          <t>job_interviews</t>
        </is>
      </c>
      <c r="C261" s="11" t="inlineStr">
        <is>
          <t>Good</t>
        </is>
      </c>
      <c r="D261" s="8" t="n">
        <v>17</v>
      </c>
      <c r="E261" s="8" t="n">
        <v>2</v>
      </c>
      <c r="F261" s="8" t="n">
        <v>5</v>
      </c>
      <c r="G261" s="8" t="inlineStr">
        <is>
          <t>0001_baseline.sql</t>
        </is>
      </c>
      <c r="H261" s="8" t="n">
        <v>1</v>
      </c>
      <c r="I261" s="8" t="inlineStr">
        <is>
          <t>worker/src/routes/growth/hr_recruit.ts</t>
        </is>
      </c>
      <c r="J261" s="8" t="inlineStr"/>
    </row>
    <row r="262">
      <c r="A262" s="8" t="inlineStr">
        <is>
          <t>School (one per school)</t>
        </is>
      </c>
      <c r="B262" s="8" t="inlineStr">
        <is>
          <t>job_offers</t>
        </is>
      </c>
      <c r="C262" s="11" t="inlineStr">
        <is>
          <t>Good</t>
        </is>
      </c>
      <c r="D262" s="8" t="n">
        <v>17</v>
      </c>
      <c r="E262" s="8" t="n">
        <v>2</v>
      </c>
      <c r="F262" s="8" t="n">
        <v>6</v>
      </c>
      <c r="G262" s="8" t="inlineStr">
        <is>
          <t>0001_baseline.sql</t>
        </is>
      </c>
      <c r="H262" s="8" t="n">
        <v>1</v>
      </c>
      <c r="I262" s="8" t="inlineStr">
        <is>
          <t>worker/src/routes/growth/hr_recruit.ts</t>
        </is>
      </c>
      <c r="J262" s="8" t="inlineStr"/>
    </row>
    <row r="263">
      <c r="A263" s="8" t="inlineStr">
        <is>
          <t>School (one per school)</t>
        </is>
      </c>
      <c r="B263" s="8" t="inlineStr">
        <is>
          <t>job_vacancies</t>
        </is>
      </c>
      <c r="C263" s="11" t="inlineStr">
        <is>
          <t>Good</t>
        </is>
      </c>
      <c r="D263" s="8" t="n">
        <v>26</v>
      </c>
      <c r="E263" s="8" t="n">
        <v>2</v>
      </c>
      <c r="F263" s="8" t="n">
        <v>8</v>
      </c>
      <c r="G263" s="8" t="inlineStr">
        <is>
          <t>0001_baseline.sql</t>
        </is>
      </c>
      <c r="H263" s="8" t="n">
        <v>1</v>
      </c>
      <c r="I263" s="8" t="inlineStr">
        <is>
          <t>worker/src/routes/growth/hr_recruit.ts</t>
        </is>
      </c>
      <c r="J263" s="8" t="inlineStr"/>
    </row>
    <row r="264">
      <c r="A264" s="8" t="inlineStr">
        <is>
          <t>School (one per school)</t>
        </is>
      </c>
      <c r="B264" s="8" t="inlineStr">
        <is>
          <t>journal_entries</t>
        </is>
      </c>
      <c r="C264" s="11" t="inlineStr">
        <is>
          <t>Good</t>
        </is>
      </c>
      <c r="D264" s="8" t="n">
        <v>11</v>
      </c>
      <c r="E264" s="8" t="n">
        <v>3</v>
      </c>
      <c r="F264" s="8" t="n">
        <v>2</v>
      </c>
      <c r="G264" s="8" t="inlineStr">
        <is>
          <t>0001_baseline.sql</t>
        </is>
      </c>
      <c r="H264" s="8" t="n">
        <v>4</v>
      </c>
      <c r="I264" s="8" t="inlineStr">
        <is>
          <t>worker/src/routes/admin/tally_connector.ts
worker/src/routes/fees/collections.ts
worker/src/routes/fees/ledgers.ts
worker/src/routes/fees/tally.ts</t>
        </is>
      </c>
      <c r="J264" s="8" t="inlineStr"/>
    </row>
    <row r="265">
      <c r="A265" s="8" t="inlineStr">
        <is>
          <t>School (one per school)</t>
        </is>
      </c>
      <c r="B265" s="8" t="inlineStr">
        <is>
          <t>journal_lines</t>
        </is>
      </c>
      <c r="C265" s="11" t="inlineStr">
        <is>
          <t>Good</t>
        </is>
      </c>
      <c r="D265" s="8" t="n">
        <v>8</v>
      </c>
      <c r="E265" s="8" t="n">
        <v>2</v>
      </c>
      <c r="F265" s="8" t="n">
        <v>3</v>
      </c>
      <c r="G265" s="8" t="inlineStr">
        <is>
          <t>0001_baseline.sql</t>
        </is>
      </c>
      <c r="H265" s="8" t="n">
        <v>4</v>
      </c>
      <c r="I265" s="8" t="inlineStr">
        <is>
          <t>worker/src/routes/admin/tally_connector.ts
worker/src/routes/fees/collections.ts
worker/src/routes/fees/ledgers.ts
worker/src/routes/fees/tally.ts</t>
        </is>
      </c>
      <c r="J265" s="8" t="inlineStr"/>
    </row>
    <row r="266">
      <c r="A266" s="8" t="inlineStr">
        <is>
          <t>School (one per school)</t>
        </is>
      </c>
      <c r="B266" s="8" t="inlineStr">
        <is>
          <t>leave_balances</t>
        </is>
      </c>
      <c r="C266" s="11" t="inlineStr">
        <is>
          <t>Good</t>
        </is>
      </c>
      <c r="D266" s="8" t="n">
        <v>7</v>
      </c>
      <c r="E266" s="8" t="n">
        <v>1</v>
      </c>
      <c r="F266" s="8" t="n">
        <v>4</v>
      </c>
      <c r="G266" s="8" t="inlineStr">
        <is>
          <t>0001_baseline.sql</t>
        </is>
      </c>
      <c r="H266" s="8" t="n">
        <v>5</v>
      </c>
      <c r="I266" s="8" t="inlineStr">
        <is>
          <t>worker/src/routes/daily.ts
worker/src/routes/growth/rollups.ts
worker/src/routes/hr/lop.ts
worker/src/routes/hr/staff.ts
worker/src/routes/payroll.ts</t>
        </is>
      </c>
      <c r="J266" s="8" t="inlineStr"/>
    </row>
    <row r="267">
      <c r="A267" s="8" t="inlineStr">
        <is>
          <t>School (one per school)</t>
        </is>
      </c>
      <c r="B267" s="8" t="inlineStr">
        <is>
          <t>leave_policy</t>
        </is>
      </c>
      <c r="C267" s="11" t="inlineStr">
        <is>
          <t>Good</t>
        </is>
      </c>
      <c r="D267" s="8" t="n">
        <v>12</v>
      </c>
      <c r="E267" s="8" t="n">
        <v>0</v>
      </c>
      <c r="F267" s="8" t="n">
        <v>1</v>
      </c>
      <c r="G267" s="8" t="inlineStr">
        <is>
          <t>0001_baseline.sql</t>
        </is>
      </c>
      <c r="H267" s="8" t="n">
        <v>4</v>
      </c>
      <c r="I267" s="8" t="inlineStr">
        <is>
          <t>worker/src/routes/hr/lifecycle.ts
worker/src/routes/hr/lop.ts
worker/src/routes/hr/staff.ts
worker/src/routes/payroll.ts</t>
        </is>
      </c>
      <c r="J267" s="8" t="inlineStr"/>
    </row>
    <row r="268">
      <c r="A268" s="8" t="inlineStr">
        <is>
          <t>School (one per school)</t>
        </is>
      </c>
      <c r="B268" s="8" t="inlineStr">
        <is>
          <t>leave_policy_rules</t>
        </is>
      </c>
      <c r="C268" s="11" t="inlineStr">
        <is>
          <t>Good</t>
        </is>
      </c>
      <c r="D268" s="8" t="n">
        <v>13</v>
      </c>
      <c r="E268" s="8" t="n">
        <v>1</v>
      </c>
      <c r="F268" s="8" t="n">
        <v>2</v>
      </c>
      <c r="G268" s="8" t="inlineStr">
        <is>
          <t>0001_baseline.sql</t>
        </is>
      </c>
      <c r="H268" s="8" t="n">
        <v>3</v>
      </c>
      <c r="I268" s="8" t="inlineStr">
        <is>
          <t>worker/src/routes/daily.ts
worker/src/routes/hr/lifecycle.ts
worker/src/routes/hr/staff.ts</t>
        </is>
      </c>
      <c r="J268" s="8" t="inlineStr"/>
    </row>
    <row r="269">
      <c r="A269" s="8" t="inlineStr">
        <is>
          <t>School (one per school)</t>
        </is>
      </c>
      <c r="B269" s="8" t="inlineStr">
        <is>
          <t>leave_requests</t>
        </is>
      </c>
      <c r="C269" s="11" t="inlineStr">
        <is>
          <t>Good</t>
        </is>
      </c>
      <c r="D269" s="8" t="n">
        <v>18</v>
      </c>
      <c r="E269" s="8" t="n">
        <v>5</v>
      </c>
      <c r="F269" s="8" t="n">
        <v>7</v>
      </c>
      <c r="G269" s="8" t="inlineStr">
        <is>
          <t>0001_baseline.sql</t>
        </is>
      </c>
      <c r="H269" s="8" t="n">
        <v>21</v>
      </c>
      <c r="I269" s="8" t="inlineStr">
        <is>
          <t>worker/src/routes/academics/admin.ts
worker/src/routes/admin/export.ts
worker/src/routes/admin/loose.ts
worker/src/routes/admin/metrics.ts
worker/src/routes/admin/msg_plans.ts
worker/src/routes/ai/drafting.ts
… +15 more</t>
        </is>
      </c>
      <c r="J269" s="8" t="inlineStr"/>
    </row>
    <row r="270">
      <c r="A270" s="8" t="inlineStr">
        <is>
          <t>School (one per school)</t>
        </is>
      </c>
      <c r="B270" s="8" t="inlineStr">
        <is>
          <t>leave_types</t>
        </is>
      </c>
      <c r="C270" s="11" t="inlineStr">
        <is>
          <t>Good</t>
        </is>
      </c>
      <c r="D270" s="8" t="n">
        <v>8</v>
      </c>
      <c r="E270" s="8" t="n">
        <v>0</v>
      </c>
      <c r="F270" s="8" t="n">
        <v>1</v>
      </c>
      <c r="G270" s="8" t="inlineStr">
        <is>
          <t>0001_baseline.sql</t>
        </is>
      </c>
      <c r="H270" s="8" t="n">
        <v>10</v>
      </c>
      <c r="I270" s="8" t="inlineStr">
        <is>
          <t>worker/src/routes/admin/export.ts
worker/src/routes/ai/drafting.ts
worker/src/routes/board_exams.ts
worker/src/routes/daily.ts
worker/src/routes/hr/lifecycle.ts
worker/src/routes/hr/lop.ts
… +4 more</t>
        </is>
      </c>
      <c r="J270" s="8" t="inlineStr"/>
    </row>
    <row r="271">
      <c r="A271" s="8" t="inlineStr">
        <is>
          <t>School (one per school)</t>
        </is>
      </c>
      <c r="B271" s="8" t="inlineStr">
        <is>
          <t>ledger_accounts</t>
        </is>
      </c>
      <c r="C271" s="11" t="inlineStr">
        <is>
          <t>Good</t>
        </is>
      </c>
      <c r="D271" s="8" t="n">
        <v>13</v>
      </c>
      <c r="E271" s="8" t="n">
        <v>3</v>
      </c>
      <c r="F271" s="8" t="n">
        <v>2</v>
      </c>
      <c r="G271" s="8" t="inlineStr">
        <is>
          <t>0001_baseline.sql</t>
        </is>
      </c>
      <c r="H271" s="8" t="n">
        <v>5</v>
      </c>
      <c r="I271" s="8" t="inlineStr">
        <is>
          <t>worker/src/routes/admin/tally_connector.ts
worker/src/routes/fees/banking.ts
worker/src/routes/fees/collections.ts
worker/src/routes/fees/ledgers.ts
worker/src/routes/fees/tally.ts</t>
        </is>
      </c>
      <c r="J271" s="8" t="inlineStr"/>
    </row>
    <row r="272">
      <c r="A272" s="8" t="inlineStr">
        <is>
          <t>School (one per school)</t>
        </is>
      </c>
      <c r="B272" s="8" t="inlineStr">
        <is>
          <t>ledger_settings</t>
        </is>
      </c>
      <c r="C272" s="11" t="inlineStr">
        <is>
          <t>Good</t>
        </is>
      </c>
      <c r="D272" s="8" t="n">
        <v>15</v>
      </c>
      <c r="E272" s="8" t="n">
        <v>0</v>
      </c>
      <c r="F272" s="8" t="n">
        <v>11</v>
      </c>
      <c r="G272" s="8" t="inlineStr">
        <is>
          <t>0001_baseline.sql</t>
        </is>
      </c>
      <c r="H272" s="8" t="n">
        <v>1</v>
      </c>
      <c r="I272" s="8" t="inlineStr">
        <is>
          <t>worker/src/routes/fees/ledgers.ts</t>
        </is>
      </c>
      <c r="J272" s="8" t="inlineStr"/>
    </row>
    <row r="273">
      <c r="A273" s="8" t="inlineStr">
        <is>
          <t>School (one per school)</t>
        </is>
      </c>
      <c r="B273" s="8" t="inlineStr">
        <is>
          <t>lesson_plan_units</t>
        </is>
      </c>
      <c r="C273" s="11" t="inlineStr">
        <is>
          <t>Good</t>
        </is>
      </c>
      <c r="D273" s="8" t="n">
        <v>2</v>
      </c>
      <c r="E273" s="8" t="n">
        <v>0</v>
      </c>
      <c r="F273" s="8" t="n">
        <v>2</v>
      </c>
      <c r="G273" s="8" t="inlineStr">
        <is>
          <t>0001_baseline.sql</t>
        </is>
      </c>
      <c r="H273" s="8" t="n">
        <v>3</v>
      </c>
      <c r="I273" s="8" t="inlineStr">
        <is>
          <t>worker/src/routes/academics.ts
worker/src/routes/academics/admin.ts
worker/src/routes/growth/rollups.ts</t>
        </is>
      </c>
      <c r="J273" s="8" t="inlineStr"/>
    </row>
    <row r="274">
      <c r="A274" s="8" t="inlineStr">
        <is>
          <t>School (one per school)</t>
        </is>
      </c>
      <c r="B274" s="8" t="inlineStr">
        <is>
          <t>lesson_plans</t>
        </is>
      </c>
      <c r="C274" s="11" t="inlineStr">
        <is>
          <t>Good</t>
        </is>
      </c>
      <c r="D274" s="8" t="n">
        <v>20</v>
      </c>
      <c r="E274" s="8" t="n">
        <v>2</v>
      </c>
      <c r="F274" s="8" t="n">
        <v>6</v>
      </c>
      <c r="G274" s="8" t="inlineStr">
        <is>
          <t>0001_baseline.sql</t>
        </is>
      </c>
      <c r="H274" s="8" t="n">
        <v>3</v>
      </c>
      <c r="I274" s="8" t="inlineStr">
        <is>
          <t>worker/src/routes/academics.ts
worker/src/routes/academics/admin.ts
worker/src/routes/growth/rollups.ts</t>
        </is>
      </c>
      <c r="J274" s="8" t="inlineStr"/>
    </row>
    <row r="275">
      <c r="A275" s="8" t="inlineStr">
        <is>
          <t>School (one per school)</t>
        </is>
      </c>
      <c r="B275" s="8" t="inlineStr">
        <is>
          <t>library_audit_scans</t>
        </is>
      </c>
      <c r="C275" s="11" t="inlineStr">
        <is>
          <t>Good</t>
        </is>
      </c>
      <c r="D275" s="8" t="n">
        <v>5</v>
      </c>
      <c r="E275" s="8" t="n">
        <v>0</v>
      </c>
      <c r="F275" s="8" t="n">
        <v>3</v>
      </c>
      <c r="G275" s="8" t="inlineStr">
        <is>
          <t>0001_baseline.sql</t>
        </is>
      </c>
      <c r="H275" s="8" t="n">
        <v>1</v>
      </c>
      <c r="I275" s="8" t="inlineStr">
        <is>
          <t>worker/src/routes/ops/library.ts</t>
        </is>
      </c>
      <c r="J275" s="8" t="inlineStr"/>
    </row>
    <row r="276">
      <c r="A276" s="8" t="inlineStr">
        <is>
          <t>School (one per school)</t>
        </is>
      </c>
      <c r="B276" s="8" t="inlineStr">
        <is>
          <t>library_copies</t>
        </is>
      </c>
      <c r="C276" s="11" t="inlineStr">
        <is>
          <t>Good</t>
        </is>
      </c>
      <c r="D276" s="8" t="n">
        <v>7</v>
      </c>
      <c r="E276" s="8" t="n">
        <v>1</v>
      </c>
      <c r="F276" s="8" t="n">
        <v>2</v>
      </c>
      <c r="G276" s="8" t="inlineStr">
        <is>
          <t>0001_baseline.sql</t>
        </is>
      </c>
      <c r="H276" s="8" t="n">
        <v>5</v>
      </c>
      <c r="I276" s="8" t="inlineStr">
        <is>
          <t>worker/src/routes/admin/export.ts
worker/src/routes/ops/digital_library.ts
worker/src/routes/ops/library.ts
worker/src/routes/portal/lms.ts
worker/src/routes/portal/records.ts</t>
        </is>
      </c>
      <c r="J276" s="8" t="inlineStr"/>
    </row>
    <row r="277">
      <c r="A277" s="8" t="inlineStr">
        <is>
          <t>School (one per school)</t>
        </is>
      </c>
      <c r="B277" s="8" t="inlineStr">
        <is>
          <t>library_loans</t>
        </is>
      </c>
      <c r="C277" s="11" t="inlineStr">
        <is>
          <t>Good</t>
        </is>
      </c>
      <c r="D277" s="8" t="n">
        <v>12</v>
      </c>
      <c r="E277" s="8" t="n">
        <v>4</v>
      </c>
      <c r="F277" s="8" t="n">
        <v>5</v>
      </c>
      <c r="G277" s="8" t="inlineStr">
        <is>
          <t>0001_baseline.sql</t>
        </is>
      </c>
      <c r="H277" s="8" t="n">
        <v>6</v>
      </c>
      <c r="I277" s="8" t="inlineStr">
        <is>
          <t>worker/src/routes/admin/export.ts
worker/src/routes/admin/metrics.ts
worker/src/routes/hr/attendance.ts
worker/src/routes/ops/digital_library.ts
worker/src/routes/ops/library.ts
worker/src/routes/portal/lms.ts</t>
        </is>
      </c>
      <c r="J277" s="8" t="inlineStr"/>
    </row>
    <row r="278">
      <c r="A278" s="8" t="inlineStr">
        <is>
          <t>School (one per school)</t>
        </is>
      </c>
      <c r="B278" s="8" t="inlineStr">
        <is>
          <t>library_reservations</t>
        </is>
      </c>
      <c r="C278" s="11" t="inlineStr">
        <is>
          <t>Good</t>
        </is>
      </c>
      <c r="D278" s="8" t="n">
        <v>12</v>
      </c>
      <c r="E278" s="8" t="n">
        <v>2</v>
      </c>
      <c r="F278" s="8" t="n">
        <v>6</v>
      </c>
      <c r="G278" s="8" t="inlineStr">
        <is>
          <t>0001_baseline.sql</t>
        </is>
      </c>
      <c r="H278" s="8" t="n">
        <v>3</v>
      </c>
      <c r="I278" s="8" t="inlineStr">
        <is>
          <t>worker/src/routes/ops/digital_library.ts
worker/src/routes/ops/library.ts
worker/src/routes/portal/records.ts</t>
        </is>
      </c>
      <c r="J278" s="8" t="inlineStr"/>
    </row>
    <row r="279">
      <c r="A279" s="8" t="inlineStr">
        <is>
          <t>School (one per school)</t>
        </is>
      </c>
      <c r="B279" s="8" t="inlineStr">
        <is>
          <t>library_stock_audits</t>
        </is>
      </c>
      <c r="C279" s="11" t="inlineStr">
        <is>
          <t>Good</t>
        </is>
      </c>
      <c r="D279" s="8" t="n">
        <v>8</v>
      </c>
      <c r="E279" s="8" t="n">
        <v>1</v>
      </c>
      <c r="F279" s="8" t="n">
        <v>3</v>
      </c>
      <c r="G279" s="8" t="inlineStr">
        <is>
          <t>0001_baseline.sql</t>
        </is>
      </c>
      <c r="H279" s="8" t="n">
        <v>1</v>
      </c>
      <c r="I279" s="8" t="inlineStr">
        <is>
          <t>worker/src/routes/ops/library.ts</t>
        </is>
      </c>
      <c r="J279" s="8" t="inlineStr"/>
    </row>
    <row r="280">
      <c r="A280" s="8" t="inlineStr">
        <is>
          <t>School (one per school)</t>
        </is>
      </c>
      <c r="B280" s="8" t="inlineStr">
        <is>
          <t>library_titles</t>
        </is>
      </c>
      <c r="C280" s="11" t="inlineStr">
        <is>
          <t>Good</t>
        </is>
      </c>
      <c r="D280" s="8" t="n">
        <v>12</v>
      </c>
      <c r="E280" s="8" t="n">
        <v>2</v>
      </c>
      <c r="F280" s="8" t="n">
        <v>2</v>
      </c>
      <c r="G280" s="8" t="inlineStr">
        <is>
          <t>0001_baseline.sql</t>
        </is>
      </c>
      <c r="H280" s="8" t="n">
        <v>6</v>
      </c>
      <c r="I280" s="8" t="inlineStr">
        <is>
          <t>worker/src/routes/admin/export.ts
worker/src/routes/hr/attendance.ts
worker/src/routes/ops/digital_library.ts
worker/src/routes/ops/library.ts
worker/src/routes/portal/lms.ts
worker/src/routes/portal/records.ts</t>
        </is>
      </c>
      <c r="J280" s="8" t="inlineStr"/>
    </row>
    <row r="281">
      <c r="A281" s="8" t="inlineStr">
        <is>
          <t>School (one per school)</t>
        </is>
      </c>
      <c r="B281" s="8" t="inlineStr">
        <is>
          <t>lms_course_settings</t>
        </is>
      </c>
      <c r="C281" s="11" t="inlineStr">
        <is>
          <t>Good</t>
        </is>
      </c>
      <c r="D281" s="8" t="n">
        <v>5</v>
      </c>
      <c r="E281" s="8" t="n">
        <v>0</v>
      </c>
      <c r="F281" s="8" t="n">
        <v>0</v>
      </c>
      <c r="G281" s="8" t="inlineStr">
        <is>
          <t>0012_lms_progression.sql</t>
        </is>
      </c>
      <c r="H281" s="8" t="n">
        <v>2</v>
      </c>
      <c r="I281" s="8" t="inlineStr">
        <is>
          <t>worker/src/routes/teaching/lms.ts
worker/src/routes/teaching/lms_progress.ts</t>
        </is>
      </c>
      <c r="J281" s="8" t="inlineStr"/>
    </row>
    <row r="282">
      <c r="A282" s="8" t="inlineStr">
        <is>
          <t>School (one per school)</t>
        </is>
      </c>
      <c r="B282" s="8" t="inlineStr">
        <is>
          <t>lms_lesson_views</t>
        </is>
      </c>
      <c r="C282" s="11" t="inlineStr">
        <is>
          <t>Good</t>
        </is>
      </c>
      <c r="D282" s="8" t="n">
        <v>5</v>
      </c>
      <c r="E282" s="8" t="n">
        <v>1</v>
      </c>
      <c r="F282" s="8" t="n">
        <v>0</v>
      </c>
      <c r="G282" s="8" t="inlineStr">
        <is>
          <t>0011_lms_modules.sql</t>
        </is>
      </c>
      <c r="H282" s="8" t="n">
        <v>2</v>
      </c>
      <c r="I282" s="8" t="inlineStr">
        <is>
          <t>worker/src/routes/portal/lms.ts
worker/src/routes/teaching/lms.ts</t>
        </is>
      </c>
      <c r="J282" s="8" t="inlineStr"/>
    </row>
    <row r="283">
      <c r="A283" s="8" t="inlineStr">
        <is>
          <t>School (one per school)</t>
        </is>
      </c>
      <c r="B283" s="8" t="inlineStr">
        <is>
          <t>lms_lessons</t>
        </is>
      </c>
      <c r="C283" s="11" t="inlineStr">
        <is>
          <t>Good</t>
        </is>
      </c>
      <c r="D283" s="8" t="n">
        <v>18</v>
      </c>
      <c r="E283" s="8" t="n">
        <v>3</v>
      </c>
      <c r="F283" s="8" t="n">
        <v>0</v>
      </c>
      <c r="G283" s="8" t="inlineStr">
        <is>
          <t>0007_lms.sql</t>
        </is>
      </c>
      <c r="H283" s="8" t="n">
        <v>4</v>
      </c>
      <c r="I283" s="8" t="inlineStr">
        <is>
          <t>worker/src/routes/portal/lms.ts
worker/src/routes/teaching/lms.ts
worker/src/routes/teaching/lms_progress.ts
worker/src/routes/teaching/videos.ts</t>
        </is>
      </c>
      <c r="J283" s="8" t="inlineStr"/>
    </row>
    <row r="284">
      <c r="A284" s="8" t="inlineStr">
        <is>
          <t>School (one per school)</t>
        </is>
      </c>
      <c r="B284" s="8" t="inlineStr">
        <is>
          <t>lms_unit_days</t>
        </is>
      </c>
      <c r="C284" s="11" t="inlineStr">
        <is>
          <t>Good</t>
        </is>
      </c>
      <c r="D284" s="8" t="n">
        <v>4</v>
      </c>
      <c r="E284" s="8" t="n">
        <v>0</v>
      </c>
      <c r="F284" s="8" t="n">
        <v>0</v>
      </c>
      <c r="G284" s="8" t="inlineStr">
        <is>
          <t>0012_lms_progression.sql</t>
        </is>
      </c>
      <c r="H284" s="8" t="n">
        <v>2</v>
      </c>
      <c r="I284" s="8" t="inlineStr">
        <is>
          <t>worker/src/routes/teaching/lms.ts
worker/src/routes/teaching/lms_progress.ts</t>
        </is>
      </c>
      <c r="J284" s="8" t="inlineStr"/>
    </row>
    <row r="285">
      <c r="A285" s="8" t="inlineStr">
        <is>
          <t>School (one per school)</t>
        </is>
      </c>
      <c r="B285" s="8" t="inlineStr">
        <is>
          <t>lms_unlocks</t>
        </is>
      </c>
      <c r="C285" s="11" t="inlineStr">
        <is>
          <t>Good</t>
        </is>
      </c>
      <c r="D285" s="8" t="n">
        <v>6</v>
      </c>
      <c r="E285" s="8" t="n">
        <v>0</v>
      </c>
      <c r="F285" s="8" t="n">
        <v>0</v>
      </c>
      <c r="G285" s="8" t="inlineStr">
        <is>
          <t>0012_lms_progression.sql</t>
        </is>
      </c>
      <c r="H285" s="8" t="n">
        <v>2</v>
      </c>
      <c r="I285" s="8" t="inlineStr">
        <is>
          <t>worker/src/routes/teaching/lms.ts
worker/src/routes/teaching/lms_progress.ts</t>
        </is>
      </c>
      <c r="J285" s="8" t="inlineStr"/>
    </row>
    <row r="286">
      <c r="A286" s="8" t="inlineStr">
        <is>
          <t>School (one per school)</t>
        </is>
      </c>
      <c r="B286" s="8" t="inlineStr">
        <is>
          <t>lms_video_limits</t>
        </is>
      </c>
      <c r="C286" s="11" t="inlineStr">
        <is>
          <t>Good</t>
        </is>
      </c>
      <c r="D286" s="8" t="n">
        <v>4</v>
      </c>
      <c r="E286" s="8" t="n">
        <v>0</v>
      </c>
      <c r="F286" s="8" t="n">
        <v>0</v>
      </c>
      <c r="G286" s="8" t="inlineStr">
        <is>
          <t>0009_lms_videos.sql</t>
        </is>
      </c>
      <c r="H286" s="8" t="n">
        <v>1</v>
      </c>
      <c r="I286" s="8" t="inlineStr">
        <is>
          <t>worker/src/routes/teaching/videos.ts</t>
        </is>
      </c>
      <c r="J286" s="8" t="inlineStr"/>
    </row>
    <row r="287">
      <c r="A287" s="8" t="inlineStr">
        <is>
          <t>School (one per school)</t>
        </is>
      </c>
      <c r="B287" s="8" t="inlineStr">
        <is>
          <t>lms_video_parts</t>
        </is>
      </c>
      <c r="C287" s="11" t="inlineStr">
        <is>
          <t>Good</t>
        </is>
      </c>
      <c r="D287" s="8" t="n">
        <v>4</v>
      </c>
      <c r="E287" s="8" t="n">
        <v>0</v>
      </c>
      <c r="F287" s="8" t="n">
        <v>0</v>
      </c>
      <c r="G287" s="8" t="inlineStr">
        <is>
          <t>0009_lms_videos.sql</t>
        </is>
      </c>
      <c r="H287" s="8" t="n">
        <v>1</v>
      </c>
      <c r="I287" s="8" t="inlineStr">
        <is>
          <t>worker/src/routes/teaching/videos.ts</t>
        </is>
      </c>
      <c r="J287" s="8" t="inlineStr"/>
    </row>
    <row r="288">
      <c r="A288" s="8" t="inlineStr">
        <is>
          <t>School (one per school)</t>
        </is>
      </c>
      <c r="B288" s="8" t="inlineStr">
        <is>
          <t>lms_video_progress</t>
        </is>
      </c>
      <c r="C288" s="11" t="inlineStr">
        <is>
          <t>Good</t>
        </is>
      </c>
      <c r="D288" s="8" t="n">
        <v>9</v>
      </c>
      <c r="E288" s="8" t="n">
        <v>2</v>
      </c>
      <c r="F288" s="8" t="n">
        <v>0</v>
      </c>
      <c r="G288" s="8" t="inlineStr">
        <is>
          <t>0009_lms_videos.sql</t>
        </is>
      </c>
      <c r="H288" s="8" t="n">
        <v>2</v>
      </c>
      <c r="I288" s="8" t="inlineStr">
        <is>
          <t>worker/src/routes/portal/lms.ts
worker/src/routes/teaching/videos.ts</t>
        </is>
      </c>
      <c r="J288" s="8" t="inlineStr"/>
    </row>
    <row r="289">
      <c r="A289" s="8" t="inlineStr">
        <is>
          <t>School (one per school)</t>
        </is>
      </c>
      <c r="B289" s="8" t="inlineStr">
        <is>
          <t>lms_videos</t>
        </is>
      </c>
      <c r="C289" s="11" t="inlineStr">
        <is>
          <t>Good</t>
        </is>
      </c>
      <c r="D289" s="8" t="n">
        <v>18</v>
      </c>
      <c r="E289" s="8" t="n">
        <v>2</v>
      </c>
      <c r="F289" s="8" t="n">
        <v>0</v>
      </c>
      <c r="G289" s="8" t="inlineStr">
        <is>
          <t>0009_lms_videos.sql</t>
        </is>
      </c>
      <c r="H289" s="8" t="n">
        <v>3</v>
      </c>
      <c r="I289" s="8" t="inlineStr">
        <is>
          <t>worker/src/routes/portal/lms.ts
worker/src/routes/teaching/lms.ts
worker/src/routes/teaching/videos.ts</t>
        </is>
      </c>
      <c r="J289" s="8" t="inlineStr"/>
    </row>
    <row r="290">
      <c r="A290" s="8" t="inlineStr">
        <is>
          <t>School (one per school)</t>
        </is>
      </c>
      <c r="B290" s="8" t="inlineStr">
        <is>
          <t>loan_deductions</t>
        </is>
      </c>
      <c r="C290" s="11" t="inlineStr">
        <is>
          <t>Good</t>
        </is>
      </c>
      <c r="D290" s="8" t="n">
        <v>8</v>
      </c>
      <c r="E290" s="8" t="n">
        <v>1</v>
      </c>
      <c r="F290" s="8" t="n">
        <v>3</v>
      </c>
      <c r="G290" s="8" t="inlineStr">
        <is>
          <t>0001_baseline.sql</t>
        </is>
      </c>
      <c r="H290" s="8" t="n">
        <v>1</v>
      </c>
      <c r="I290" s="8" t="inlineStr">
        <is>
          <t>worker/src/routes/payroll.ts</t>
        </is>
      </c>
      <c r="J290" s="8" t="inlineStr"/>
    </row>
    <row r="291">
      <c r="A291" s="8" t="inlineStr">
        <is>
          <t>School (one per school)</t>
        </is>
      </c>
      <c r="B291" s="8" t="inlineStr">
        <is>
          <t>loc_candidates</t>
        </is>
      </c>
      <c r="C291" s="11" t="inlineStr">
        <is>
          <t>Good</t>
        </is>
      </c>
      <c r="D291" s="8" t="n">
        <v>25</v>
      </c>
      <c r="E291" s="8" t="n">
        <v>3</v>
      </c>
      <c r="F291" s="8" t="n">
        <v>4</v>
      </c>
      <c r="G291" s="8" t="inlineStr">
        <is>
          <t>0001_baseline.sql</t>
        </is>
      </c>
      <c r="H291" s="8" t="n">
        <v>1</v>
      </c>
      <c r="I291" s="8" t="inlineStr">
        <is>
          <t>worker/src/routes/statutory.ts</t>
        </is>
      </c>
      <c r="J291" s="8" t="inlineStr"/>
    </row>
    <row r="292">
      <c r="A292" s="8" t="inlineStr">
        <is>
          <t>School (one per school)</t>
        </is>
      </c>
      <c r="B292" s="8" t="inlineStr">
        <is>
          <t>loc_subject_groups</t>
        </is>
      </c>
      <c r="C292" s="11" t="inlineStr">
        <is>
          <t>Good</t>
        </is>
      </c>
      <c r="D292" s="8" t="n">
        <v>10</v>
      </c>
      <c r="E292" s="8" t="n">
        <v>1</v>
      </c>
      <c r="F292" s="8" t="n">
        <v>1</v>
      </c>
      <c r="G292" s="8" t="inlineStr">
        <is>
          <t>0001_baseline.sql</t>
        </is>
      </c>
      <c r="H292" s="8" t="n">
        <v>1</v>
      </c>
      <c r="I292" s="8" t="inlineStr">
        <is>
          <t>worker/src/routes/statutory.ts</t>
        </is>
      </c>
      <c r="J292" s="8" t="inlineStr"/>
    </row>
    <row r="293">
      <c r="A293" s="8" t="inlineStr">
        <is>
          <t>School (one per school)</t>
        </is>
      </c>
      <c r="B293" s="8" t="inlineStr">
        <is>
          <t>loc_subject_options</t>
        </is>
      </c>
      <c r="C293" s="11" t="inlineStr">
        <is>
          <t>Good</t>
        </is>
      </c>
      <c r="D293" s="8" t="n">
        <v>7</v>
      </c>
      <c r="E293" s="8" t="n">
        <v>2</v>
      </c>
      <c r="F293" s="8" t="n">
        <v>2</v>
      </c>
      <c r="G293" s="8" t="inlineStr">
        <is>
          <t>0001_baseline.sql</t>
        </is>
      </c>
      <c r="H293" s="8" t="n">
        <v>1</v>
      </c>
      <c r="I293" s="8" t="inlineStr">
        <is>
          <t>worker/src/routes/statutory.ts</t>
        </is>
      </c>
      <c r="J293" s="8" t="inlineStr"/>
    </row>
    <row r="294">
      <c r="A294" s="8" t="inlineStr">
        <is>
          <t>School (one per school)</t>
        </is>
      </c>
      <c r="B294" s="8" t="inlineStr">
        <is>
          <t>loc_submissions</t>
        </is>
      </c>
      <c r="C294" s="11" t="inlineStr">
        <is>
          <t>Good</t>
        </is>
      </c>
      <c r="D294" s="8" t="n">
        <v>19</v>
      </c>
      <c r="E294" s="8" t="n">
        <v>2</v>
      </c>
      <c r="F294" s="8" t="n">
        <v>4</v>
      </c>
      <c r="G294" s="8" t="inlineStr">
        <is>
          <t>0001_baseline.sql</t>
        </is>
      </c>
      <c r="H294" s="8" t="n">
        <v>1</v>
      </c>
      <c r="I294" s="8" t="inlineStr">
        <is>
          <t>worker/src/routes/statutory.ts</t>
        </is>
      </c>
      <c r="J294" s="8" t="inlineStr"/>
    </row>
    <row r="295">
      <c r="A295" s="8" t="inlineStr">
        <is>
          <t>School (one per school)</t>
        </is>
      </c>
      <c r="B295" s="8" t="inlineStr">
        <is>
          <t>loc_validation_issues</t>
        </is>
      </c>
      <c r="C295" s="11" t="inlineStr">
        <is>
          <t>Good</t>
        </is>
      </c>
      <c r="D295" s="8" t="n">
        <v>12</v>
      </c>
      <c r="E295" s="8" t="n">
        <v>1</v>
      </c>
      <c r="F295" s="8" t="n">
        <v>4</v>
      </c>
      <c r="G295" s="8" t="inlineStr">
        <is>
          <t>0001_baseline.sql</t>
        </is>
      </c>
      <c r="H295" s="8" t="n">
        <v>1</v>
      </c>
      <c r="I295" s="8" t="inlineStr">
        <is>
          <t>worker/src/routes/statutory.ts</t>
        </is>
      </c>
      <c r="J295" s="8" t="inlineStr"/>
    </row>
    <row r="296">
      <c r="A296" s="8" t="inlineStr">
        <is>
          <t>School (one per school)</t>
        </is>
      </c>
      <c r="B296" s="8" t="inlineStr">
        <is>
          <t>location_codes</t>
        </is>
      </c>
      <c r="C296" s="11" t="inlineStr">
        <is>
          <t>Good</t>
        </is>
      </c>
      <c r="D296" s="8" t="n">
        <v>7</v>
      </c>
      <c r="E296" s="8" t="n">
        <v>2</v>
      </c>
      <c r="F296" s="8" t="n">
        <v>1</v>
      </c>
      <c r="G296" s="8" t="inlineStr">
        <is>
          <t>0001_baseline.sql</t>
        </is>
      </c>
      <c r="H296" s="8" t="n">
        <v>1</v>
      </c>
      <c r="I296" s="8" t="inlineStr">
        <is>
          <t>worker/src/routes/admin/platform_config.ts</t>
        </is>
      </c>
      <c r="J296" s="8" t="inlineStr"/>
    </row>
    <row r="297">
      <c r="A297" s="8" t="inlineStr">
        <is>
          <t>School (one per school)</t>
        </is>
      </c>
      <c r="B297" s="8" t="inlineStr">
        <is>
          <t>locker_access_events</t>
        </is>
      </c>
      <c r="C297" s="11" t="inlineStr">
        <is>
          <t>Good</t>
        </is>
      </c>
      <c r="D297" s="8" t="n">
        <v>8</v>
      </c>
      <c r="E297" s="8" t="n">
        <v>1</v>
      </c>
      <c r="F297" s="8" t="n">
        <v>4</v>
      </c>
      <c r="G297" s="8" t="inlineStr">
        <is>
          <t>0001_baseline.sql</t>
        </is>
      </c>
      <c r="H297" s="8" t="n">
        <v>1</v>
      </c>
      <c r="I297" s="8" t="inlineStr">
        <is>
          <t>worker/src/routes/portal/learning.ts</t>
        </is>
      </c>
      <c r="J297" s="8" t="inlineStr"/>
    </row>
    <row r="298">
      <c r="A298" s="8" t="inlineStr">
        <is>
          <t>School (one per school)</t>
        </is>
      </c>
      <c r="B298" s="8" t="inlineStr">
        <is>
          <t>login_events</t>
        </is>
      </c>
      <c r="C298" s="11" t="inlineStr">
        <is>
          <t>Good</t>
        </is>
      </c>
      <c r="D298" s="8" t="n">
        <v>10</v>
      </c>
      <c r="E298" s="8" t="n">
        <v>4</v>
      </c>
      <c r="F298" s="8" t="n">
        <v>2</v>
      </c>
      <c r="G298" s="8" t="inlineStr">
        <is>
          <t>0001_baseline.sql</t>
        </is>
      </c>
      <c r="H298" s="8" t="n">
        <v>8</v>
      </c>
      <c r="I298" s="8" t="inlineStr">
        <is>
          <t>worker/src/pages/mfa.ts
worker/src/routes/admin/security.ts
worker/src/routes/admin/users.ts
worker/src/routes/fees/common.ts
worker/src/routes/login.ts
worker/src/routes/misc/profile.ts
… +2 more</t>
        </is>
      </c>
      <c r="J298" s="8" t="inlineStr"/>
    </row>
    <row r="299">
      <c r="A299" s="8" t="inlineStr">
        <is>
          <t>School (one per school)</t>
        </is>
      </c>
      <c r="B299" s="8" t="inlineStr">
        <is>
          <t>login_throttle</t>
        </is>
      </c>
      <c r="C299" s="11" t="inlineStr">
        <is>
          <t>Good</t>
        </is>
      </c>
      <c r="D299" s="8" t="n">
        <v>4</v>
      </c>
      <c r="E299" s="8" t="n">
        <v>0</v>
      </c>
      <c r="F299" s="8" t="n">
        <v>0</v>
      </c>
      <c r="G299" s="8" t="inlineStr">
        <is>
          <t>0001_baseline.sql</t>
        </is>
      </c>
      <c r="H299" s="8" t="n">
        <v>6</v>
      </c>
      <c r="I299" s="8" t="inlineStr">
        <is>
          <t>worker/src/pages/mfa.ts
worker/src/routes/comms/public_common.ts
worker/src/routes/login.ts
worker/src/routes/scheduling/bus_tracker.ts
worker/src/routes/teaching/gemini.ts
worker/src/services/background/housekeeping.ts</t>
        </is>
      </c>
      <c r="J299" s="8" t="inlineStr"/>
    </row>
    <row r="300">
      <c r="A300" s="8" t="inlineStr">
        <is>
          <t>School (one per school)</t>
        </is>
      </c>
      <c r="B300" s="8" t="inlineStr">
        <is>
          <t>lost_found_claims</t>
        </is>
      </c>
      <c r="C300" s="11" t="inlineStr">
        <is>
          <t>Good</t>
        </is>
      </c>
      <c r="D300" s="8" t="n">
        <v>11</v>
      </c>
      <c r="E300" s="8" t="n">
        <v>3</v>
      </c>
      <c r="F300" s="8" t="n">
        <v>5</v>
      </c>
      <c r="G300" s="8" t="inlineStr">
        <is>
          <t>0001_baseline.sql</t>
        </is>
      </c>
      <c r="H300" s="8" t="n">
        <v>1</v>
      </c>
      <c r="I300" s="8" t="inlineStr">
        <is>
          <t>worker/src/routes/portal/life.ts</t>
        </is>
      </c>
      <c r="J300" s="8" t="inlineStr"/>
    </row>
    <row r="301">
      <c r="A301" s="8" t="inlineStr">
        <is>
          <t>School (one per school)</t>
        </is>
      </c>
      <c r="B301" s="8" t="inlineStr">
        <is>
          <t>lost_found_items</t>
        </is>
      </c>
      <c r="C301" s="11" t="inlineStr">
        <is>
          <t>Good</t>
        </is>
      </c>
      <c r="D301" s="8" t="n">
        <v>22</v>
      </c>
      <c r="E301" s="8" t="n">
        <v>1</v>
      </c>
      <c r="F301" s="8" t="n">
        <v>8</v>
      </c>
      <c r="G301" s="8" t="inlineStr">
        <is>
          <t>0001_baseline.sql</t>
        </is>
      </c>
      <c r="H301" s="8" t="n">
        <v>2</v>
      </c>
      <c r="I301" s="8" t="inlineStr">
        <is>
          <t>worker/src/routes/portal/learning.ts
worker/src/routes/portal/life.ts</t>
        </is>
      </c>
      <c r="J301" s="8" t="inlineStr"/>
    </row>
    <row r="302">
      <c r="A302" s="8" t="inlineStr">
        <is>
          <t>School (one per school)</t>
        </is>
      </c>
      <c r="B302" s="8" t="inlineStr">
        <is>
          <t>mark_moderations</t>
        </is>
      </c>
      <c r="C302" s="11" t="inlineStr">
        <is>
          <t>Good</t>
        </is>
      </c>
      <c r="D302" s="8" t="n">
        <v>7</v>
      </c>
      <c r="E302" s="8" t="n">
        <v>1</v>
      </c>
      <c r="F302" s="8" t="n">
        <v>3</v>
      </c>
      <c r="G302" s="8" t="inlineStr">
        <is>
          <t>0001_baseline.sql</t>
        </is>
      </c>
      <c r="H302" s="8" t="n">
        <v>2</v>
      </c>
      <c r="I302" s="8" t="inlineStr">
        <is>
          <t>worker/src/routes/exams.ts
worker/src/routes/teaching/dashboards.ts</t>
        </is>
      </c>
      <c r="J302" s="8" t="inlineStr"/>
    </row>
    <row r="303">
      <c r="A303" s="8" t="inlineStr">
        <is>
          <t>School (one per school)</t>
        </is>
      </c>
      <c r="B303" s="8" t="inlineStr">
        <is>
          <t>marks</t>
        </is>
      </c>
      <c r="C303" s="11" t="inlineStr">
        <is>
          <t>Good</t>
        </is>
      </c>
      <c r="D303" s="8" t="n">
        <v>13</v>
      </c>
      <c r="E303" s="8" t="n">
        <v>5</v>
      </c>
      <c r="F303" s="8" t="n">
        <v>5</v>
      </c>
      <c r="G303" s="8" t="inlineStr">
        <is>
          <t>0001_baseline.sql</t>
        </is>
      </c>
      <c r="H303" s="8" t="n">
        <v>22</v>
      </c>
      <c r="I303" s="8" t="inlineStr">
        <is>
          <t>worker/src/routes/academics/admin.ts
worker/src/routes/admin/export.ts
worker/src/routes/admin/loose.ts
worker/src/routes/admin/metrics.ts
worker/src/routes/admin/platform_signals.ts
worker/src/routes/board_exams.ts
… +16 more</t>
        </is>
      </c>
      <c r="J303" s="8" t="inlineStr"/>
    </row>
    <row r="304">
      <c r="A304" s="8" t="inlineStr">
        <is>
          <t>School (one per school)</t>
        </is>
      </c>
      <c r="B304" s="8" t="inlineStr">
        <is>
          <t>mdm_foodgrain_receipts</t>
        </is>
      </c>
      <c r="C304" s="11" t="inlineStr">
        <is>
          <t>Good</t>
        </is>
      </c>
      <c r="D304" s="8" t="n">
        <v>11</v>
      </c>
      <c r="E304" s="8" t="n">
        <v>2</v>
      </c>
      <c r="F304" s="8" t="n">
        <v>3</v>
      </c>
      <c r="G304" s="8" t="inlineStr">
        <is>
          <t>0001_baseline.sql</t>
        </is>
      </c>
      <c r="H304" s="8" t="n">
        <v>1</v>
      </c>
      <c r="I304" s="8" t="inlineStr">
        <is>
          <t>worker/src/routes/admin/ops_mdm.ts</t>
        </is>
      </c>
      <c r="J304" s="8" t="inlineStr"/>
    </row>
    <row r="305">
      <c r="A305" s="8" t="inlineStr">
        <is>
          <t>School (one per school)</t>
        </is>
      </c>
      <c r="B305" s="8" t="inlineStr">
        <is>
          <t>mdm_monthly_returns</t>
        </is>
      </c>
      <c r="C305" s="11" t="inlineStr">
        <is>
          <t>Good</t>
        </is>
      </c>
      <c r="D305" s="8" t="n">
        <v>20</v>
      </c>
      <c r="E305" s="8" t="n">
        <v>1</v>
      </c>
      <c r="F305" s="8" t="n">
        <v>3</v>
      </c>
      <c r="G305" s="8" t="inlineStr">
        <is>
          <t>0001_baseline.sql</t>
        </is>
      </c>
      <c r="H305" s="8" t="n">
        <v>1</v>
      </c>
      <c r="I305" s="8" t="inlineStr">
        <is>
          <t>worker/src/routes/admin/ops_mdm.ts</t>
        </is>
      </c>
      <c r="J305" s="8" t="inlineStr"/>
    </row>
    <row r="306">
      <c r="A306" s="8" t="inlineStr">
        <is>
          <t>School (one per school)</t>
        </is>
      </c>
      <c r="B306" s="8" t="inlineStr">
        <is>
          <t>mdm_norms</t>
        </is>
      </c>
      <c r="C306" s="11" t="inlineStr">
        <is>
          <t>Good</t>
        </is>
      </c>
      <c r="D306" s="8" t="n">
        <v>9</v>
      </c>
      <c r="E306" s="8" t="n">
        <v>1</v>
      </c>
      <c r="F306" s="8" t="n">
        <v>1</v>
      </c>
      <c r="G306" s="8" t="inlineStr">
        <is>
          <t>0001_baseline.sql</t>
        </is>
      </c>
      <c r="H306" s="8" t="n">
        <v>1</v>
      </c>
      <c r="I306" s="8" t="inlineStr">
        <is>
          <t>worker/src/routes/admin/ops_mdm.ts</t>
        </is>
      </c>
      <c r="J306" s="8" t="inlineStr"/>
    </row>
    <row r="307">
      <c r="A307" s="8" t="inlineStr">
        <is>
          <t>School (one per school)</t>
        </is>
      </c>
      <c r="B307" s="8" t="inlineStr">
        <is>
          <t>mdm_register_amendments</t>
        </is>
      </c>
      <c r="C307" s="11" t="inlineStr">
        <is>
          <t>Good</t>
        </is>
      </c>
      <c r="D307" s="8" t="n">
        <v>9</v>
      </c>
      <c r="E307" s="8" t="n">
        <v>1</v>
      </c>
      <c r="F307" s="8" t="n">
        <v>3</v>
      </c>
      <c r="G307" s="8" t="inlineStr">
        <is>
          <t>0001_baseline.sql</t>
        </is>
      </c>
      <c r="H307" s="8" t="n">
        <v>1</v>
      </c>
      <c r="I307" s="8" t="inlineStr">
        <is>
          <t>worker/src/routes/scheduling/mdm.ts</t>
        </is>
      </c>
      <c r="J307" s="8" t="inlineStr"/>
    </row>
    <row r="308">
      <c r="A308" s="8" t="inlineStr">
        <is>
          <t>School (one per school)</t>
        </is>
      </c>
      <c r="B308" s="8" t="inlineStr">
        <is>
          <t>mdm_register_lines</t>
        </is>
      </c>
      <c r="C308" s="11" t="inlineStr">
        <is>
          <t>Good</t>
        </is>
      </c>
      <c r="D308" s="8" t="n">
        <v>6</v>
      </c>
      <c r="E308" s="8" t="n">
        <v>1</v>
      </c>
      <c r="F308" s="8" t="n">
        <v>3</v>
      </c>
      <c r="G308" s="8" t="inlineStr">
        <is>
          <t>0001_baseline.sql</t>
        </is>
      </c>
      <c r="H308" s="8" t="n">
        <v>1</v>
      </c>
      <c r="I308" s="8" t="inlineStr">
        <is>
          <t>worker/src/routes/scheduling/mdm.ts</t>
        </is>
      </c>
      <c r="J308" s="8" t="inlineStr"/>
    </row>
    <row r="309">
      <c r="A309" s="8" t="inlineStr">
        <is>
          <t>School (one per school)</t>
        </is>
      </c>
      <c r="B309" s="8" t="inlineStr">
        <is>
          <t>mdm_registers</t>
        </is>
      </c>
      <c r="C309" s="11" t="inlineStr">
        <is>
          <t>Good</t>
        </is>
      </c>
      <c r="D309" s="8" t="n">
        <v>19</v>
      </c>
      <c r="E309" s="8" t="n">
        <v>2</v>
      </c>
      <c r="F309" s="8" t="n">
        <v>4</v>
      </c>
      <c r="G309" s="8" t="inlineStr">
        <is>
          <t>0001_baseline.sql</t>
        </is>
      </c>
      <c r="H309" s="8" t="n">
        <v>2</v>
      </c>
      <c r="I309" s="8" t="inlineStr">
        <is>
          <t>worker/src/routes/admin/ops_mdm.ts
worker/src/routes/scheduling/mdm.ts</t>
        </is>
      </c>
      <c r="J309" s="8" t="inlineStr"/>
    </row>
    <row r="310">
      <c r="A310" s="8" t="inlineStr">
        <is>
          <t>School (one per school)</t>
        </is>
      </c>
      <c r="B310" s="8" t="inlineStr">
        <is>
          <t>medical_fitness_certificates</t>
        </is>
      </c>
      <c r="C310" s="11" t="inlineStr">
        <is>
          <t>Good</t>
        </is>
      </c>
      <c r="D310" s="8" t="n">
        <v>13</v>
      </c>
      <c r="E310" s="8" t="n">
        <v>2</v>
      </c>
      <c r="F310" s="8" t="n">
        <v>4</v>
      </c>
      <c r="G310" s="8" t="inlineStr">
        <is>
          <t>0001_baseline.sql</t>
        </is>
      </c>
      <c r="H310" s="8" t="n">
        <v>2</v>
      </c>
      <c r="I310" s="8" t="inlineStr">
        <is>
          <t>worker/src/routes/growth/rollups.ts
worker/src/routes/hr/lifecycle.ts</t>
        </is>
      </c>
      <c r="J310" s="8" t="inlineStr"/>
    </row>
    <row r="311">
      <c r="A311" s="8" t="inlineStr">
        <is>
          <t>School (one per school)</t>
        </is>
      </c>
      <c r="B311" s="8" t="inlineStr">
        <is>
          <t>medication_administrations</t>
        </is>
      </c>
      <c r="C311" s="11" t="inlineStr">
        <is>
          <t>Good</t>
        </is>
      </c>
      <c r="D311" s="8" t="n">
        <v>21</v>
      </c>
      <c r="E311" s="8" t="n">
        <v>3</v>
      </c>
      <c r="F311" s="8" t="n">
        <v>5</v>
      </c>
      <c r="G311" s="8" t="inlineStr">
        <is>
          <t>0001_baseline.sql</t>
        </is>
      </c>
      <c r="H311" s="8" t="n">
        <v>1</v>
      </c>
      <c r="I311" s="8" t="inlineStr">
        <is>
          <t>worker/src/routes/ops/infirmary.ts</t>
        </is>
      </c>
      <c r="J311" s="8" t="inlineStr"/>
    </row>
    <row r="312">
      <c r="A312" s="8" t="inlineStr">
        <is>
          <t>School (one per school)</t>
        </is>
      </c>
      <c r="B312" s="8" t="inlineStr">
        <is>
          <t>mess_menus</t>
        </is>
      </c>
      <c r="C312" s="11" t="inlineStr">
        <is>
          <t>Good</t>
        </is>
      </c>
      <c r="D312" s="8" t="n">
        <v>8</v>
      </c>
      <c r="E312" s="8" t="n">
        <v>1</v>
      </c>
      <c r="F312" s="8" t="n">
        <v>1</v>
      </c>
      <c r="G312" s="8" t="inlineStr">
        <is>
          <t>0001_baseline.sql</t>
        </is>
      </c>
      <c r="H312" s="8" t="n">
        <v>1</v>
      </c>
      <c r="I312" s="8" t="inlineStr">
        <is>
          <t>worker/src/routes/ops/hostel.ts</t>
        </is>
      </c>
      <c r="J312" s="8" t="inlineStr"/>
    </row>
    <row r="313">
      <c r="A313" s="8" t="inlineStr">
        <is>
          <t>School (one per school)</t>
        </is>
      </c>
      <c r="B313" s="8" t="inlineStr">
        <is>
          <t>message_attachments</t>
        </is>
      </c>
      <c r="C313" s="11" t="inlineStr">
        <is>
          <t>Good</t>
        </is>
      </c>
      <c r="D313" s="8" t="n">
        <v>7</v>
      </c>
      <c r="E313" s="8" t="n">
        <v>1</v>
      </c>
      <c r="F313" s="8" t="n">
        <v>1</v>
      </c>
      <c r="G313" s="8" t="inlineStr">
        <is>
          <t>0001_baseline.sql</t>
        </is>
      </c>
      <c r="H313" s="8" t="n">
        <v>1</v>
      </c>
      <c r="I313" s="8" t="inlineStr">
        <is>
          <t>worker/src/services/messaging.ts</t>
        </is>
      </c>
      <c r="J313" s="8" t="inlineStr"/>
    </row>
    <row r="314">
      <c r="A314" s="8" t="inlineStr">
        <is>
          <t>School (one per school)</t>
        </is>
      </c>
      <c r="B314" s="8" t="inlineStr">
        <is>
          <t>message_credit_entries</t>
        </is>
      </c>
      <c r="C314" s="11" t="inlineStr">
        <is>
          <t>Good</t>
        </is>
      </c>
      <c r="D314" s="8" t="n">
        <v>9</v>
      </c>
      <c r="E314" s="8" t="n">
        <v>1</v>
      </c>
      <c r="F314" s="8" t="n">
        <v>3</v>
      </c>
      <c r="G314" s="8" t="inlineStr">
        <is>
          <t>0001_baseline.sql</t>
        </is>
      </c>
      <c r="H314" s="8" t="n">
        <v>3</v>
      </c>
      <c r="I314" s="8" t="inlineStr">
        <is>
          <t>worker/src/routes/admin/messaging.ts
worker/src/routes/seller/platform.ts
worker/src/services/messaging.ts</t>
        </is>
      </c>
      <c r="J314" s="8" t="inlineStr"/>
    </row>
    <row r="315">
      <c r="A315" s="8" t="inlineStr">
        <is>
          <t>School (one per school)</t>
        </is>
      </c>
      <c r="B315" s="8" t="inlineStr">
        <is>
          <t>message_credit_requests</t>
        </is>
      </c>
      <c r="C315" s="11" t="inlineStr">
        <is>
          <t>Good</t>
        </is>
      </c>
      <c r="D315" s="8" t="n">
        <v>12</v>
      </c>
      <c r="E315" s="8" t="n">
        <v>2</v>
      </c>
      <c r="F315" s="8" t="n">
        <v>3</v>
      </c>
      <c r="G315" s="8" t="inlineStr">
        <is>
          <t>0001_baseline.sql</t>
        </is>
      </c>
      <c r="H315" s="8" t="n">
        <v>2</v>
      </c>
      <c r="I315" s="8" t="inlineStr">
        <is>
          <t>worker/src/routes/admin/messaging.ts
worker/src/routes/seller/platform.ts</t>
        </is>
      </c>
      <c r="J315" s="8" t="inlineStr"/>
    </row>
    <row r="316">
      <c r="A316" s="8" t="inlineStr">
        <is>
          <t>School (one per school)</t>
        </is>
      </c>
      <c r="B316" s="8" t="inlineStr">
        <is>
          <t>message_credits</t>
        </is>
      </c>
      <c r="C316" s="11" t="inlineStr">
        <is>
          <t>Good</t>
        </is>
      </c>
      <c r="D316" s="8" t="n">
        <v>5</v>
      </c>
      <c r="E316" s="8" t="n">
        <v>0</v>
      </c>
      <c r="F316" s="8" t="n">
        <v>1</v>
      </c>
      <c r="G316" s="8" t="inlineStr">
        <is>
          <t>0001_baseline.sql</t>
        </is>
      </c>
      <c r="H316" s="8" t="n">
        <v>4</v>
      </c>
      <c r="I316" s="8" t="inlineStr">
        <is>
          <t>worker/src/routes/admin/messaging.ts
worker/src/routes/seller/platform.ts
worker/src/services/background/health.ts
worker/src/services/messaging.ts</t>
        </is>
      </c>
      <c r="J316" s="8" t="inlineStr"/>
    </row>
    <row r="317">
      <c r="A317" s="8" t="inlineStr">
        <is>
          <t>School (one per school)</t>
        </is>
      </c>
      <c r="B317" s="8" t="inlineStr">
        <is>
          <t>message_digest_items</t>
        </is>
      </c>
      <c r="C317" s="11" t="inlineStr">
        <is>
          <t>Good</t>
        </is>
      </c>
      <c r="D317" s="8" t="n">
        <v>15</v>
      </c>
      <c r="E317" s="8" t="n">
        <v>2</v>
      </c>
      <c r="F317" s="8" t="n">
        <v>0</v>
      </c>
      <c r="G317" s="8" t="inlineStr">
        <is>
          <t>0014_messaging_delivery.sql</t>
        </is>
      </c>
      <c r="H317" s="8" t="n">
        <v>5</v>
      </c>
      <c r="I317" s="8" t="inlineStr">
        <is>
          <t>worker/src/routes/comms/delivery.ts
worker/src/services/cron.ts
worker/src/services/delivery.ts
worker/src/services/digest.ts
worker/src/services/messaging.ts</t>
        </is>
      </c>
      <c r="J317" s="8" t="inlineStr"/>
    </row>
    <row r="318">
      <c r="A318" s="8" t="inlineStr">
        <is>
          <t>School (one per school)</t>
        </is>
      </c>
      <c r="B318" s="8" t="inlineStr">
        <is>
          <t>message_events</t>
        </is>
      </c>
      <c r="C318" s="11" t="inlineStr">
        <is>
          <t>Good</t>
        </is>
      </c>
      <c r="D318" s="8" t="n">
        <v>8</v>
      </c>
      <c r="E318" s="8" t="n">
        <v>1</v>
      </c>
      <c r="F318" s="8" t="n">
        <v>0</v>
      </c>
      <c r="G318" s="8" t="inlineStr">
        <is>
          <t>0014_messaging_delivery.sql</t>
        </is>
      </c>
      <c r="H318" s="8" t="n">
        <v>1</v>
      </c>
      <c r="I318" s="8" t="inlineStr">
        <is>
          <t>worker/src/services/messaging.ts</t>
        </is>
      </c>
      <c r="J318" s="8" t="inlineStr"/>
    </row>
    <row r="319">
      <c r="A319" s="8" t="inlineStr">
        <is>
          <t>School (one per school)</t>
        </is>
      </c>
      <c r="B319" s="8" t="inlineStr">
        <is>
          <t>message_log</t>
        </is>
      </c>
      <c r="C319" s="11" t="inlineStr">
        <is>
          <t>Good</t>
        </is>
      </c>
      <c r="D319" s="8" t="n">
        <v>23</v>
      </c>
      <c r="E319" s="8" t="n">
        <v>14</v>
      </c>
      <c r="F319" s="8" t="n">
        <v>3</v>
      </c>
      <c r="G319" s="8" t="inlineStr">
        <is>
          <t>0001_baseline.sql</t>
        </is>
      </c>
      <c r="H319" s="8" t="n">
        <v>17</v>
      </c>
      <c r="I319" s="8" t="inlineStr">
        <is>
          <t>worker/src/pages/reset.ts
worker/src/routes/admin/integrations_index.ts
worker/src/routes/admin/messaging.ts
worker/src/routes/admin/metrics.ts
worker/src/routes/admin/msg_plans.ts
worker/src/routes/admin/platform_config.ts
… +11 more</t>
        </is>
      </c>
      <c r="J319" s="8" t="inlineStr"/>
    </row>
    <row r="320">
      <c r="A320" s="8" t="inlineStr">
        <is>
          <t>School (one per school)</t>
        </is>
      </c>
      <c r="B320" s="8" t="inlineStr">
        <is>
          <t>message_opt_outs</t>
        </is>
      </c>
      <c r="C320" s="11" t="inlineStr">
        <is>
          <t>Good</t>
        </is>
      </c>
      <c r="D320" s="8" t="n">
        <v>6</v>
      </c>
      <c r="E320" s="8" t="n">
        <v>1</v>
      </c>
      <c r="F320" s="8" t="n">
        <v>0</v>
      </c>
      <c r="G320" s="8" t="inlineStr">
        <is>
          <t>0015_message_opt_outs.sql</t>
        </is>
      </c>
      <c r="H320" s="8" t="n">
        <v>2</v>
      </c>
      <c r="I320" s="8" t="inlineStr">
        <is>
          <t>worker/src/routes/comms/message_webhooks.ts
worker/src/services/delivery.ts</t>
        </is>
      </c>
      <c r="J320" s="8" t="inlineStr"/>
    </row>
    <row r="321">
      <c r="A321" s="8" t="inlineStr">
        <is>
          <t>School (one per school)</t>
        </is>
      </c>
      <c r="B321" s="8" t="inlineStr">
        <is>
          <t>message_policies</t>
        </is>
      </c>
      <c r="C321" s="11" t="inlineStr">
        <is>
          <t>Good</t>
        </is>
      </c>
      <c r="D321" s="8" t="n">
        <v>6</v>
      </c>
      <c r="E321" s="8" t="n">
        <v>0</v>
      </c>
      <c r="F321" s="8" t="n">
        <v>0</v>
      </c>
      <c r="G321" s="8" t="inlineStr">
        <is>
          <t>0014_messaging_delivery.sql</t>
        </is>
      </c>
      <c r="H321" s="8" t="n">
        <v>2</v>
      </c>
      <c r="I321" s="8" t="inlineStr">
        <is>
          <t>worker/src/routes/comms/delivery.ts
worker/src/services/delivery.ts</t>
        </is>
      </c>
      <c r="J321" s="8" t="inlineStr"/>
    </row>
    <row r="322">
      <c r="A322" s="8" t="inlineStr">
        <is>
          <t>School (one per school)</t>
        </is>
      </c>
      <c r="B322" s="8" t="inlineStr">
        <is>
          <t>message_routing</t>
        </is>
      </c>
      <c r="C322" s="11" t="inlineStr">
        <is>
          <t>Good</t>
        </is>
      </c>
      <c r="D322" s="8" t="n">
        <v>4</v>
      </c>
      <c r="E322" s="8" t="n">
        <v>0</v>
      </c>
      <c r="F322" s="8" t="n">
        <v>1</v>
      </c>
      <c r="G322" s="8" t="inlineStr">
        <is>
          <t>0001_baseline.sql</t>
        </is>
      </c>
      <c r="H322" s="8" t="n">
        <v>2</v>
      </c>
      <c r="I322" s="8" t="inlineStr">
        <is>
          <t>worker/src/routes/admin/messaging.ts
worker/src/services/messaging.ts</t>
        </is>
      </c>
      <c r="J322" s="8" t="inlineStr"/>
    </row>
    <row r="323">
      <c r="A323" s="8" t="inlineStr">
        <is>
          <t>School (one per school)</t>
        </is>
      </c>
      <c r="B323" s="8" t="inlineStr">
        <is>
          <t>message_settings</t>
        </is>
      </c>
      <c r="C323" s="11" t="inlineStr">
        <is>
          <t>Good</t>
        </is>
      </c>
      <c r="D323" s="8" t="n">
        <v>8</v>
      </c>
      <c r="E323" s="8" t="n">
        <v>0</v>
      </c>
      <c r="F323" s="8" t="n">
        <v>0</v>
      </c>
      <c r="G323" s="8" t="inlineStr">
        <is>
          <t>0014_messaging_delivery.sql</t>
        </is>
      </c>
      <c r="H323" s="8" t="n">
        <v>2</v>
      </c>
      <c r="I323" s="8" t="inlineStr">
        <is>
          <t>worker/src/routes/comms/delivery.ts
worker/src/services/delivery.ts</t>
        </is>
      </c>
      <c r="J323" s="8" t="inlineStr"/>
    </row>
    <row r="324">
      <c r="A324" s="8" t="inlineStr">
        <is>
          <t>School (one per school)</t>
        </is>
      </c>
      <c r="B324" s="8" t="inlineStr">
        <is>
          <t>message_templates</t>
        </is>
      </c>
      <c r="C324" s="11" t="inlineStr">
        <is>
          <t>Good</t>
        </is>
      </c>
      <c r="D324" s="8" t="n">
        <v>11</v>
      </c>
      <c r="E324" s="8" t="n">
        <v>0</v>
      </c>
      <c r="F324" s="8" t="n">
        <v>1</v>
      </c>
      <c r="G324" s="8" t="inlineStr">
        <is>
          <t>0001_baseline.sql</t>
        </is>
      </c>
      <c r="H324" s="8" t="n">
        <v>4</v>
      </c>
      <c r="I324" s="8" t="inlineStr">
        <is>
          <t>worker/src/routes/admin/messaging.ts
worker/src/routes/admin/msg_plans.ts
worker/src/routes/admin/whatsapp.ts
worker/src/services/messaging.ts</t>
        </is>
      </c>
      <c r="J324" s="8" t="inlineStr"/>
    </row>
    <row r="325">
      <c r="A325" s="8" t="inlineStr">
        <is>
          <t>School (one per school)</t>
        </is>
      </c>
      <c r="B325" s="8" t="inlineStr">
        <is>
          <t>message_trigger_rules</t>
        </is>
      </c>
      <c r="C325" s="11" t="inlineStr">
        <is>
          <t>Good</t>
        </is>
      </c>
      <c r="D325" s="8" t="n">
        <v>22</v>
      </c>
      <c r="E325" s="8" t="n">
        <v>3</v>
      </c>
      <c r="F325" s="8" t="n">
        <v>1</v>
      </c>
      <c r="G325" s="8" t="inlineStr">
        <is>
          <t>0001_baseline.sql</t>
        </is>
      </c>
      <c r="H325" s="8" t="n">
        <v>4</v>
      </c>
      <c r="I325" s="8" t="inlineStr">
        <is>
          <t>worker/src/routes/admin/messaging.ts
worker/src/routes/admin/msg_plans.ts
worker/src/routes/fees/reminders.ts
worker/src/services/message_rules.ts</t>
        </is>
      </c>
      <c r="J325" s="8" t="inlineStr"/>
    </row>
    <row r="326">
      <c r="A326" s="8" t="inlineStr">
        <is>
          <t>School (one per school)</t>
        </is>
      </c>
      <c r="B326" s="8" t="inlineStr">
        <is>
          <t>messaging_allowed_recipients</t>
        </is>
      </c>
      <c r="C326" s="11" t="inlineStr">
        <is>
          <t>Good</t>
        </is>
      </c>
      <c r="D326" s="8" t="n">
        <v>8</v>
      </c>
      <c r="E326" s="8" t="n">
        <v>1</v>
      </c>
      <c r="F326" s="8" t="n">
        <v>2</v>
      </c>
      <c r="G326" s="8" t="inlineStr">
        <is>
          <t>0001_baseline.sql</t>
        </is>
      </c>
      <c r="H326" s="8" t="n">
        <v>2</v>
      </c>
      <c r="I326" s="8" t="inlineStr">
        <is>
          <t>worker/src/routes/admin/msg_guard.ts
worker/src/routes/admin/whatsapp.ts</t>
        </is>
      </c>
      <c r="J326" s="8" t="inlineStr"/>
    </row>
    <row r="327">
      <c r="A327" s="8" t="inlineStr">
        <is>
          <t>School (one per school)</t>
        </is>
      </c>
      <c r="B327" s="8" t="inlineStr">
        <is>
          <t>messaging_recipient_policy</t>
        </is>
      </c>
      <c r="C327" s="11" t="inlineStr">
        <is>
          <t>Good</t>
        </is>
      </c>
      <c r="D327" s="8" t="n">
        <v>6</v>
      </c>
      <c r="E327" s="8" t="n">
        <v>0</v>
      </c>
      <c r="F327" s="8" t="n">
        <v>2</v>
      </c>
      <c r="G327" s="8" t="inlineStr">
        <is>
          <t>0001_baseline.sql</t>
        </is>
      </c>
      <c r="H327" s="8" t="n">
        <v>3</v>
      </c>
      <c r="I327" s="8" t="inlineStr">
        <is>
          <t>worker/src/routes/admin/msg_guard.ts
worker/src/routes/admin/whatsapp.ts
worker/src/routes/comms/message_test.ts</t>
        </is>
      </c>
      <c r="J327" s="8" t="inlineStr"/>
    </row>
    <row r="328">
      <c r="A328" s="8" t="inlineStr">
        <is>
          <t>School (one per school)</t>
        </is>
      </c>
      <c r="B328" s="8" t="inlineStr">
        <is>
          <t>module_settings</t>
        </is>
      </c>
      <c r="C328" s="11" t="inlineStr">
        <is>
          <t>Good</t>
        </is>
      </c>
      <c r="D328" s="8" t="n">
        <v>4</v>
      </c>
      <c r="E328" s="8" t="n">
        <v>1</v>
      </c>
      <c r="F328" s="8" t="n">
        <v>1</v>
      </c>
      <c r="G328" s="8" t="inlineStr">
        <is>
          <t>0001_baseline.sql</t>
        </is>
      </c>
      <c r="H328" s="8" t="n">
        <v>20</v>
      </c>
      <c r="I328" s="8" t="inlineStr">
        <is>
          <t>worker/src/routes/admin/platform_config.ts
worker/src/routes/admin/session_activity.ts
worker/src/routes/admin/student_logins.ts
worker/src/routes/admin/users.ts
worker/src/routes/admissions/util.ts
worker/src/routes/ai/briefs.ts
… +14 more</t>
        </is>
      </c>
      <c r="J328" s="8" t="inlineStr"/>
    </row>
    <row r="329">
      <c r="A329" s="8" t="inlineStr">
        <is>
          <t>School (one per school)</t>
        </is>
      </c>
      <c r="B329" s="8" t="inlineStr">
        <is>
          <t>montessori_materials</t>
        </is>
      </c>
      <c r="C329" s="11" t="inlineStr">
        <is>
          <t>Good</t>
        </is>
      </c>
      <c r="D329" s="8" t="n">
        <v>10</v>
      </c>
      <c r="E329" s="8" t="n">
        <v>2</v>
      </c>
      <c r="F329" s="8" t="n">
        <v>1</v>
      </c>
      <c r="G329" s="8" t="inlineStr">
        <is>
          <t>0001_baseline.sql</t>
        </is>
      </c>
      <c r="H329" s="8" t="n">
        <v>1</v>
      </c>
      <c r="I329" s="8" t="inlineStr">
        <is>
          <t>worker/src/routes/comms/classroom.ts</t>
        </is>
      </c>
      <c r="J329" s="8" t="inlineStr"/>
    </row>
    <row r="330">
      <c r="A330" s="8" t="inlineStr">
        <is>
          <t>School (one per school)</t>
        </is>
      </c>
      <c r="B330" s="8" t="inlineStr">
        <is>
          <t>montessori_progress</t>
        </is>
      </c>
      <c r="C330" s="11" t="inlineStr">
        <is>
          <t>Good</t>
        </is>
      </c>
      <c r="D330" s="8" t="n">
        <v>9</v>
      </c>
      <c r="E330" s="8" t="n">
        <v>2</v>
      </c>
      <c r="F330" s="8" t="n">
        <v>4</v>
      </c>
      <c r="G330" s="8" t="inlineStr">
        <is>
          <t>0001_baseline.sql</t>
        </is>
      </c>
      <c r="H330" s="8" t="n">
        <v>1</v>
      </c>
      <c r="I330" s="8" t="inlineStr">
        <is>
          <t>worker/src/routes/comms/classroom.ts</t>
        </is>
      </c>
      <c r="J330" s="8" t="inlineStr"/>
    </row>
    <row r="331">
      <c r="A331" s="8" t="inlineStr">
        <is>
          <t>School (one per school)</t>
        </is>
      </c>
      <c r="B331" s="8" t="inlineStr">
        <is>
          <t>night_study_attendance</t>
        </is>
      </c>
      <c r="C331" s="11" t="inlineStr">
        <is>
          <t>Good</t>
        </is>
      </c>
      <c r="D331" s="8" t="n">
        <v>11</v>
      </c>
      <c r="E331" s="8" t="n">
        <v>2</v>
      </c>
      <c r="F331" s="8" t="n">
        <v>3</v>
      </c>
      <c r="G331" s="8" t="inlineStr">
        <is>
          <t>0001_baseline.sql</t>
        </is>
      </c>
      <c r="H331" s="8" t="n">
        <v>1</v>
      </c>
      <c r="I331" s="8" t="inlineStr">
        <is>
          <t>worker/src/routes/ops/infirmary.ts</t>
        </is>
      </c>
      <c r="J331" s="8" t="inlineStr"/>
    </row>
    <row r="332">
      <c r="A332" s="8" t="inlineStr">
        <is>
          <t>School (one per school)</t>
        </is>
      </c>
      <c r="B332" s="8" t="inlineStr">
        <is>
          <t>notifications</t>
        </is>
      </c>
      <c r="C332" s="11" t="inlineStr">
        <is>
          <t>Good</t>
        </is>
      </c>
      <c r="D332" s="8" t="n">
        <v>14</v>
      </c>
      <c r="E332" s="8" t="n">
        <v>9</v>
      </c>
      <c r="F332" s="8" t="n">
        <v>3</v>
      </c>
      <c r="G332" s="8" t="inlineStr">
        <is>
          <t>0001_baseline.sql</t>
        </is>
      </c>
      <c r="H332" s="8" t="n">
        <v>21</v>
      </c>
      <c r="I332" s="8" t="inlineStr">
        <is>
          <t>worker/src/routes/admin/loose.ts
worker/src/routes/comms/class_status.ts
worker/src/routes/comms/concern_shared.ts
worker/src/routes/comms/delivery.ts
worker/src/routes/daily.ts
worker/src/routes/exams.ts
… +15 more</t>
        </is>
      </c>
      <c r="J332" s="8" t="inlineStr"/>
    </row>
    <row r="333">
      <c r="A333" s="8" t="inlineStr">
        <is>
          <t>School (one per school)</t>
        </is>
      </c>
      <c r="B333" s="8" t="inlineStr">
        <is>
          <t>numbering_fy_counters</t>
        </is>
      </c>
      <c r="C333" s="11" t="inlineStr">
        <is>
          <t>Good</t>
        </is>
      </c>
      <c r="D333" s="8" t="n">
        <v>4</v>
      </c>
      <c r="E333" s="8" t="n">
        <v>0</v>
      </c>
      <c r="F333" s="8" t="n">
        <v>1</v>
      </c>
      <c r="G333" s="8" t="inlineStr">
        <is>
          <t>0001_baseline.sql</t>
        </is>
      </c>
      <c r="H333" s="8" t="n">
        <v>7</v>
      </c>
      <c r="I333" s="8" t="inlineStr">
        <is>
          <t>worker/src/routes/admissions/util.ts
worker/src/routes/exams/common.ts
worker/src/routes/fees/collections.ts
worker/src/routes/fees/numbering.ts
worker/src/routes/portal/family.ts
worker/src/routes/portal/requests.ts
… +1 more</t>
        </is>
      </c>
      <c r="J333" s="8" t="inlineStr"/>
    </row>
    <row r="334">
      <c r="A334" s="8" t="inlineStr">
        <is>
          <t>School (one per school)</t>
        </is>
      </c>
      <c r="B334" s="8" t="inlineStr">
        <is>
          <t>numbering_schemes</t>
        </is>
      </c>
      <c r="C334" s="11" t="inlineStr">
        <is>
          <t>Good</t>
        </is>
      </c>
      <c r="D334" s="8" t="n">
        <v>14</v>
      </c>
      <c r="E334" s="8" t="n">
        <v>1</v>
      </c>
      <c r="F334" s="8" t="n">
        <v>2</v>
      </c>
      <c r="G334" s="8" t="inlineStr">
        <is>
          <t>0001_baseline.sql</t>
        </is>
      </c>
      <c r="H334" s="8" t="n">
        <v>10</v>
      </c>
      <c r="I334" s="8" t="inlineStr">
        <is>
          <t>worker/src/routes/admin/platform_config.ts
worker/src/routes/admissions/util.ts
worker/src/routes/exams/common.ts
worker/src/routes/fees/collections.ts
worker/src/routes/fees/fee_engine.ts
worker/src/routes/fees/numbering.ts
… +4 more</t>
        </is>
      </c>
      <c r="J334" s="8" t="inlineStr"/>
    </row>
    <row r="335">
      <c r="A335" s="8" t="inlineStr">
        <is>
          <t>School (one per school)</t>
        </is>
      </c>
      <c r="B335" s="8" t="inlineStr">
        <is>
          <t>online_test_attempts</t>
        </is>
      </c>
      <c r="C335" s="11" t="inlineStr">
        <is>
          <t>Good</t>
        </is>
      </c>
      <c r="D335" s="8" t="n">
        <v>16</v>
      </c>
      <c r="E335" s="8" t="n">
        <v>3</v>
      </c>
      <c r="F335" s="8" t="n">
        <v>5</v>
      </c>
      <c r="G335" s="8" t="inlineStr">
        <is>
          <t>0001_baseline.sql</t>
        </is>
      </c>
      <c r="H335" s="8" t="n">
        <v>4</v>
      </c>
      <c r="I335" s="8" t="inlineStr">
        <is>
          <t>worker/src/routes/comms/grading.ts
worker/src/routes/portal/lms.ts
worker/src/routes/teaching/lms.ts
worker/src/routes/teaching/lms_progress.ts</t>
        </is>
      </c>
      <c r="J335" s="8" t="inlineStr"/>
    </row>
    <row r="336">
      <c r="A336" s="8" t="inlineStr">
        <is>
          <t>School (one per school)</t>
        </is>
      </c>
      <c r="B336" s="8" t="inlineStr">
        <is>
          <t>online_test_questions</t>
        </is>
      </c>
      <c r="C336" s="11" t="inlineStr">
        <is>
          <t>Good</t>
        </is>
      </c>
      <c r="D336" s="8" t="n">
        <v>7</v>
      </c>
      <c r="E336" s="8" t="n">
        <v>3</v>
      </c>
      <c r="F336" s="8" t="n">
        <v>3</v>
      </c>
      <c r="G336" s="8" t="inlineStr">
        <is>
          <t>0001_baseline.sql</t>
        </is>
      </c>
      <c r="H336" s="8" t="n">
        <v>4</v>
      </c>
      <c r="I336" s="8" t="inlineStr">
        <is>
          <t>worker/src/routes/comms/grading.ts
worker/src/routes/portal/lms.ts
worker/src/routes/teaching/assessment.ts
worker/src/routes/teaching/lms.ts</t>
        </is>
      </c>
      <c r="J336" s="8" t="inlineStr"/>
    </row>
    <row r="337">
      <c r="A337" s="8" t="inlineStr">
        <is>
          <t>School (one per school)</t>
        </is>
      </c>
      <c r="B337" s="8" t="inlineStr">
        <is>
          <t>online_test_responses</t>
        </is>
      </c>
      <c r="C337" s="11" t="inlineStr">
        <is>
          <t>Good</t>
        </is>
      </c>
      <c r="D337" s="8" t="n">
        <v>9</v>
      </c>
      <c r="E337" s="8" t="n">
        <v>2</v>
      </c>
      <c r="F337" s="8" t="n">
        <v>3</v>
      </c>
      <c r="G337" s="8" t="inlineStr">
        <is>
          <t>0001_baseline.sql</t>
        </is>
      </c>
      <c r="H337" s="8" t="n">
        <v>2</v>
      </c>
      <c r="I337" s="8" t="inlineStr">
        <is>
          <t>worker/src/routes/comms/grading.ts
worker/src/routes/portal/lms.ts</t>
        </is>
      </c>
      <c r="J337" s="8" t="inlineStr"/>
    </row>
    <row r="338">
      <c r="A338" s="8" t="inlineStr">
        <is>
          <t>School (one per school)</t>
        </is>
      </c>
      <c r="B338" s="8" t="inlineStr">
        <is>
          <t>online_tests</t>
        </is>
      </c>
      <c r="C338" s="11" t="inlineStr">
        <is>
          <t>Good</t>
        </is>
      </c>
      <c r="D338" s="8" t="n">
        <v>17</v>
      </c>
      <c r="E338" s="8" t="n">
        <v>3</v>
      </c>
      <c r="F338" s="8" t="n">
        <v>4</v>
      </c>
      <c r="G338" s="8" t="inlineStr">
        <is>
          <t>0001_baseline.sql</t>
        </is>
      </c>
      <c r="H338" s="8" t="n">
        <v>5</v>
      </c>
      <c r="I338" s="8" t="inlineStr">
        <is>
          <t>worker/src/routes/comms/grading.ts
worker/src/routes/portal/lms.ts
worker/src/routes/teaching/assessment.ts
worker/src/routes/teaching/lms.ts
worker/src/routes/teaching/lms_progress.ts</t>
        </is>
      </c>
      <c r="J338" s="8" t="inlineStr"/>
    </row>
    <row r="339">
      <c r="A339" s="8" t="inlineStr">
        <is>
          <t>School (one per school)</t>
        </is>
      </c>
      <c r="B339" s="8" t="inlineStr">
        <is>
          <t>outcome_assessments</t>
        </is>
      </c>
      <c r="C339" s="11" t="inlineStr">
        <is>
          <t>Good</t>
        </is>
      </c>
      <c r="D339" s="8" t="n">
        <v>5</v>
      </c>
      <c r="E339" s="8" t="n">
        <v>1</v>
      </c>
      <c r="F339" s="8" t="n">
        <v>3</v>
      </c>
      <c r="G339" s="8" t="inlineStr">
        <is>
          <t>0001_baseline.sql</t>
        </is>
      </c>
      <c r="H339" s="8" t="n">
        <v>1</v>
      </c>
      <c r="I339" s="8" t="inlineStr">
        <is>
          <t>worker/src/routes/academics/admin.ts</t>
        </is>
      </c>
      <c r="J339" s="8" t="inlineStr"/>
    </row>
    <row r="340">
      <c r="A340" s="8" t="inlineStr">
        <is>
          <t>School (one per school)</t>
        </is>
      </c>
      <c r="B340" s="8" t="inlineStr">
        <is>
          <t>parent_forum_posts</t>
        </is>
      </c>
      <c r="C340" s="10" t="inlineStr">
        <is>
          <t>Check</t>
        </is>
      </c>
      <c r="D340" s="8" t="n">
        <v>13</v>
      </c>
      <c r="E340" s="8" t="n">
        <v>3</v>
      </c>
      <c r="F340" s="8" t="n">
        <v>5</v>
      </c>
      <c r="G340" s="8" t="inlineStr">
        <is>
          <t>0001_baseline.sql</t>
        </is>
      </c>
      <c r="H340" s="8" t="n">
        <v>0</v>
      </c>
      <c r="I340" s="8" t="inlineStr"/>
      <c r="J340" s="8" t="inlineStr">
        <is>
          <t>No backend code reads or writes this table.</t>
        </is>
      </c>
    </row>
    <row r="341">
      <c r="A341" s="8" t="inlineStr">
        <is>
          <t>School (one per school)</t>
        </is>
      </c>
      <c r="B341" s="8" t="inlineStr">
        <is>
          <t>parent_forum_reports</t>
        </is>
      </c>
      <c r="C341" s="10" t="inlineStr">
        <is>
          <t>Check</t>
        </is>
      </c>
      <c r="D341" s="8" t="n">
        <v>10</v>
      </c>
      <c r="E341" s="8" t="n">
        <v>3</v>
      </c>
      <c r="F341" s="8" t="n">
        <v>3</v>
      </c>
      <c r="G341" s="8" t="inlineStr">
        <is>
          <t>0001_baseline.sql</t>
        </is>
      </c>
      <c r="H341" s="8" t="n">
        <v>0</v>
      </c>
      <c r="I341" s="8" t="inlineStr"/>
      <c r="J341" s="8" t="inlineStr">
        <is>
          <t>No backend code reads or writes this table.</t>
        </is>
      </c>
    </row>
    <row r="342">
      <c r="A342" s="8" t="inlineStr">
        <is>
          <t>School (one per school)</t>
        </is>
      </c>
      <c r="B342" s="8" t="inlineStr">
        <is>
          <t>parent_forum_settings</t>
        </is>
      </c>
      <c r="C342" s="10" t="inlineStr">
        <is>
          <t>Check</t>
        </is>
      </c>
      <c r="D342" s="8" t="n">
        <v>6</v>
      </c>
      <c r="E342" s="8" t="n">
        <v>0</v>
      </c>
      <c r="F342" s="8" t="n">
        <v>2</v>
      </c>
      <c r="G342" s="8" t="inlineStr">
        <is>
          <t>0001_baseline.sql</t>
        </is>
      </c>
      <c r="H342" s="8" t="n">
        <v>0</v>
      </c>
      <c r="I342" s="8" t="inlineStr"/>
      <c r="J342" s="8" t="inlineStr">
        <is>
          <t>No backend code reads or writes this table.</t>
        </is>
      </c>
    </row>
    <row r="343">
      <c r="A343" s="8" t="inlineStr">
        <is>
          <t>School (one per school)</t>
        </is>
      </c>
      <c r="B343" s="8" t="inlineStr">
        <is>
          <t>parent_forum_threads</t>
        </is>
      </c>
      <c r="C343" s="10" t="inlineStr">
        <is>
          <t>Check</t>
        </is>
      </c>
      <c r="D343" s="8" t="n">
        <v>23</v>
      </c>
      <c r="E343" s="8" t="n">
        <v>3</v>
      </c>
      <c r="F343" s="8" t="n">
        <v>9</v>
      </c>
      <c r="G343" s="8" t="inlineStr">
        <is>
          <t>0001_baseline.sql</t>
        </is>
      </c>
      <c r="H343" s="8" t="n">
        <v>0</v>
      </c>
      <c r="I343" s="8" t="inlineStr"/>
      <c r="J343" s="8" t="inlineStr">
        <is>
          <t>No backend code reads or writes this table.</t>
        </is>
      </c>
    </row>
    <row r="344">
      <c r="A344" s="8" t="inlineStr">
        <is>
          <t>School (one per school)</t>
        </is>
      </c>
      <c r="B344" s="8" t="inlineStr">
        <is>
          <t>parent_teacher_messages</t>
        </is>
      </c>
      <c r="C344" s="11" t="inlineStr">
        <is>
          <t>Good</t>
        </is>
      </c>
      <c r="D344" s="8" t="n">
        <v>13</v>
      </c>
      <c r="E344" s="8" t="n">
        <v>4</v>
      </c>
      <c r="F344" s="8" t="n">
        <v>5</v>
      </c>
      <c r="G344" s="8" t="inlineStr">
        <is>
          <t>0001_baseline.sql</t>
        </is>
      </c>
      <c r="H344" s="8" t="n">
        <v>6</v>
      </c>
      <c r="I344" s="8" t="inlineStr">
        <is>
          <t>worker/src/routes/admin/inbox.ts
worker/src/routes/admin/loose.ts
worker/src/routes/admin/security.ts
worker/src/routes/misc/chat.ts
worker/src/routes/portal/requests.ts
worker/src/routes/teaching/dashboards.ts</t>
        </is>
      </c>
      <c r="J344" s="8" t="inlineStr"/>
    </row>
    <row r="345">
      <c r="A345" s="8" t="inlineStr">
        <is>
          <t>School (one per school)</t>
        </is>
      </c>
      <c r="B345" s="8" t="inlineStr">
        <is>
          <t>password_resets</t>
        </is>
      </c>
      <c r="C345" s="11" t="inlineStr">
        <is>
          <t>Good</t>
        </is>
      </c>
      <c r="D345" s="8" t="n">
        <v>7</v>
      </c>
      <c r="E345" s="8" t="n">
        <v>2</v>
      </c>
      <c r="F345" s="8" t="n">
        <v>1</v>
      </c>
      <c r="G345" s="8" t="inlineStr">
        <is>
          <t>0001_baseline.sql</t>
        </is>
      </c>
      <c r="H345" s="8" t="n">
        <v>1</v>
      </c>
      <c r="I345" s="8" t="inlineStr">
        <is>
          <t>worker/src/pages/reset.ts</t>
        </is>
      </c>
      <c r="J345" s="8" t="inlineStr"/>
    </row>
    <row r="346">
      <c r="A346" s="8" t="inlineStr">
        <is>
          <t>School (one per school)</t>
        </is>
      </c>
      <c r="B346" s="8" t="inlineStr">
        <is>
          <t>payment_allocations</t>
        </is>
      </c>
      <c r="C346" s="11" t="inlineStr">
        <is>
          <t>Good</t>
        </is>
      </c>
      <c r="D346" s="8" t="n">
        <v>6</v>
      </c>
      <c r="E346" s="8" t="n">
        <v>3</v>
      </c>
      <c r="F346" s="8" t="n">
        <v>3</v>
      </c>
      <c r="G346" s="8" t="inlineStr">
        <is>
          <t>0001_baseline.sql</t>
        </is>
      </c>
      <c r="H346" s="8" t="n">
        <v>7</v>
      </c>
      <c r="I346" s="8" t="inlineStr">
        <is>
          <t>worker/src/routes/admin/export.ts
worker/src/routes/fees/common.ts
worker/src/routes/fees/counter.ts
worker/src/routes/fees/invoicing.ts
worker/src/routes/growth/rollups.ts
worker/src/routes/portal/family.ts
… +1 more</t>
        </is>
      </c>
      <c r="J346" s="8" t="inlineStr"/>
    </row>
    <row r="347">
      <c r="A347" s="8" t="inlineStr">
        <is>
          <t>School (one per school)</t>
        </is>
      </c>
      <c r="B347" s="8" t="inlineStr">
        <is>
          <t>payment_gateway_credentials</t>
        </is>
      </c>
      <c r="C347" s="11" t="inlineStr">
        <is>
          <t>Good</t>
        </is>
      </c>
      <c r="D347" s="8" t="n">
        <v>11</v>
      </c>
      <c r="E347" s="8" t="n">
        <v>1</v>
      </c>
      <c r="F347" s="8" t="n">
        <v>2</v>
      </c>
      <c r="G347" s="8" t="inlineStr">
        <is>
          <t>0001_baseline.sql</t>
        </is>
      </c>
      <c r="H347" s="8" t="n">
        <v>1</v>
      </c>
      <c r="I347" s="8" t="inlineStr">
        <is>
          <t>worker/src/routes/admin/platform_gateways.ts</t>
        </is>
      </c>
      <c r="J347" s="8" t="inlineStr"/>
    </row>
    <row r="348">
      <c r="A348" s="8" t="inlineStr">
        <is>
          <t>School (one per school)</t>
        </is>
      </c>
      <c r="B348" s="8" t="inlineStr">
        <is>
          <t>payments</t>
        </is>
      </c>
      <c r="C348" s="11" t="inlineStr">
        <is>
          <t>Good</t>
        </is>
      </c>
      <c r="D348" s="8" t="n">
        <v>25</v>
      </c>
      <c r="E348" s="8" t="n">
        <v>12</v>
      </c>
      <c r="F348" s="8" t="n">
        <v>5</v>
      </c>
      <c r="G348" s="8" t="inlineStr">
        <is>
          <t>0001_baseline.sql</t>
        </is>
      </c>
      <c r="H348" s="8" t="n">
        <v>33</v>
      </c>
      <c r="I348" s="8" t="inlineStr">
        <is>
          <t>worker/src/routes/admin/export.ts
worker/src/routes/admin/loose.ts
worker/src/routes/admin/metrics.ts
worker/src/routes/admin/platform_config.ts
worker/src/routes/admin/security.ts
worker/src/routes/admin/users.ts
… +27 more</t>
        </is>
      </c>
      <c r="J348" s="8" t="inlineStr"/>
    </row>
    <row r="349">
      <c r="A349" s="8" t="inlineStr">
        <is>
          <t>School (one per school)</t>
        </is>
      </c>
      <c r="B349" s="8" t="inlineStr">
        <is>
          <t>payout_batches</t>
        </is>
      </c>
      <c r="C349" s="11" t="inlineStr">
        <is>
          <t>Good</t>
        </is>
      </c>
      <c r="D349" s="8" t="n">
        <v>19</v>
      </c>
      <c r="E349" s="8" t="n">
        <v>2</v>
      </c>
      <c r="F349" s="8" t="n">
        <v>6</v>
      </c>
      <c r="G349" s="8" t="inlineStr">
        <is>
          <t>0001_baseline.sql</t>
        </is>
      </c>
      <c r="H349" s="8" t="n">
        <v>1</v>
      </c>
      <c r="I349" s="8" t="inlineStr">
        <is>
          <t>worker/src/routes/fees/banking.ts</t>
        </is>
      </c>
      <c r="J349" s="8" t="inlineStr"/>
    </row>
    <row r="350">
      <c r="A350" s="8" t="inlineStr">
        <is>
          <t>School (one per school)</t>
        </is>
      </c>
      <c r="B350" s="8" t="inlineStr">
        <is>
          <t>payout_items</t>
        </is>
      </c>
      <c r="C350" s="11" t="inlineStr">
        <is>
          <t>Good</t>
        </is>
      </c>
      <c r="D350" s="8" t="n">
        <v>19</v>
      </c>
      <c r="E350" s="8" t="n">
        <v>2</v>
      </c>
      <c r="F350" s="8" t="n">
        <v>5</v>
      </c>
      <c r="G350" s="8" t="inlineStr">
        <is>
          <t>0001_baseline.sql</t>
        </is>
      </c>
      <c r="H350" s="8" t="n">
        <v>1</v>
      </c>
      <c r="I350" s="8" t="inlineStr">
        <is>
          <t>worker/src/routes/fees/banking.ts</t>
        </is>
      </c>
      <c r="J350" s="8" t="inlineStr"/>
    </row>
    <row r="351">
      <c r="A351" s="8" t="inlineStr">
        <is>
          <t>School (one per school)</t>
        </is>
      </c>
      <c r="B351" s="8" t="inlineStr">
        <is>
          <t>payroll_runs</t>
        </is>
      </c>
      <c r="C351" s="11" t="inlineStr">
        <is>
          <t>Good</t>
        </is>
      </c>
      <c r="D351" s="8" t="n">
        <v>14</v>
      </c>
      <c r="E351" s="8" t="n">
        <v>0</v>
      </c>
      <c r="F351" s="8" t="n">
        <v>2</v>
      </c>
      <c r="G351" s="8" t="inlineStr">
        <is>
          <t>0001_baseline.sql</t>
        </is>
      </c>
      <c r="H351" s="8" t="n">
        <v>7</v>
      </c>
      <c r="I351" s="8" t="inlineStr">
        <is>
          <t>worker/src/routes/admin/export.ts
worker/src/routes/admin/loose.ts
worker/src/routes/daily.ts
worker/src/routes/fees/banking.ts
worker/src/routes/payroll.ts
worker/src/routes/setup/imports.ts
… +1 more</t>
        </is>
      </c>
      <c r="J351" s="8" t="inlineStr"/>
    </row>
    <row r="352">
      <c r="A352" s="8" t="inlineStr">
        <is>
          <t>School (one per school)</t>
        </is>
      </c>
      <c r="B352" s="8" t="inlineStr">
        <is>
          <t>payroll_settings</t>
        </is>
      </c>
      <c r="C352" s="11" t="inlineStr">
        <is>
          <t>Good</t>
        </is>
      </c>
      <c r="D352" s="8" t="n">
        <v>25</v>
      </c>
      <c r="E352" s="8" t="n">
        <v>0</v>
      </c>
      <c r="F352" s="8" t="n">
        <v>1</v>
      </c>
      <c r="G352" s="8" t="inlineStr">
        <is>
          <t>0001_baseline.sql</t>
        </is>
      </c>
      <c r="H352" s="8" t="n">
        <v>1</v>
      </c>
      <c r="I352" s="8" t="inlineStr">
        <is>
          <t>worker/src/routes/payroll.ts</t>
        </is>
      </c>
      <c r="J352" s="8" t="inlineStr"/>
    </row>
    <row r="353">
      <c r="A353" s="8" t="inlineStr">
        <is>
          <t>School (one per school)</t>
        </is>
      </c>
      <c r="B353" s="8" t="inlineStr">
        <is>
          <t>payslips</t>
        </is>
      </c>
      <c r="C353" s="11" t="inlineStr">
        <is>
          <t>Good</t>
        </is>
      </c>
      <c r="D353" s="8" t="n">
        <v>11</v>
      </c>
      <c r="E353" s="8" t="n">
        <v>0</v>
      </c>
      <c r="F353" s="8" t="n">
        <v>3</v>
      </c>
      <c r="G353" s="8" t="inlineStr">
        <is>
          <t>0001_baseline.sql</t>
        </is>
      </c>
      <c r="H353" s="8" t="n">
        <v>7</v>
      </c>
      <c r="I353" s="8" t="inlineStr">
        <is>
          <t>worker/src/routes/admin/export.ts
worker/src/routes/admin/loose.ts
worker/src/routes/daily.ts
worker/src/routes/fees/banking.ts
worker/src/routes/payroll.ts
worker/src/routes/setup/imports.ts
… +1 more</t>
        </is>
      </c>
      <c r="J353" s="8" t="inlineStr"/>
    </row>
    <row r="354">
      <c r="A354" s="8" t="inlineStr">
        <is>
          <t>School (one per school)</t>
        </is>
      </c>
      <c r="B354" s="8" t="inlineStr">
        <is>
          <t>period_closes</t>
        </is>
      </c>
      <c r="C354" s="11" t="inlineStr">
        <is>
          <t>Good</t>
        </is>
      </c>
      <c r="D354" s="8" t="n">
        <v>10</v>
      </c>
      <c r="E354" s="8" t="n">
        <v>1</v>
      </c>
      <c r="F354" s="8" t="n">
        <v>5</v>
      </c>
      <c r="G354" s="8" t="inlineStr">
        <is>
          <t>0001_baseline.sql</t>
        </is>
      </c>
      <c r="H354" s="8" t="n">
        <v>5</v>
      </c>
      <c r="I354" s="8" t="inlineStr">
        <is>
          <t>worker/src/routes/admin/period_close.ts
worker/src/routes/daily.ts
worker/src/routes/exams/common.ts
worker/src/routes/fees/common.ts
worker/src/routes/hr/attendance.ts</t>
        </is>
      </c>
      <c r="J354" s="8" t="inlineStr"/>
    </row>
    <row r="355">
      <c r="A355" s="8" t="inlineStr">
        <is>
          <t>School (one per school)</t>
        </is>
      </c>
      <c r="B355" s="8" t="inlineStr">
        <is>
          <t>periods</t>
        </is>
      </c>
      <c r="C355" s="11" t="inlineStr">
        <is>
          <t>Good</t>
        </is>
      </c>
      <c r="D355" s="8" t="n">
        <v>9</v>
      </c>
      <c r="E355" s="8" t="n">
        <v>1</v>
      </c>
      <c r="F355" s="8" t="n">
        <v>3</v>
      </c>
      <c r="G355" s="8" t="inlineStr">
        <is>
          <t>0001_baseline.sql</t>
        </is>
      </c>
      <c r="H355" s="8" t="n">
        <v>16</v>
      </c>
      <c r="I355" s="8" t="inlineStr">
        <is>
          <t>worker/src/routes/academics/admin.ts
worker/src/routes/comms/classroom.ts
worker/src/routes/daily.ts
worker/src/routes/growth/hr_training.ts
worker/src/routes/growth/rollups.ts
worker/src/routes/portal/family.ts
… +10 more</t>
        </is>
      </c>
      <c r="J355" s="8" t="inlineStr"/>
    </row>
    <row r="356">
      <c r="A356" s="8" t="inlineStr">
        <is>
          <t>School (one per school)</t>
        </is>
      </c>
      <c r="B356" s="8" t="inlineStr">
        <is>
          <t>permissions</t>
        </is>
      </c>
      <c r="C356" s="11" t="inlineStr">
        <is>
          <t>Good</t>
        </is>
      </c>
      <c r="D356" s="8" t="n">
        <v>3</v>
      </c>
      <c r="E356" s="8" t="n">
        <v>0</v>
      </c>
      <c r="F356" s="8" t="n">
        <v>0</v>
      </c>
      <c r="G356" s="8" t="inlineStr">
        <is>
          <t>0001_baseline.sql</t>
        </is>
      </c>
      <c r="H356" s="8" t="n">
        <v>5</v>
      </c>
      <c r="I356" s="8" t="inlineStr">
        <is>
          <t>worker/src/routes/admin/loose.ts
worker/src/routes/admin/ops_purchasing.ts
worker/src/routes/admin/users.ts
worker/src/routes/setup/common.ts
worker/src/services/provision.ts</t>
        </is>
      </c>
      <c r="J356" s="8" t="inlineStr"/>
    </row>
    <row r="357">
      <c r="A357" s="8" t="inlineStr">
        <is>
          <t>School (one per school)</t>
        </is>
      </c>
      <c r="B357" s="8" t="inlineStr">
        <is>
          <t>person_group_members</t>
        </is>
      </c>
      <c r="C357" s="11" t="inlineStr">
        <is>
          <t>Good</t>
        </is>
      </c>
      <c r="D357" s="8" t="n">
        <v>6</v>
      </c>
      <c r="E357" s="8" t="n">
        <v>2</v>
      </c>
      <c r="F357" s="8" t="n">
        <v>5</v>
      </c>
      <c r="G357" s="8" t="inlineStr">
        <is>
          <t>0001_baseline.sql</t>
        </is>
      </c>
      <c r="H357" s="8" t="n">
        <v>1</v>
      </c>
      <c r="I357" s="8" t="inlineStr">
        <is>
          <t>worker/src/routes/growth/people.ts</t>
        </is>
      </c>
      <c r="J357" s="8" t="inlineStr"/>
    </row>
    <row r="358">
      <c r="A358" s="8" t="inlineStr">
        <is>
          <t>School (one per school)</t>
        </is>
      </c>
      <c r="B358" s="8" t="inlineStr">
        <is>
          <t>person_groups</t>
        </is>
      </c>
      <c r="C358" s="11" t="inlineStr">
        <is>
          <t>Good</t>
        </is>
      </c>
      <c r="D358" s="8" t="n">
        <v>9</v>
      </c>
      <c r="E358" s="8" t="n">
        <v>1</v>
      </c>
      <c r="F358" s="8" t="n">
        <v>2</v>
      </c>
      <c r="G358" s="8" t="inlineStr">
        <is>
          <t>0001_baseline.sql</t>
        </is>
      </c>
      <c r="H358" s="8" t="n">
        <v>1</v>
      </c>
      <c r="I358" s="8" t="inlineStr">
        <is>
          <t>worker/src/routes/growth/people.ts</t>
        </is>
      </c>
      <c r="J358" s="8" t="inlineStr"/>
    </row>
    <row r="359">
      <c r="A359" s="8" t="inlineStr">
        <is>
          <t>School (one per school)</t>
        </is>
      </c>
      <c r="B359" s="8" t="inlineStr">
        <is>
          <t>petty_cash_counts</t>
        </is>
      </c>
      <c r="C359" s="11" t="inlineStr">
        <is>
          <t>Good</t>
        </is>
      </c>
      <c r="D359" s="8" t="n">
        <v>9</v>
      </c>
      <c r="E359" s="8" t="n">
        <v>1</v>
      </c>
      <c r="F359" s="8" t="n">
        <v>2</v>
      </c>
      <c r="G359" s="8" t="inlineStr">
        <is>
          <t>0001_baseline.sql</t>
        </is>
      </c>
      <c r="H359" s="8" t="n">
        <v>1</v>
      </c>
      <c r="I359" s="8" t="inlineStr">
        <is>
          <t>worker/src/routes/fees/ledgers.ts</t>
        </is>
      </c>
      <c r="J359" s="8" t="inlineStr"/>
    </row>
    <row r="360">
      <c r="A360" s="8" t="inlineStr">
        <is>
          <t>School (one per school)</t>
        </is>
      </c>
      <c r="B360" s="8" t="inlineStr">
        <is>
          <t>petty_cash_topups</t>
        </is>
      </c>
      <c r="C360" s="11" t="inlineStr">
        <is>
          <t>Good</t>
        </is>
      </c>
      <c r="D360" s="8" t="n">
        <v>10</v>
      </c>
      <c r="E360" s="8" t="n">
        <v>1</v>
      </c>
      <c r="F360" s="8" t="n">
        <v>4</v>
      </c>
      <c r="G360" s="8" t="inlineStr">
        <is>
          <t>0001_baseline.sql</t>
        </is>
      </c>
      <c r="H360" s="8" t="n">
        <v>1</v>
      </c>
      <c r="I360" s="8" t="inlineStr">
        <is>
          <t>worker/src/routes/fees/ledgers.ts</t>
        </is>
      </c>
      <c r="J360" s="8" t="inlineStr"/>
    </row>
    <row r="361">
      <c r="A361" s="8" t="inlineStr">
        <is>
          <t>School (one per school)</t>
        </is>
      </c>
      <c r="B361" s="8" t="inlineStr">
        <is>
          <t>petty_cash_vouchers</t>
        </is>
      </c>
      <c r="C361" s="11" t="inlineStr">
        <is>
          <t>Good</t>
        </is>
      </c>
      <c r="D361" s="8" t="n">
        <v>17</v>
      </c>
      <c r="E361" s="8" t="n">
        <v>2</v>
      </c>
      <c r="F361" s="8" t="n">
        <v>7</v>
      </c>
      <c r="G361" s="8" t="inlineStr">
        <is>
          <t>0001_baseline.sql</t>
        </is>
      </c>
      <c r="H361" s="8" t="n">
        <v>1</v>
      </c>
      <c r="I361" s="8" t="inlineStr">
        <is>
          <t>worker/src/routes/fees/ledgers.ts</t>
        </is>
      </c>
      <c r="J361" s="8" t="inlineStr"/>
    </row>
    <row r="362">
      <c r="A362" s="8" t="inlineStr">
        <is>
          <t>School (one per school)</t>
        </is>
      </c>
      <c r="B362" s="8" t="inlineStr">
        <is>
          <t>plans</t>
        </is>
      </c>
      <c r="C362" s="11" t="inlineStr">
        <is>
          <t>Good</t>
        </is>
      </c>
      <c r="D362" s="8" t="n">
        <v>11</v>
      </c>
      <c r="E362" s="8" t="n">
        <v>0</v>
      </c>
      <c r="F362" s="8" t="n">
        <v>0</v>
      </c>
      <c r="G362" s="8" t="inlineStr">
        <is>
          <t>0001_baseline.sql</t>
        </is>
      </c>
      <c r="H362" s="8" t="n">
        <v>11</v>
      </c>
      <c r="I362" s="8" t="inlineStr">
        <is>
          <t>worker/src/pages/render.ts
worker/src/routes/admin/messaging.ts
worker/src/routes/admin/platform_config.ts
worker/src/routes/misc/shell.ts
worker/src/routes/seller/billing.ts
worker/src/routes/seller/provisioning.ts
… +5 more</t>
        </is>
      </c>
      <c r="J362" s="8" t="inlineStr"/>
    </row>
    <row r="363">
      <c r="A363" s="8" t="inlineStr">
        <is>
          <t>School (one per school)</t>
        </is>
      </c>
      <c r="B363" s="8" t="inlineStr">
        <is>
          <t>platform_broadcasts</t>
        </is>
      </c>
      <c r="C363" s="11" t="inlineStr">
        <is>
          <t>Good</t>
        </is>
      </c>
      <c r="D363" s="8" t="n">
        <v>9</v>
      </c>
      <c r="E363" s="8" t="n">
        <v>1</v>
      </c>
      <c r="F363" s="8" t="n">
        <v>1</v>
      </c>
      <c r="G363" s="8" t="inlineStr">
        <is>
          <t>0001_baseline.sql</t>
        </is>
      </c>
      <c r="H363" s="8" t="n">
        <v>2</v>
      </c>
      <c r="I363" s="8" t="inlineStr">
        <is>
          <t>worker/src/routes/seller/announcements.ts
worker/src/routes/seller/platform.ts</t>
        </is>
      </c>
      <c r="J363" s="8" t="inlineStr"/>
    </row>
    <row r="364">
      <c r="A364" s="8" t="inlineStr">
        <is>
          <t>School (one per school)</t>
        </is>
      </c>
      <c r="B364" s="8" t="inlineStr">
        <is>
          <t>platform_costs</t>
        </is>
      </c>
      <c r="C364" s="11" t="inlineStr">
        <is>
          <t>Good</t>
        </is>
      </c>
      <c r="D364" s="8" t="n">
        <v>9</v>
      </c>
      <c r="E364" s="8" t="n">
        <v>0</v>
      </c>
      <c r="F364" s="8" t="n">
        <v>1</v>
      </c>
      <c r="G364" s="8" t="inlineStr">
        <is>
          <t>0001_baseline.sql</t>
        </is>
      </c>
      <c r="H364" s="8" t="n">
        <v>1</v>
      </c>
      <c r="I364" s="8" t="inlineStr">
        <is>
          <t>worker/src/routes/seller/platform.ts</t>
        </is>
      </c>
      <c r="J364" s="8" t="inlineStr"/>
    </row>
    <row r="365">
      <c r="A365" s="8" t="inlineStr">
        <is>
          <t>School (one per school)</t>
        </is>
      </c>
      <c r="B365" s="8" t="inlineStr">
        <is>
          <t>platform_events</t>
        </is>
      </c>
      <c r="C365" s="11" t="inlineStr">
        <is>
          <t>Good</t>
        </is>
      </c>
      <c r="D365" s="8" t="n">
        <v>8</v>
      </c>
      <c r="E365" s="8" t="n">
        <v>2</v>
      </c>
      <c r="F365" s="8" t="n">
        <v>2</v>
      </c>
      <c r="G365" s="8" t="inlineStr">
        <is>
          <t>0001_baseline.sql</t>
        </is>
      </c>
      <c r="H365" s="8" t="n">
        <v>4</v>
      </c>
      <c r="I365" s="8" t="inlineStr">
        <is>
          <t>worker/src/routes/seller/groups.ts
worker/src/routes/seller/platform.ts
worker/src/routes/seller/tenants.ts
worker/src/services/provision.ts</t>
        </is>
      </c>
      <c r="J365" s="8" t="inlineStr"/>
    </row>
    <row r="366">
      <c r="A366" s="8" t="inlineStr">
        <is>
          <t>School (one per school)</t>
        </is>
      </c>
      <c r="B366" s="8" t="inlineStr">
        <is>
          <t>pos_sale_lines</t>
        </is>
      </c>
      <c r="C366" s="11" t="inlineStr">
        <is>
          <t>Good</t>
        </is>
      </c>
      <c r="D366" s="8" t="n">
        <v>14</v>
      </c>
      <c r="E366" s="8" t="n">
        <v>2</v>
      </c>
      <c r="F366" s="8" t="n">
        <v>4</v>
      </c>
      <c r="G366" s="8" t="inlineStr">
        <is>
          <t>0001_baseline.sql</t>
        </is>
      </c>
      <c r="H366" s="8" t="n">
        <v>1</v>
      </c>
      <c r="I366" s="8" t="inlineStr">
        <is>
          <t>worker/src/routes/fees/collections.ts</t>
        </is>
      </c>
      <c r="J366" s="8" t="inlineStr"/>
    </row>
    <row r="367">
      <c r="A367" s="8" t="inlineStr">
        <is>
          <t>School (one per school)</t>
        </is>
      </c>
      <c r="B367" s="8" t="inlineStr">
        <is>
          <t>pos_sales</t>
        </is>
      </c>
      <c r="C367" s="11" t="inlineStr">
        <is>
          <t>Good</t>
        </is>
      </c>
      <c r="D367" s="8" t="n">
        <v>23</v>
      </c>
      <c r="E367" s="8" t="n">
        <v>5</v>
      </c>
      <c r="F367" s="8" t="n">
        <v>7</v>
      </c>
      <c r="G367" s="8" t="inlineStr">
        <is>
          <t>0001_baseline.sql</t>
        </is>
      </c>
      <c r="H367" s="8" t="n">
        <v>1</v>
      </c>
      <c r="I367" s="8" t="inlineStr">
        <is>
          <t>worker/src/routes/fees/collections.ts</t>
        </is>
      </c>
      <c r="J367" s="8" t="inlineStr"/>
    </row>
    <row r="368">
      <c r="A368" s="8" t="inlineStr">
        <is>
          <t>School (one per school)</t>
        </is>
      </c>
      <c r="B368" s="8" t="inlineStr">
        <is>
          <t>pos_terminals</t>
        </is>
      </c>
      <c r="C368" s="11" t="inlineStr">
        <is>
          <t>Good</t>
        </is>
      </c>
      <c r="D368" s="8" t="n">
        <v>10</v>
      </c>
      <c r="E368" s="8" t="n">
        <v>2</v>
      </c>
      <c r="F368" s="8" t="n">
        <v>2</v>
      </c>
      <c r="G368" s="8" t="inlineStr">
        <is>
          <t>0001_baseline.sql</t>
        </is>
      </c>
      <c r="H368" s="8" t="n">
        <v>1</v>
      </c>
      <c r="I368" s="8" t="inlineStr">
        <is>
          <t>worker/src/routes/fees/collections.ts</t>
        </is>
      </c>
      <c r="J368" s="8" t="inlineStr"/>
    </row>
    <row r="369">
      <c r="A369" s="8" t="inlineStr">
        <is>
          <t>School (one per school)</t>
        </is>
      </c>
      <c r="B369" s="8" t="inlineStr">
        <is>
          <t>pos_till_sessions</t>
        </is>
      </c>
      <c r="C369" s="11" t="inlineStr">
        <is>
          <t>Good</t>
        </is>
      </c>
      <c r="D369" s="8" t="n">
        <v>17</v>
      </c>
      <c r="E369" s="8" t="n">
        <v>3</v>
      </c>
      <c r="F369" s="8" t="n">
        <v>5</v>
      </c>
      <c r="G369" s="8" t="inlineStr">
        <is>
          <t>0001_baseline.sql</t>
        </is>
      </c>
      <c r="H369" s="8" t="n">
        <v>1</v>
      </c>
      <c r="I369" s="8" t="inlineStr">
        <is>
          <t>worker/src/routes/fees/collections.ts</t>
        </is>
      </c>
      <c r="J369" s="8" t="inlineStr"/>
    </row>
    <row r="370">
      <c r="A370" s="8" t="inlineStr">
        <is>
          <t>School (one per school)</t>
        </is>
      </c>
      <c r="B370" s="8" t="inlineStr">
        <is>
          <t>programme_outcomes</t>
        </is>
      </c>
      <c r="C370" s="11" t="inlineStr">
        <is>
          <t>Good</t>
        </is>
      </c>
      <c r="D370" s="8" t="n">
        <v>7</v>
      </c>
      <c r="E370" s="8" t="n">
        <v>1</v>
      </c>
      <c r="F370" s="8" t="n">
        <v>1</v>
      </c>
      <c r="G370" s="8" t="inlineStr">
        <is>
          <t>0001_baseline.sql</t>
        </is>
      </c>
      <c r="H370" s="8" t="n">
        <v>1</v>
      </c>
      <c r="I370" s="8" t="inlineStr">
        <is>
          <t>worker/src/routes/academics/admin.ts</t>
        </is>
      </c>
      <c r="J370" s="8" t="inlineStr"/>
    </row>
    <row r="371">
      <c r="A371" s="8" t="inlineStr">
        <is>
          <t>School (one per school)</t>
        </is>
      </c>
      <c r="B371" s="8" t="inlineStr">
        <is>
          <t>prospectus_sales</t>
        </is>
      </c>
      <c r="C371" s="11" t="inlineStr">
        <is>
          <t>Good</t>
        </is>
      </c>
      <c r="D371" s="8" t="n">
        <v>14</v>
      </c>
      <c r="E371" s="8" t="n">
        <v>2</v>
      </c>
      <c r="F371" s="8" t="n">
        <v>5</v>
      </c>
      <c r="G371" s="8" t="inlineStr">
        <is>
          <t>0001_baseline.sql</t>
        </is>
      </c>
      <c r="H371" s="8" t="n">
        <v>1</v>
      </c>
      <c r="I371" s="8" t="inlineStr">
        <is>
          <t>worker/src/routes/admissions/funnel.ts</t>
        </is>
      </c>
      <c r="J371" s="8" t="inlineStr"/>
    </row>
    <row r="372">
      <c r="A372" s="8" t="inlineStr">
        <is>
          <t>School (one per school)</t>
        </is>
      </c>
      <c r="B372" s="8" t="inlineStr">
        <is>
          <t>prospectus_stock</t>
        </is>
      </c>
      <c r="C372" s="11" t="inlineStr">
        <is>
          <t>Good</t>
        </is>
      </c>
      <c r="D372" s="8" t="n">
        <v>7</v>
      </c>
      <c r="E372" s="8" t="n">
        <v>0</v>
      </c>
      <c r="F372" s="8" t="n">
        <v>1</v>
      </c>
      <c r="G372" s="8" t="inlineStr">
        <is>
          <t>0001_baseline.sql</t>
        </is>
      </c>
      <c r="H372" s="8" t="n">
        <v>1</v>
      </c>
      <c r="I372" s="8" t="inlineStr">
        <is>
          <t>worker/src/routes/admissions/funnel.ts</t>
        </is>
      </c>
      <c r="J372" s="8" t="inlineStr"/>
    </row>
    <row r="373">
      <c r="A373" s="8" t="inlineStr">
        <is>
          <t>School (one per school)</t>
        </is>
      </c>
      <c r="B373" s="8" t="inlineStr">
        <is>
          <t>pt_slabs</t>
        </is>
      </c>
      <c r="C373" s="11" t="inlineStr">
        <is>
          <t>Good</t>
        </is>
      </c>
      <c r="D373" s="8" t="n">
        <v>7</v>
      </c>
      <c r="E373" s="8" t="n">
        <v>1</v>
      </c>
      <c r="F373" s="8" t="n">
        <v>1</v>
      </c>
      <c r="G373" s="8" t="inlineStr">
        <is>
          <t>0001_baseline.sql</t>
        </is>
      </c>
      <c r="H373" s="8" t="n">
        <v>1</v>
      </c>
      <c r="I373" s="8" t="inlineStr">
        <is>
          <t>worker/src/routes/payroll.ts</t>
        </is>
      </c>
      <c r="J373" s="8" t="inlineStr"/>
    </row>
    <row r="374">
      <c r="A374" s="8" t="inlineStr">
        <is>
          <t>School (one per school)</t>
        </is>
      </c>
      <c r="B374" s="8" t="inlineStr">
        <is>
          <t>ptm_notes</t>
        </is>
      </c>
      <c r="C374" s="11" t="inlineStr">
        <is>
          <t>Good</t>
        </is>
      </c>
      <c r="D374" s="8" t="n">
        <v>17</v>
      </c>
      <c r="E374" s="8" t="n">
        <v>3</v>
      </c>
      <c r="F374" s="8" t="n">
        <v>5</v>
      </c>
      <c r="G374" s="8" t="inlineStr">
        <is>
          <t>0001_baseline.sql</t>
        </is>
      </c>
      <c r="H374" s="8" t="n">
        <v>2</v>
      </c>
      <c r="I374" s="8" t="inlineStr">
        <is>
          <t>worker/src/routes/portal/school_life.ts
worker/src/routes/teaching/comms.ts</t>
        </is>
      </c>
      <c r="J374" s="8" t="inlineStr"/>
    </row>
    <row r="375">
      <c r="A375" s="8" t="inlineStr">
        <is>
          <t>School (one per school)</t>
        </is>
      </c>
      <c r="B375" s="8" t="inlineStr">
        <is>
          <t>ptm_slots</t>
        </is>
      </c>
      <c r="C375" s="11" t="inlineStr">
        <is>
          <t>Good</t>
        </is>
      </c>
      <c r="D375" s="8" t="n">
        <v>15</v>
      </c>
      <c r="E375" s="8" t="n">
        <v>2</v>
      </c>
      <c r="F375" s="8" t="n">
        <v>6</v>
      </c>
      <c r="G375" s="8" t="inlineStr">
        <is>
          <t>0001_baseline.sql</t>
        </is>
      </c>
      <c r="H375" s="8" t="n">
        <v>2</v>
      </c>
      <c r="I375" s="8" t="inlineStr">
        <is>
          <t>worker/src/routes/misc/assistant/actions_more.ts
worker/src/routes/portal/school_life.ts</t>
        </is>
      </c>
      <c r="J375" s="8" t="inlineStr"/>
    </row>
    <row r="376">
      <c r="A376" s="8" t="inlineStr">
        <is>
          <t>School (one per school)</t>
        </is>
      </c>
      <c r="B376" s="8" t="inlineStr">
        <is>
          <t>purchase_approval_thresholds</t>
        </is>
      </c>
      <c r="C376" s="11" t="inlineStr">
        <is>
          <t>Good</t>
        </is>
      </c>
      <c r="D376" s="8" t="n">
        <v>8</v>
      </c>
      <c r="E376" s="8" t="n">
        <v>1</v>
      </c>
      <c r="F376" s="8" t="n">
        <v>1</v>
      </c>
      <c r="G376" s="8" t="inlineStr">
        <is>
          <t>0001_baseline.sql</t>
        </is>
      </c>
      <c r="H376" s="8" t="n">
        <v>1</v>
      </c>
      <c r="I376" s="8" t="inlineStr">
        <is>
          <t>worker/src/routes/admin/ops_purchasing.ts</t>
        </is>
      </c>
      <c r="J376" s="8" t="inlineStr"/>
    </row>
    <row r="377">
      <c r="A377" s="8" t="inlineStr">
        <is>
          <t>School (one per school)</t>
        </is>
      </c>
      <c r="B377" s="8" t="inlineStr">
        <is>
          <t>purchase_enquiries</t>
        </is>
      </c>
      <c r="C377" s="11" t="inlineStr">
        <is>
          <t>Good</t>
        </is>
      </c>
      <c r="D377" s="8" t="n">
        <v>20</v>
      </c>
      <c r="E377" s="8" t="n">
        <v>3</v>
      </c>
      <c r="F377" s="8" t="n">
        <v>3</v>
      </c>
      <c r="G377" s="8" t="inlineStr">
        <is>
          <t>0001_baseline.sql</t>
        </is>
      </c>
      <c r="H377" s="8" t="n">
        <v>2</v>
      </c>
      <c r="I377" s="8" t="inlineStr">
        <is>
          <t>worker/src/pages/buy.ts
worker/src/routes/seller/platform.ts</t>
        </is>
      </c>
      <c r="J377" s="8" t="inlineStr"/>
    </row>
    <row r="378">
      <c r="A378" s="8" t="inlineStr">
        <is>
          <t>School (one per school)</t>
        </is>
      </c>
      <c r="B378" s="8" t="inlineStr">
        <is>
          <t>purchase_enquiry_notes</t>
        </is>
      </c>
      <c r="C378" s="11" t="inlineStr">
        <is>
          <t>Good</t>
        </is>
      </c>
      <c r="D378" s="8" t="n">
        <v>6</v>
      </c>
      <c r="E378" s="8" t="n">
        <v>1</v>
      </c>
      <c r="F378" s="8" t="n">
        <v>2</v>
      </c>
      <c r="G378" s="8" t="inlineStr">
        <is>
          <t>0001_baseline.sql</t>
        </is>
      </c>
      <c r="H378" s="8" t="n">
        <v>1</v>
      </c>
      <c r="I378" s="8" t="inlineStr">
        <is>
          <t>worker/src/routes/seller/platform.ts</t>
        </is>
      </c>
      <c r="J378" s="8" t="inlineStr"/>
    </row>
    <row r="379">
      <c r="A379" s="8" t="inlineStr">
        <is>
          <t>School (one per school)</t>
        </is>
      </c>
      <c r="B379" s="8" t="inlineStr">
        <is>
          <t>purchase_invoice_matches</t>
        </is>
      </c>
      <c r="C379" s="11" t="inlineStr">
        <is>
          <t>Good</t>
        </is>
      </c>
      <c r="D379" s="8" t="n">
        <v>15</v>
      </c>
      <c r="E379" s="8" t="n">
        <v>2</v>
      </c>
      <c r="F379" s="8" t="n">
        <v>4</v>
      </c>
      <c r="G379" s="8" t="inlineStr">
        <is>
          <t>0001_baseline.sql</t>
        </is>
      </c>
      <c r="H379" s="8" t="n">
        <v>1</v>
      </c>
      <c r="I379" s="8" t="inlineStr">
        <is>
          <t>worker/src/routes/admin/ops_purchasing.ts</t>
        </is>
      </c>
      <c r="J379" s="8" t="inlineStr"/>
    </row>
    <row r="380">
      <c r="A380" s="8" t="inlineStr">
        <is>
          <t>School (one per school)</t>
        </is>
      </c>
      <c r="B380" s="8" t="inlineStr">
        <is>
          <t>purchase_order_lines</t>
        </is>
      </c>
      <c r="C380" s="11" t="inlineStr">
        <is>
          <t>Good</t>
        </is>
      </c>
      <c r="D380" s="8" t="n">
        <v>13</v>
      </c>
      <c r="E380" s="8" t="n">
        <v>3</v>
      </c>
      <c r="F380" s="8" t="n">
        <v>3</v>
      </c>
      <c r="G380" s="8" t="inlineStr">
        <is>
          <t>0001_baseline.sql</t>
        </is>
      </c>
      <c r="H380" s="8" t="n">
        <v>1</v>
      </c>
      <c r="I380" s="8" t="inlineStr">
        <is>
          <t>worker/src/routes/admin/ops_purchasing.ts</t>
        </is>
      </c>
      <c r="J380" s="8" t="inlineStr"/>
    </row>
    <row r="381">
      <c r="A381" s="8" t="inlineStr">
        <is>
          <t>School (one per school)</t>
        </is>
      </c>
      <c r="B381" s="8" t="inlineStr">
        <is>
          <t>purchase_orders</t>
        </is>
      </c>
      <c r="C381" s="11" t="inlineStr">
        <is>
          <t>Good</t>
        </is>
      </c>
      <c r="D381" s="8" t="n">
        <v>18</v>
      </c>
      <c r="E381" s="8" t="n">
        <v>3</v>
      </c>
      <c r="F381" s="8" t="n">
        <v>6</v>
      </c>
      <c r="G381" s="8" t="inlineStr">
        <is>
          <t>0001_baseline.sql</t>
        </is>
      </c>
      <c r="H381" s="8" t="n">
        <v>1</v>
      </c>
      <c r="I381" s="8" t="inlineStr">
        <is>
          <t>worker/src/routes/admin/ops_purchasing.ts</t>
        </is>
      </c>
      <c r="J381" s="8" t="inlineStr"/>
    </row>
    <row r="382">
      <c r="A382" s="8" t="inlineStr">
        <is>
          <t>School (one per school)</t>
        </is>
      </c>
      <c r="B382" s="8" t="inlineStr">
        <is>
          <t>purchase_requisition_lines</t>
        </is>
      </c>
      <c r="C382" s="11" t="inlineStr">
        <is>
          <t>Good</t>
        </is>
      </c>
      <c r="D382" s="8" t="n">
        <v>9</v>
      </c>
      <c r="E382" s="8" t="n">
        <v>2</v>
      </c>
      <c r="F382" s="8" t="n">
        <v>3</v>
      </c>
      <c r="G382" s="8" t="inlineStr">
        <is>
          <t>0001_baseline.sql</t>
        </is>
      </c>
      <c r="H382" s="8" t="n">
        <v>1</v>
      </c>
      <c r="I382" s="8" t="inlineStr">
        <is>
          <t>worker/src/routes/admin/ops_purchasing.ts</t>
        </is>
      </c>
      <c r="J382" s="8" t="inlineStr"/>
    </row>
    <row r="383">
      <c r="A383" s="8" t="inlineStr">
        <is>
          <t>School (one per school)</t>
        </is>
      </c>
      <c r="B383" s="8" t="inlineStr">
        <is>
          <t>purchase_requisitions</t>
        </is>
      </c>
      <c r="C383" s="11" t="inlineStr">
        <is>
          <t>Good</t>
        </is>
      </c>
      <c r="D383" s="8" t="n">
        <v>19</v>
      </c>
      <c r="E383" s="8" t="n">
        <v>2</v>
      </c>
      <c r="F383" s="8" t="n">
        <v>5</v>
      </c>
      <c r="G383" s="8" t="inlineStr">
        <is>
          <t>0001_baseline.sql</t>
        </is>
      </c>
      <c r="H383" s="8" t="n">
        <v>1</v>
      </c>
      <c r="I383" s="8" t="inlineStr">
        <is>
          <t>worker/src/routes/admin/ops_purchasing.ts</t>
        </is>
      </c>
      <c r="J383" s="8" t="inlineStr"/>
    </row>
    <row r="384">
      <c r="A384" s="8" t="inlineStr">
        <is>
          <t>School (one per school)</t>
        </is>
      </c>
      <c r="B384" s="8" t="inlineStr">
        <is>
          <t>push_tokens</t>
        </is>
      </c>
      <c r="C384" s="11" t="inlineStr">
        <is>
          <t>Good</t>
        </is>
      </c>
      <c r="D384" s="8" t="n">
        <v>6</v>
      </c>
      <c r="E384" s="8" t="n">
        <v>1</v>
      </c>
      <c r="F384" s="8" t="n">
        <v>2</v>
      </c>
      <c r="G384" s="8" t="inlineStr">
        <is>
          <t>0001_baseline.sql</t>
        </is>
      </c>
      <c r="H384" s="8" t="n">
        <v>4</v>
      </c>
      <c r="I384" s="8" t="inlineStr">
        <is>
          <t>worker/src/routes/comms/delivery.ts
worker/src/routes/daily.ts
worker/src/services/cron.ts
worker/src/services/messaging.ts</t>
        </is>
      </c>
      <c r="J384" s="8" t="inlineStr"/>
    </row>
    <row r="385">
      <c r="A385" s="8" t="inlineStr">
        <is>
          <t>School (one per school)</t>
        </is>
      </c>
      <c r="B385" s="8" t="inlineStr">
        <is>
          <t>question_bank_options</t>
        </is>
      </c>
      <c r="C385" s="11" t="inlineStr">
        <is>
          <t>Good</t>
        </is>
      </c>
      <c r="D385" s="8" t="n">
        <v>6</v>
      </c>
      <c r="E385" s="8" t="n">
        <v>1</v>
      </c>
      <c r="F385" s="8" t="n">
        <v>2</v>
      </c>
      <c r="G385" s="8" t="inlineStr">
        <is>
          <t>0001_baseline.sql</t>
        </is>
      </c>
      <c r="H385" s="8" t="n">
        <v>4</v>
      </c>
      <c r="I385" s="8" t="inlineStr">
        <is>
          <t>worker/src/routes/comms/grading.ts
worker/src/routes/portal/lms.ts
worker/src/routes/teaching/assessment.ts
worker/src/routes/teaching/lms.ts</t>
        </is>
      </c>
      <c r="J385" s="8" t="inlineStr"/>
    </row>
    <row r="386">
      <c r="A386" s="8" t="inlineStr">
        <is>
          <t>School (one per school)</t>
        </is>
      </c>
      <c r="B386" s="8" t="inlineStr">
        <is>
          <t>question_bank_questions</t>
        </is>
      </c>
      <c r="C386" s="11" t="inlineStr">
        <is>
          <t>Good</t>
        </is>
      </c>
      <c r="D386" s="8" t="n">
        <v>14</v>
      </c>
      <c r="E386" s="8" t="n">
        <v>2</v>
      </c>
      <c r="F386" s="8" t="n">
        <v>4</v>
      </c>
      <c r="G386" s="8" t="inlineStr">
        <is>
          <t>0001_baseline.sql</t>
        </is>
      </c>
      <c r="H386" s="8" t="n">
        <v>4</v>
      </c>
      <c r="I386" s="8" t="inlineStr">
        <is>
          <t>worker/src/routes/comms/grading.ts
worker/src/routes/portal/lms.ts
worker/src/routes/teaching/assessment.ts
worker/src/routes/teaching/lms.ts</t>
        </is>
      </c>
      <c r="J386" s="8" t="inlineStr"/>
    </row>
    <row r="387">
      <c r="A387" s="8" t="inlineStr">
        <is>
          <t>School (one per school)</t>
        </is>
      </c>
      <c r="B387" s="8" t="inlineStr">
        <is>
          <t>question_papers</t>
        </is>
      </c>
      <c r="C387" s="11" t="inlineStr">
        <is>
          <t>Good</t>
        </is>
      </c>
      <c r="D387" s="8" t="n">
        <v>12</v>
      </c>
      <c r="E387" s="8" t="n">
        <v>2</v>
      </c>
      <c r="F387" s="8" t="n">
        <v>5</v>
      </c>
      <c r="G387" s="8" t="inlineStr">
        <is>
          <t>0001_baseline.sql</t>
        </is>
      </c>
      <c r="H387" s="8" t="n">
        <v>2</v>
      </c>
      <c r="I387" s="8" t="inlineStr">
        <is>
          <t>worker/src/routes/exams.ts
worker/src/routes/teaching/dashboards.ts</t>
        </is>
      </c>
      <c r="J387" s="8" t="inlineStr"/>
    </row>
    <row r="388">
      <c r="A388" s="8" t="inlineStr">
        <is>
          <t>School (one per school)</t>
        </is>
      </c>
      <c r="B388" s="8" t="inlineStr">
        <is>
          <t>rate_limit_hits</t>
        </is>
      </c>
      <c r="C388" s="10" t="inlineStr">
        <is>
          <t>Check</t>
        </is>
      </c>
      <c r="D388" s="8" t="n">
        <v>3</v>
      </c>
      <c r="E388" s="8" t="n">
        <v>1</v>
      </c>
      <c r="F388" s="8" t="n">
        <v>0</v>
      </c>
      <c r="G388" s="8" t="inlineStr">
        <is>
          <t>0001_baseline.sql</t>
        </is>
      </c>
      <c r="H388" s="8" t="n">
        <v>0</v>
      </c>
      <c r="I388" s="8" t="inlineStr"/>
      <c r="J388" s="8" t="inlineStr">
        <is>
          <t>No backend code reads or writes this table.</t>
        </is>
      </c>
    </row>
    <row r="389">
      <c r="A389" s="8" t="inlineStr">
        <is>
          <t>School (one per school)</t>
        </is>
      </c>
      <c r="B389" s="8" t="inlineStr">
        <is>
          <t>ref_versions</t>
        </is>
      </c>
      <c r="C389" s="11" t="inlineStr">
        <is>
          <t>Good</t>
        </is>
      </c>
      <c r="D389" s="8" t="n">
        <v>2</v>
      </c>
      <c r="E389" s="8" t="n">
        <v>0</v>
      </c>
      <c r="F389" s="8" t="n">
        <v>0</v>
      </c>
      <c r="G389" s="8" t="inlineStr">
        <is>
          <t>0018_query_indexes.sql</t>
        </is>
      </c>
      <c r="H389" s="8" t="n">
        <v>1</v>
      </c>
      <c r="I389" s="8" t="inlineStr">
        <is>
          <t>worker/src/services/refcache.ts</t>
        </is>
      </c>
      <c r="J389" s="8" t="inlineStr"/>
    </row>
    <row r="390">
      <c r="A390" s="8" t="inlineStr">
        <is>
          <t>School (one per school)</t>
        </is>
      </c>
      <c r="B390" s="8" t="inlineStr">
        <is>
          <t>refunds</t>
        </is>
      </c>
      <c r="C390" s="11" t="inlineStr">
        <is>
          <t>Good</t>
        </is>
      </c>
      <c r="D390" s="8" t="n">
        <v>16</v>
      </c>
      <c r="E390" s="8" t="n">
        <v>2</v>
      </c>
      <c r="F390" s="8" t="n">
        <v>6</v>
      </c>
      <c r="G390" s="8" t="inlineStr">
        <is>
          <t>0001_baseline.sql</t>
        </is>
      </c>
      <c r="H390" s="8" t="n">
        <v>6</v>
      </c>
      <c r="I390" s="8" t="inlineStr">
        <is>
          <t>worker/src/routes/admin/metrics.ts
worker/src/routes/fees/backoffice.ts
worker/src/routes/fees/banking.ts
worker/src/routes/fees/counter.ts
worker/src/routes/fees/refunds.ts
worker/src/routes/growth/rollups.ts</t>
        </is>
      </c>
      <c r="J390" s="8" t="inlineStr"/>
    </row>
    <row r="391">
      <c r="A391" s="8" t="inlineStr">
        <is>
          <t>School (one per school)</t>
        </is>
      </c>
      <c r="B391" s="8" t="inlineStr">
        <is>
          <t>reimbursement_claim_lines</t>
        </is>
      </c>
      <c r="C391" s="11" t="inlineStr">
        <is>
          <t>Good</t>
        </is>
      </c>
      <c r="D391" s="8" t="n">
        <v>14</v>
      </c>
      <c r="E391" s="8" t="n">
        <v>2</v>
      </c>
      <c r="F391" s="8" t="n">
        <v>5</v>
      </c>
      <c r="G391" s="8" t="inlineStr">
        <is>
          <t>0001_baseline.sql</t>
        </is>
      </c>
      <c r="H391" s="8" t="n">
        <v>1</v>
      </c>
      <c r="I391" s="8" t="inlineStr">
        <is>
          <t>worker/src/routes/fees/concessions.ts</t>
        </is>
      </c>
      <c r="J391" s="8" t="inlineStr"/>
    </row>
    <row r="392">
      <c r="A392" s="8" t="inlineStr">
        <is>
          <t>School (one per school)</t>
        </is>
      </c>
      <c r="B392" s="8" t="inlineStr">
        <is>
          <t>reimbursement_claims</t>
        </is>
      </c>
      <c r="C392" s="11" t="inlineStr">
        <is>
          <t>Good</t>
        </is>
      </c>
      <c r="D392" s="8" t="n">
        <v>21</v>
      </c>
      <c r="E392" s="8" t="n">
        <v>3</v>
      </c>
      <c r="F392" s="8" t="n">
        <v>4</v>
      </c>
      <c r="G392" s="8" t="inlineStr">
        <is>
          <t>0001_baseline.sql</t>
        </is>
      </c>
      <c r="H392" s="8" t="n">
        <v>1</v>
      </c>
      <c r="I392" s="8" t="inlineStr">
        <is>
          <t>worker/src/routes/fees/concessions.ts</t>
        </is>
      </c>
      <c r="J392" s="8" t="inlineStr"/>
    </row>
    <row r="393">
      <c r="A393" s="8" t="inlineStr">
        <is>
          <t>School (one per school)</t>
        </is>
      </c>
      <c r="B393" s="8" t="inlineStr">
        <is>
          <t>reimbursement_rates</t>
        </is>
      </c>
      <c r="C393" s="11" t="inlineStr">
        <is>
          <t>Good</t>
        </is>
      </c>
      <c r="D393" s="8" t="n">
        <v>12</v>
      </c>
      <c r="E393" s="8" t="n">
        <v>1</v>
      </c>
      <c r="F393" s="8" t="n">
        <v>3</v>
      </c>
      <c r="G393" s="8" t="inlineStr">
        <is>
          <t>0001_baseline.sql</t>
        </is>
      </c>
      <c r="H393" s="8" t="n">
        <v>1</v>
      </c>
      <c r="I393" s="8" t="inlineStr">
        <is>
          <t>worker/src/routes/fees/concessions.ts</t>
        </is>
      </c>
      <c r="J393" s="8" t="inlineStr"/>
    </row>
    <row r="394">
      <c r="A394" s="8" t="inlineStr">
        <is>
          <t>School (one per school)</t>
        </is>
      </c>
      <c r="B394" s="8" t="inlineStr">
        <is>
          <t>reimbursement_receipts</t>
        </is>
      </c>
      <c r="C394" s="11" t="inlineStr">
        <is>
          <t>Good</t>
        </is>
      </c>
      <c r="D394" s="8" t="n">
        <v>12</v>
      </c>
      <c r="E394" s="8" t="n">
        <v>2</v>
      </c>
      <c r="F394" s="8" t="n">
        <v>4</v>
      </c>
      <c r="G394" s="8" t="inlineStr">
        <is>
          <t>0001_baseline.sql</t>
        </is>
      </c>
      <c r="H394" s="8" t="n">
        <v>1</v>
      </c>
      <c r="I394" s="8" t="inlineStr">
        <is>
          <t>worker/src/routes/fees/concessions.ts</t>
        </is>
      </c>
      <c r="J394" s="8" t="inlineStr"/>
    </row>
    <row r="395">
      <c r="A395" s="8" t="inlineStr">
        <is>
          <t>School (one per school)</t>
        </is>
      </c>
      <c r="B395" s="8" t="inlineStr">
        <is>
          <t>report_card_templates</t>
        </is>
      </c>
      <c r="C395" s="11" t="inlineStr">
        <is>
          <t>Good</t>
        </is>
      </c>
      <c r="D395" s="8" t="n">
        <v>5</v>
      </c>
      <c r="E395" s="8" t="n">
        <v>0</v>
      </c>
      <c r="F395" s="8" t="n">
        <v>2</v>
      </c>
      <c r="G395" s="8" t="inlineStr">
        <is>
          <t>0001_baseline.sql</t>
        </is>
      </c>
      <c r="H395" s="8" t="n">
        <v>2</v>
      </c>
      <c r="I395" s="8" t="inlineStr">
        <is>
          <t>worker/src/routes/exams.ts
worker/src/routes/portal/family.ts</t>
        </is>
      </c>
      <c r="J395" s="8" t="inlineStr"/>
    </row>
    <row r="396">
      <c r="A396" s="8" t="inlineStr">
        <is>
          <t>School (one per school)</t>
        </is>
      </c>
      <c r="B396" s="8" t="inlineStr">
        <is>
          <t>report_cards</t>
        </is>
      </c>
      <c r="C396" s="11" t="inlineStr">
        <is>
          <t>Good</t>
        </is>
      </c>
      <c r="D396" s="8" t="n">
        <v>34</v>
      </c>
      <c r="E396" s="8" t="n">
        <v>9</v>
      </c>
      <c r="F396" s="8" t="n">
        <v>11</v>
      </c>
      <c r="G396" s="8" t="inlineStr">
        <is>
          <t>0001_baseline.sql</t>
        </is>
      </c>
      <c r="H396" s="8" t="n">
        <v>11</v>
      </c>
      <c r="I396" s="8" t="inlineStr">
        <is>
          <t>worker/src/routes/admin/loose.ts
worker/src/routes/exams.ts
worker/src/routes/portal/family.ts
worker/src/routes/portal/records.ts
worker/src/routes/portal/school_life.ts
worker/src/routes/setup/academics.ts
… +5 more</t>
        </is>
      </c>
      <c r="J396" s="8" t="inlineStr"/>
    </row>
    <row r="397">
      <c r="A397" s="8" t="inlineStr">
        <is>
          <t>School (one per school)</t>
        </is>
      </c>
      <c r="B397" s="8" t="inlineStr">
        <is>
          <t>report_definitions</t>
        </is>
      </c>
      <c r="C397" s="11" t="inlineStr">
        <is>
          <t>Good</t>
        </is>
      </c>
      <c r="D397" s="8" t="n">
        <v>14</v>
      </c>
      <c r="E397" s="8" t="n">
        <v>2</v>
      </c>
      <c r="F397" s="8" t="n">
        <v>2</v>
      </c>
      <c r="G397" s="8" t="inlineStr">
        <is>
          <t>0001_baseline.sql</t>
        </is>
      </c>
      <c r="H397" s="8" t="n">
        <v>1</v>
      </c>
      <c r="I397" s="8" t="inlineStr">
        <is>
          <t>worker/src/routes/growth/report_builder.ts</t>
        </is>
      </c>
      <c r="J397" s="8" t="inlineStr"/>
    </row>
    <row r="398">
      <c r="A398" s="8" t="inlineStr">
        <is>
          <t>School (one per school)</t>
        </is>
      </c>
      <c r="B398" s="8" t="inlineStr">
        <is>
          <t>report_digest_settings</t>
        </is>
      </c>
      <c r="C398" s="11" t="inlineStr">
        <is>
          <t>Good</t>
        </is>
      </c>
      <c r="D398" s="8" t="n">
        <v>7</v>
      </c>
      <c r="E398" s="8" t="n">
        <v>0</v>
      </c>
      <c r="F398" s="8" t="n">
        <v>1</v>
      </c>
      <c r="G398" s="8" t="inlineStr">
        <is>
          <t>0001_baseline.sql</t>
        </is>
      </c>
      <c r="H398" s="8" t="n">
        <v>2</v>
      </c>
      <c r="I398" s="8" t="inlineStr">
        <is>
          <t>worker/src/routes/admin/report_digest.ts
worker/src/services/background/report-digest.ts</t>
        </is>
      </c>
      <c r="J398" s="8" t="inlineStr"/>
    </row>
    <row r="399">
      <c r="A399" s="8" t="inlineStr">
        <is>
          <t>School (one per school)</t>
        </is>
      </c>
      <c r="B399" s="8" t="inlineStr">
        <is>
          <t>report_runs</t>
        </is>
      </c>
      <c r="C399" s="11" t="inlineStr">
        <is>
          <t>Good</t>
        </is>
      </c>
      <c r="D399" s="8" t="n">
        <v>9</v>
      </c>
      <c r="E399" s="8" t="n">
        <v>1</v>
      </c>
      <c r="F399" s="8" t="n">
        <v>3</v>
      </c>
      <c r="G399" s="8" t="inlineStr">
        <is>
          <t>0001_baseline.sql</t>
        </is>
      </c>
      <c r="H399" s="8" t="n">
        <v>1</v>
      </c>
      <c r="I399" s="8" t="inlineStr">
        <is>
          <t>worker/src/routes/growth/report_builder.ts</t>
        </is>
      </c>
      <c r="J399" s="8" t="inlineStr"/>
    </row>
    <row r="400">
      <c r="A400" s="8" t="inlineStr">
        <is>
          <t>School (one per school)</t>
        </is>
      </c>
      <c r="B400" s="8" t="inlineStr">
        <is>
          <t>report_shares</t>
        </is>
      </c>
      <c r="C400" s="11" t="inlineStr">
        <is>
          <t>Good</t>
        </is>
      </c>
      <c r="D400" s="8" t="n">
        <v>4</v>
      </c>
      <c r="E400" s="8" t="n">
        <v>0</v>
      </c>
      <c r="F400" s="8" t="n">
        <v>2</v>
      </c>
      <c r="G400" s="8" t="inlineStr">
        <is>
          <t>0001_baseline.sql</t>
        </is>
      </c>
      <c r="H400" s="8" t="n">
        <v>1</v>
      </c>
      <c r="I400" s="8" t="inlineStr">
        <is>
          <t>worker/src/routes/growth/report_builder.ts</t>
        </is>
      </c>
      <c r="J400" s="8" t="inlineStr"/>
    </row>
    <row r="401">
      <c r="A401" s="8" t="inlineStr">
        <is>
          <t>School (one per school)</t>
        </is>
      </c>
      <c r="B401" s="8" t="inlineStr">
        <is>
          <t>role_permissions</t>
        </is>
      </c>
      <c r="C401" s="11" t="inlineStr">
        <is>
          <t>Good</t>
        </is>
      </c>
      <c r="D401" s="8" t="n">
        <v>2</v>
      </c>
      <c r="E401" s="8" t="n">
        <v>0</v>
      </c>
      <c r="F401" s="8" t="n">
        <v>2</v>
      </c>
      <c r="G401" s="8" t="inlineStr">
        <is>
          <t>0001_baseline.sql</t>
        </is>
      </c>
      <c r="H401" s="8" t="n">
        <v>13</v>
      </c>
      <c r="I401" s="8" t="inlineStr">
        <is>
          <t>worker/src/identity.ts
worker/src/routes/admin/loose.ts
worker/src/routes/admin/security.ts
worker/src/routes/admin/users.ts
worker/src/routes/comms/counselor.ts
worker/src/routes/comms/sms_gateway_public.ts
… +7 more</t>
        </is>
      </c>
      <c r="J401" s="8" t="inlineStr"/>
    </row>
    <row r="402">
      <c r="A402" s="8" t="inlineStr">
        <is>
          <t>School (one per school)</t>
        </is>
      </c>
      <c r="B402" s="8" t="inlineStr">
        <is>
          <t>roles</t>
        </is>
      </c>
      <c r="C402" s="11" t="inlineStr">
        <is>
          <t>Good</t>
        </is>
      </c>
      <c r="D402" s="8" t="n">
        <v>8</v>
      </c>
      <c r="E402" s="8" t="n">
        <v>1</v>
      </c>
      <c r="F402" s="8" t="n">
        <v>1</v>
      </c>
      <c r="G402" s="8" t="inlineStr">
        <is>
          <t>0001_baseline.sql</t>
        </is>
      </c>
      <c r="H402" s="8" t="n">
        <v>35</v>
      </c>
      <c r="I402" s="8" t="inlineStr">
        <is>
          <t>worker/src/identity.ts
worker/src/routes/admin/loose.ts
worker/src/routes/admin/platform_config.ts
worker/src/routes/admin/report_digest.ts
worker/src/routes/admin/security.ts
worker/src/routes/admin/student_logins.ts
… +29 more</t>
        </is>
      </c>
      <c r="J402" s="8" t="inlineStr"/>
    </row>
    <row r="403">
      <c r="A403" s="8" t="inlineStr">
        <is>
          <t>School (one per school)</t>
        </is>
      </c>
      <c r="B403" s="8" t="inlineStr">
        <is>
          <t>rollover_log</t>
        </is>
      </c>
      <c r="C403" s="11" t="inlineStr">
        <is>
          <t>Good</t>
        </is>
      </c>
      <c r="D403" s="8" t="n">
        <v>8</v>
      </c>
      <c r="E403" s="8" t="n">
        <v>1</v>
      </c>
      <c r="F403" s="8" t="n">
        <v>4</v>
      </c>
      <c r="G403" s="8" t="inlineStr">
        <is>
          <t>0001_baseline.sql</t>
        </is>
      </c>
      <c r="H403" s="8" t="n">
        <v>1</v>
      </c>
      <c r="I403" s="8" t="inlineStr">
        <is>
          <t>worker/src/routes/admin/security.ts</t>
        </is>
      </c>
      <c r="J403" s="8" t="inlineStr"/>
    </row>
    <row r="404">
      <c r="A404" s="8" t="inlineStr">
        <is>
          <t>School (one per school)</t>
        </is>
      </c>
      <c r="B404" s="8" t="inlineStr">
        <is>
          <t>room_inventory_checks</t>
        </is>
      </c>
      <c r="C404" s="11" t="inlineStr">
        <is>
          <t>Good</t>
        </is>
      </c>
      <c r="D404" s="8" t="n">
        <v>10</v>
      </c>
      <c r="E404" s="8" t="n">
        <v>2</v>
      </c>
      <c r="F404" s="8" t="n">
        <v>4</v>
      </c>
      <c r="G404" s="8" t="inlineStr">
        <is>
          <t>0001_baseline.sql</t>
        </is>
      </c>
      <c r="H404" s="8" t="n">
        <v>1</v>
      </c>
      <c r="I404" s="8" t="inlineStr">
        <is>
          <t>worker/src/routes/ops/infirmary.ts</t>
        </is>
      </c>
      <c r="J404" s="8" t="inlineStr"/>
    </row>
    <row r="405">
      <c r="A405" s="8" t="inlineStr">
        <is>
          <t>School (one per school)</t>
        </is>
      </c>
      <c r="B405" s="8" t="inlineStr">
        <is>
          <t>room_inventory_items</t>
        </is>
      </c>
      <c r="C405" s="11" t="inlineStr">
        <is>
          <t>Good</t>
        </is>
      </c>
      <c r="D405" s="8" t="n">
        <v>9</v>
      </c>
      <c r="E405" s="8" t="n">
        <v>1</v>
      </c>
      <c r="F405" s="8" t="n">
        <v>2</v>
      </c>
      <c r="G405" s="8" t="inlineStr">
        <is>
          <t>0001_baseline.sql</t>
        </is>
      </c>
      <c r="H405" s="8" t="n">
        <v>1</v>
      </c>
      <c r="I405" s="8" t="inlineStr">
        <is>
          <t>worker/src/routes/ops/infirmary.ts</t>
        </is>
      </c>
      <c r="J405" s="8" t="inlineStr"/>
    </row>
    <row r="406">
      <c r="A406" s="8" t="inlineStr">
        <is>
          <t>School (one per school)</t>
        </is>
      </c>
      <c r="B406" s="8" t="inlineStr">
        <is>
          <t>route_stops</t>
        </is>
      </c>
      <c r="C406" s="11" t="inlineStr">
        <is>
          <t>Good</t>
        </is>
      </c>
      <c r="D406" s="8" t="n">
        <v>12</v>
      </c>
      <c r="E406" s="8" t="n">
        <v>2</v>
      </c>
      <c r="F406" s="8" t="n">
        <v>2</v>
      </c>
      <c r="G406" s="8" t="inlineStr">
        <is>
          <t>0001_baseline.sql</t>
        </is>
      </c>
      <c r="H406" s="8" t="n">
        <v>8</v>
      </c>
      <c r="I406" s="8" t="inlineStr">
        <is>
          <t>worker/src/routes/admissions/workflow.ts
worker/src/routes/ops/transport.ts
worker/src/routes/ops/transport_office.ts
worker/src/routes/scheduling/bus_tracker.ts
worker/src/routes/scheduling/child_bus.ts
worker/src/routes/scheduling/office.ts
… +2 more</t>
        </is>
      </c>
      <c r="J406" s="8" t="inlineStr"/>
    </row>
    <row r="407">
      <c r="A407" s="8" t="inlineStr">
        <is>
          <t>School (one per school)</t>
        </is>
      </c>
      <c r="B407" s="8" t="inlineStr">
        <is>
          <t>routes</t>
        </is>
      </c>
      <c r="C407" s="11" t="inlineStr">
        <is>
          <t>Good</t>
        </is>
      </c>
      <c r="D407" s="8" t="n">
        <v>8</v>
      </c>
      <c r="E407" s="8" t="n">
        <v>0</v>
      </c>
      <c r="F407" s="8" t="n">
        <v>3</v>
      </c>
      <c r="G407" s="8" t="inlineStr">
        <is>
          <t>0001_baseline.sql</t>
        </is>
      </c>
      <c r="H407" s="8" t="n">
        <v>8</v>
      </c>
      <c r="I407" s="8" t="inlineStr">
        <is>
          <t>worker/src/routes/hr/attendance.ts
worker/src/routes/ops/transport.ts
worker/src/routes/ops/transport_office.ts
worker/src/routes/scheduling/bus_tracker.ts
worker/src/routes/scheduling/child_bus.ts
worker/src/routes/scheduling/office.ts
… +2 more</t>
        </is>
      </c>
      <c r="J407" s="8" t="inlineStr"/>
    </row>
    <row r="408">
      <c r="A408" s="8" t="inlineStr">
        <is>
          <t>School (one per school)</t>
        </is>
      </c>
      <c r="B408" s="8" t="inlineStr">
        <is>
          <t>salary_components</t>
        </is>
      </c>
      <c r="C408" s="11" t="inlineStr">
        <is>
          <t>Good</t>
        </is>
      </c>
      <c r="D408" s="8" t="n">
        <v>9</v>
      </c>
      <c r="E408" s="8" t="n">
        <v>0</v>
      </c>
      <c r="F408" s="8" t="n">
        <v>1</v>
      </c>
      <c r="G408" s="8" t="inlineStr">
        <is>
          <t>0001_baseline.sql</t>
        </is>
      </c>
      <c r="H408" s="8" t="n">
        <v>1</v>
      </c>
      <c r="I408" s="8" t="inlineStr">
        <is>
          <t>worker/src/routes/payroll.ts</t>
        </is>
      </c>
      <c r="J408" s="8" t="inlineStr"/>
    </row>
    <row r="409">
      <c r="A409" s="8" t="inlineStr">
        <is>
          <t>School (one per school)</t>
        </is>
      </c>
      <c r="B409" s="8" t="inlineStr">
        <is>
          <t>salary_structure_items</t>
        </is>
      </c>
      <c r="C409" s="11" t="inlineStr">
        <is>
          <t>Good</t>
        </is>
      </c>
      <c r="D409" s="8" t="n">
        <v>6</v>
      </c>
      <c r="E409" s="8" t="n">
        <v>0</v>
      </c>
      <c r="F409" s="8" t="n">
        <v>3</v>
      </c>
      <c r="G409" s="8" t="inlineStr">
        <is>
          <t>0001_baseline.sql</t>
        </is>
      </c>
      <c r="H409" s="8" t="n">
        <v>1</v>
      </c>
      <c r="I409" s="8" t="inlineStr">
        <is>
          <t>worker/src/routes/payroll.ts</t>
        </is>
      </c>
      <c r="J409" s="8" t="inlineStr"/>
    </row>
    <row r="410">
      <c r="A410" s="8" t="inlineStr">
        <is>
          <t>School (one per school)</t>
        </is>
      </c>
      <c r="B410" s="8" t="inlineStr">
        <is>
          <t>salary_structures</t>
        </is>
      </c>
      <c r="C410" s="11" t="inlineStr">
        <is>
          <t>Good</t>
        </is>
      </c>
      <c r="D410" s="8" t="n">
        <v>7</v>
      </c>
      <c r="E410" s="8" t="n">
        <v>0</v>
      </c>
      <c r="F410" s="8" t="n">
        <v>2</v>
      </c>
      <c r="G410" s="8" t="inlineStr">
        <is>
          <t>0001_baseline.sql</t>
        </is>
      </c>
      <c r="H410" s="8" t="n">
        <v>3</v>
      </c>
      <c r="I410" s="8" t="inlineStr">
        <is>
          <t>worker/src/routes/payroll.ts
worker/src/routes/setup/imports_extra.ts
worker/src/routes/setup/staff.ts</t>
        </is>
      </c>
      <c r="J410" s="8" t="inlineStr"/>
    </row>
    <row r="411">
      <c r="A411" s="8" t="inlineStr">
        <is>
          <t>School (one per school)</t>
        </is>
      </c>
      <c r="B411" s="8" t="inlineStr">
        <is>
          <t>scholarship_awards</t>
        </is>
      </c>
      <c r="C411" s="11" t="inlineStr">
        <is>
          <t>Good</t>
        </is>
      </c>
      <c r="D411" s="8" t="n">
        <v>21</v>
      </c>
      <c r="E411" s="8" t="n">
        <v>3</v>
      </c>
      <c r="F411" s="8" t="n">
        <v>8</v>
      </c>
      <c r="G411" s="8" t="inlineStr">
        <is>
          <t>0001_baseline.sql</t>
        </is>
      </c>
      <c r="H411" s="8" t="n">
        <v>1</v>
      </c>
      <c r="I411" s="8" t="inlineStr">
        <is>
          <t>worker/src/routes/fees/concessions.ts</t>
        </is>
      </c>
      <c r="J411" s="8" t="inlineStr"/>
    </row>
    <row r="412">
      <c r="A412" s="8" t="inlineStr">
        <is>
          <t>School (one per school)</t>
        </is>
      </c>
      <c r="B412" s="8" t="inlineStr">
        <is>
          <t>scholarship_disbursement_imports</t>
        </is>
      </c>
      <c r="C412" s="11" t="inlineStr">
        <is>
          <t>Good</t>
        </is>
      </c>
      <c r="D412" s="8" t="n">
        <v>15</v>
      </c>
      <c r="E412" s="8" t="n">
        <v>1</v>
      </c>
      <c r="F412" s="8" t="n">
        <v>4</v>
      </c>
      <c r="G412" s="8" t="inlineStr">
        <is>
          <t>0001_baseline.sql</t>
        </is>
      </c>
      <c r="H412" s="8" t="n">
        <v>1</v>
      </c>
      <c r="I412" s="8" t="inlineStr">
        <is>
          <t>worker/src/routes/fees/concessions.ts</t>
        </is>
      </c>
      <c r="J412" s="8" t="inlineStr"/>
    </row>
    <row r="413">
      <c r="A413" s="8" t="inlineStr">
        <is>
          <t>School (one per school)</t>
        </is>
      </c>
      <c r="B413" s="8" t="inlineStr">
        <is>
          <t>scholarship_disbursement_lines</t>
        </is>
      </c>
      <c r="C413" s="11" t="inlineStr">
        <is>
          <t>Good</t>
        </is>
      </c>
      <c r="D413" s="8" t="n">
        <v>17</v>
      </c>
      <c r="E413" s="8" t="n">
        <v>2</v>
      </c>
      <c r="F413" s="8" t="n">
        <v>3</v>
      </c>
      <c r="G413" s="8" t="inlineStr">
        <is>
          <t>0001_baseline.sql</t>
        </is>
      </c>
      <c r="H413" s="8" t="n">
        <v>1</v>
      </c>
      <c r="I413" s="8" t="inlineStr">
        <is>
          <t>worker/src/routes/fees/concessions.ts</t>
        </is>
      </c>
      <c r="J413" s="8" t="inlineStr"/>
    </row>
    <row r="414">
      <c r="A414" s="8" t="inlineStr">
        <is>
          <t>School (one per school)</t>
        </is>
      </c>
      <c r="B414" s="8" t="inlineStr">
        <is>
          <t>school_events</t>
        </is>
      </c>
      <c r="C414" s="11" t="inlineStr">
        <is>
          <t>Good</t>
        </is>
      </c>
      <c r="D414" s="8" t="n">
        <v>14</v>
      </c>
      <c r="E414" s="8" t="n">
        <v>1</v>
      </c>
      <c r="F414" s="8" t="n">
        <v>4</v>
      </c>
      <c r="G414" s="8" t="inlineStr">
        <is>
          <t>0001_baseline.sql</t>
        </is>
      </c>
      <c r="H414" s="8" t="n">
        <v>3</v>
      </c>
      <c r="I414" s="8" t="inlineStr">
        <is>
          <t>worker/src/routes/growth/rollups.ts
worker/src/routes/portal/school_life.ts
worker/src/services/ai/briefs.ts</t>
        </is>
      </c>
      <c r="J414" s="8" t="inlineStr"/>
    </row>
    <row r="415">
      <c r="A415" s="8" t="inlineStr">
        <is>
          <t>School (one per school)</t>
        </is>
      </c>
      <c r="B415" s="8" t="inlineStr">
        <is>
          <t>section_subject_teachers</t>
        </is>
      </c>
      <c r="C415" s="11" t="inlineStr">
        <is>
          <t>Good</t>
        </is>
      </c>
      <c r="D415" s="8" t="n">
        <v>6</v>
      </c>
      <c r="E415" s="8" t="n">
        <v>3</v>
      </c>
      <c r="F415" s="8" t="n">
        <v>4</v>
      </c>
      <c r="G415" s="8" t="inlineStr">
        <is>
          <t>0001_baseline.sql</t>
        </is>
      </c>
      <c r="H415" s="8" t="n">
        <v>22</v>
      </c>
      <c r="I415" s="8" t="inlineStr">
        <is>
          <t>worker/src/routes/academics.ts
worker/src/routes/academics/admin.ts
worker/src/routes/comms/class_status.ts
worker/src/routes/daily.ts
worker/src/routes/exams.ts
worker/src/routes/fees/common.ts
… +16 more</t>
        </is>
      </c>
      <c r="J415" s="8" t="inlineStr"/>
    </row>
    <row r="416">
      <c r="A416" s="8" t="inlineStr">
        <is>
          <t>School (one per school)</t>
        </is>
      </c>
      <c r="B416" s="8" t="inlineStr">
        <is>
          <t>sections</t>
        </is>
      </c>
      <c r="C416" s="11" t="inlineStr">
        <is>
          <t>Good</t>
        </is>
      </c>
      <c r="D416" s="8" t="n">
        <v>12</v>
      </c>
      <c r="E416" s="8" t="n">
        <v>5</v>
      </c>
      <c r="F416" s="8" t="n">
        <v>6</v>
      </c>
      <c r="G416" s="8" t="inlineStr">
        <is>
          <t>0001_baseline.sql</t>
        </is>
      </c>
      <c r="H416" s="8" t="n">
        <v>76</v>
      </c>
      <c r="I416" s="8" t="inlineStr">
        <is>
          <t>worker/src/routes/academics.ts
worker/src/routes/academics/admin.ts
worker/src/routes/admin/export.ts
worker/src/routes/admin/inbox.ts
worker/src/routes/admin/loose.ts
worker/src/routes/admin/msg_plans.ts
… +70 more</t>
        </is>
      </c>
      <c r="J416" s="8" t="inlineStr"/>
    </row>
    <row r="417">
      <c r="A417" s="8" t="inlineStr">
        <is>
          <t>School (one per school)</t>
        </is>
      </c>
      <c r="B417" s="8" t="inlineStr">
        <is>
          <t>service_book_entries</t>
        </is>
      </c>
      <c r="C417" s="11" t="inlineStr">
        <is>
          <t>Good</t>
        </is>
      </c>
      <c r="D417" s="8" t="n">
        <v>18</v>
      </c>
      <c r="E417" s="8" t="n">
        <v>1</v>
      </c>
      <c r="F417" s="8" t="n">
        <v>7</v>
      </c>
      <c r="G417" s="8" t="inlineStr">
        <is>
          <t>0001_baseline.sql</t>
        </is>
      </c>
      <c r="H417" s="8" t="n">
        <v>2</v>
      </c>
      <c r="I417" s="8" t="inlineStr">
        <is>
          <t>worker/src/routes/hr/lifecycle.ts
worker/src/routes/hr/staff.ts</t>
        </is>
      </c>
      <c r="J417" s="8" t="inlineStr"/>
    </row>
    <row r="418">
      <c r="A418" s="8" t="inlineStr">
        <is>
          <t>School (one per school)</t>
        </is>
      </c>
      <c r="B418" s="8" t="inlineStr">
        <is>
          <t>session_activity</t>
        </is>
      </c>
      <c r="C418" s="11" t="inlineStr">
        <is>
          <t>Good</t>
        </is>
      </c>
      <c r="D418" s="8" t="n">
        <v>17</v>
      </c>
      <c r="E418" s="8" t="n">
        <v>2</v>
      </c>
      <c r="F418" s="8" t="n">
        <v>0</v>
      </c>
      <c r="G418" s="8" t="inlineStr">
        <is>
          <t>0005_session_activity.sql</t>
        </is>
      </c>
      <c r="H418" s="8" t="n">
        <v>3</v>
      </c>
      <c r="I418" s="8" t="inlineStr">
        <is>
          <t>worker/src/routes/admin/session_activity.ts
worker/src/routes/misc/profile.ts
worker/src/services/session_activity.ts</t>
        </is>
      </c>
      <c r="J418" s="8" t="inlineStr"/>
    </row>
    <row r="419">
      <c r="A419" s="8" t="inlineStr">
        <is>
          <t>School (one per school)</t>
        </is>
      </c>
      <c r="B419" s="8" t="inlineStr">
        <is>
          <t>session_activity_views</t>
        </is>
      </c>
      <c r="C419" s="11" t="inlineStr">
        <is>
          <t>Good</t>
        </is>
      </c>
      <c r="D419" s="8" t="n">
        <v>8</v>
      </c>
      <c r="E419" s="8" t="n">
        <v>2</v>
      </c>
      <c r="F419" s="8" t="n">
        <v>0</v>
      </c>
      <c r="G419" s="8" t="inlineStr">
        <is>
          <t>0005_session_activity.sql</t>
        </is>
      </c>
      <c r="H419" s="8" t="n">
        <v>3</v>
      </c>
      <c r="I419" s="8" t="inlineStr">
        <is>
          <t>worker/src/routes/admin/session_activity.ts
worker/src/routes/misc/profile.ts
worker/src/services/session_activity.ts</t>
        </is>
      </c>
      <c r="J419" s="8" t="inlineStr"/>
    </row>
    <row r="420">
      <c r="A420" s="8" t="inlineStr">
        <is>
          <t>School (one per school)</t>
        </is>
      </c>
      <c r="B420" s="8" t="inlineStr">
        <is>
          <t>session_policies</t>
        </is>
      </c>
      <c r="C420" s="11" t="inlineStr">
        <is>
          <t>Good</t>
        </is>
      </c>
      <c r="D420" s="8" t="n">
        <v>6</v>
      </c>
      <c r="E420" s="8" t="n">
        <v>0</v>
      </c>
      <c r="F420" s="8" t="n">
        <v>1</v>
      </c>
      <c r="G420" s="8" t="inlineStr">
        <is>
          <t>0001_baseline.sql</t>
        </is>
      </c>
      <c r="H420" s="8" t="n">
        <v>1</v>
      </c>
      <c r="I420" s="8" t="inlineStr">
        <is>
          <t>worker/src/routes/admin/security.ts</t>
        </is>
      </c>
      <c r="J420" s="8" t="inlineStr"/>
    </row>
    <row r="421">
      <c r="A421" s="8" t="inlineStr">
        <is>
          <t>School (one per school)</t>
        </is>
      </c>
      <c r="B421" s="8" t="inlineStr">
        <is>
          <t>session_screens</t>
        </is>
      </c>
      <c r="C421" s="11" t="inlineStr">
        <is>
          <t>Good</t>
        </is>
      </c>
      <c r="D421" s="8" t="n">
        <v>7</v>
      </c>
      <c r="E421" s="8" t="n">
        <v>1</v>
      </c>
      <c r="F421" s="8" t="n">
        <v>3</v>
      </c>
      <c r="G421" s="8" t="inlineStr">
        <is>
          <t>0001_baseline.sql</t>
        </is>
      </c>
      <c r="H421" s="8" t="n">
        <v>4</v>
      </c>
      <c r="I421" s="8" t="inlineStr">
        <is>
          <t>worker/src/routes/admin/security.ts
worker/src/routes/admin/users.ts
worker/src/routes/misc/profile.ts
worker/src/services/background/housekeeping.ts</t>
        </is>
      </c>
      <c r="J421" s="8" t="inlineStr"/>
    </row>
    <row r="422">
      <c r="A422" s="8" t="inlineStr">
        <is>
          <t>School (one per school)</t>
        </is>
      </c>
      <c r="B422" s="8" t="inlineStr">
        <is>
          <t>sessions</t>
        </is>
      </c>
      <c r="C422" s="11" t="inlineStr">
        <is>
          <t>Good</t>
        </is>
      </c>
      <c r="D422" s="8" t="n">
        <v>14</v>
      </c>
      <c r="E422" s="8" t="n">
        <v>4</v>
      </c>
      <c r="F422" s="8" t="n">
        <v>2</v>
      </c>
      <c r="G422" s="8" t="inlineStr">
        <is>
          <t>0001_baseline.sql</t>
        </is>
      </c>
      <c r="H422" s="8" t="n">
        <v>20</v>
      </c>
      <c r="I422" s="8" t="inlineStr">
        <is>
          <t>worker/src/auth/session.ts
worker/src/idcache.ts
worker/src/identity.ts
worker/src/pages/reset.ts
worker/src/routes/admin/platform_config.ts
worker/src/routes/admin/security.ts
… +14 more</t>
        </is>
      </c>
      <c r="J422" s="8" t="inlineStr"/>
    </row>
    <row r="423">
      <c r="A423" s="8" t="inlineStr">
        <is>
          <t>School (one per school)</t>
        </is>
      </c>
      <c r="B423" s="8" t="inlineStr">
        <is>
          <t>signup_orders</t>
        </is>
      </c>
      <c r="C423" s="11" t="inlineStr">
        <is>
          <t>Good</t>
        </is>
      </c>
      <c r="D423" s="8" t="n">
        <v>24</v>
      </c>
      <c r="E423" s="8" t="n">
        <v>2</v>
      </c>
      <c r="F423" s="8" t="n">
        <v>3</v>
      </c>
      <c r="G423" s="8" t="inlineStr">
        <is>
          <t>0001_baseline.sql</t>
        </is>
      </c>
      <c r="H423" s="8" t="n">
        <v>1</v>
      </c>
      <c r="I423" s="8" t="inlineStr">
        <is>
          <t>worker/src/pages/buy.ts</t>
        </is>
      </c>
      <c r="J423" s="8" t="inlineStr"/>
    </row>
    <row r="424">
      <c r="A424" s="8" t="inlineStr">
        <is>
          <t>School (one per school)</t>
        </is>
      </c>
      <c r="B424" s="8" t="inlineStr">
        <is>
          <t>sms_gateway_devices</t>
        </is>
      </c>
      <c r="C424" s="11" t="inlineStr">
        <is>
          <t>Good</t>
        </is>
      </c>
      <c r="D424" s="8" t="n">
        <v>26</v>
      </c>
      <c r="E424" s="8" t="n">
        <v>3</v>
      </c>
      <c r="F424" s="8" t="n">
        <v>5</v>
      </c>
      <c r="G424" s="8" t="inlineStr">
        <is>
          <t>0001_baseline.sql</t>
        </is>
      </c>
      <c r="H424" s="8" t="n">
        <v>3</v>
      </c>
      <c r="I424" s="8" t="inlineStr">
        <is>
          <t>worker/src/routes/admin/providers.ts
worker/src/routes/comms/sms_gateway.ts
worker/src/routes/comms/sms_gateway_public.ts</t>
        </is>
      </c>
      <c r="J424" s="8" t="inlineStr"/>
    </row>
    <row r="425">
      <c r="A425" s="8" t="inlineStr">
        <is>
          <t>School (one per school)</t>
        </is>
      </c>
      <c r="B425" s="8" t="inlineStr">
        <is>
          <t>sms_gateway_dispatch</t>
        </is>
      </c>
      <c r="C425" s="11" t="inlineStr">
        <is>
          <t>Good</t>
        </is>
      </c>
      <c r="D425" s="8" t="n">
        <v>13</v>
      </c>
      <c r="E425" s="8" t="n">
        <v>3</v>
      </c>
      <c r="F425" s="8" t="n">
        <v>3</v>
      </c>
      <c r="G425" s="8" t="inlineStr">
        <is>
          <t>0001_baseline.sql</t>
        </is>
      </c>
      <c r="H425" s="8" t="n">
        <v>1</v>
      </c>
      <c r="I425" s="8" t="inlineStr">
        <is>
          <t>worker/src/routes/comms/sms_gateway.ts</t>
        </is>
      </c>
      <c r="J425" s="8" t="inlineStr"/>
    </row>
    <row r="426">
      <c r="A426" s="8" t="inlineStr">
        <is>
          <t>School (one per school)</t>
        </is>
      </c>
      <c r="B426" s="8" t="inlineStr">
        <is>
          <t>sms_gateway_pair_codes</t>
        </is>
      </c>
      <c r="C426" s="11" t="inlineStr">
        <is>
          <t>Good</t>
        </is>
      </c>
      <c r="D426" s="8" t="n">
        <v>8</v>
      </c>
      <c r="E426" s="8" t="n">
        <v>2</v>
      </c>
      <c r="F426" s="8" t="n">
        <v>3</v>
      </c>
      <c r="G426" s="8" t="inlineStr">
        <is>
          <t>0001_baseline.sql</t>
        </is>
      </c>
      <c r="H426" s="8" t="n">
        <v>2</v>
      </c>
      <c r="I426" s="8" t="inlineStr">
        <is>
          <t>worker/src/routes/comms/sms_gateway.ts
worker/src/routes/comms/sms_gateway_public.ts</t>
        </is>
      </c>
      <c r="J426" s="8" t="inlineStr"/>
    </row>
    <row r="427">
      <c r="A427" s="8" t="inlineStr">
        <is>
          <t>School (one per school)</t>
        </is>
      </c>
      <c r="B427" s="8" t="inlineStr">
        <is>
          <t>sqaa_action_items</t>
        </is>
      </c>
      <c r="C427" s="11" t="inlineStr">
        <is>
          <t>Good</t>
        </is>
      </c>
      <c r="D427" s="8" t="n">
        <v>17</v>
      </c>
      <c r="E427" s="8" t="n">
        <v>2</v>
      </c>
      <c r="F427" s="8" t="n">
        <v>6</v>
      </c>
      <c r="G427" s="8" t="inlineStr">
        <is>
          <t>0001_baseline.sql</t>
        </is>
      </c>
      <c r="H427" s="8" t="n">
        <v>1</v>
      </c>
      <c r="I427" s="8" t="inlineStr">
        <is>
          <t>worker/src/routes/statutory.ts</t>
        </is>
      </c>
      <c r="J427" s="8" t="inlineStr"/>
    </row>
    <row r="428">
      <c r="A428" s="8" t="inlineStr">
        <is>
          <t>School (one per school)</t>
        </is>
      </c>
      <c r="B428" s="8" t="inlineStr">
        <is>
          <t>sqaa_assessment_entries</t>
        </is>
      </c>
      <c r="C428" s="11" t="inlineStr">
        <is>
          <t>Good</t>
        </is>
      </c>
      <c r="D428" s="8" t="n">
        <v>15</v>
      </c>
      <c r="E428" s="8" t="n">
        <v>2</v>
      </c>
      <c r="F428" s="8" t="n">
        <v>3</v>
      </c>
      <c r="G428" s="8" t="inlineStr">
        <is>
          <t>0001_baseline.sql</t>
        </is>
      </c>
      <c r="H428" s="8" t="n">
        <v>1</v>
      </c>
      <c r="I428" s="8" t="inlineStr">
        <is>
          <t>worker/src/routes/statutory.ts</t>
        </is>
      </c>
      <c r="J428" s="8" t="inlineStr"/>
    </row>
    <row r="429">
      <c r="A429" s="8" t="inlineStr">
        <is>
          <t>School (one per school)</t>
        </is>
      </c>
      <c r="B429" s="8" t="inlineStr">
        <is>
          <t>sqaa_assessments</t>
        </is>
      </c>
      <c r="C429" s="11" t="inlineStr">
        <is>
          <t>Good</t>
        </is>
      </c>
      <c r="D429" s="8" t="n">
        <v>18</v>
      </c>
      <c r="E429" s="8" t="n">
        <v>2</v>
      </c>
      <c r="F429" s="8" t="n">
        <v>4</v>
      </c>
      <c r="G429" s="8" t="inlineStr">
        <is>
          <t>0001_baseline.sql</t>
        </is>
      </c>
      <c r="H429" s="8" t="n">
        <v>1</v>
      </c>
      <c r="I429" s="8" t="inlineStr">
        <is>
          <t>worker/src/routes/statutory.ts</t>
        </is>
      </c>
      <c r="J429" s="8" t="inlineStr"/>
    </row>
    <row r="430">
      <c r="A430" s="8" t="inlineStr">
        <is>
          <t>School (one per school)</t>
        </is>
      </c>
      <c r="B430" s="8" t="inlineStr">
        <is>
          <t>sqaa_evidence</t>
        </is>
      </c>
      <c r="C430" s="11" t="inlineStr">
        <is>
          <t>Good</t>
        </is>
      </c>
      <c r="D430" s="8" t="n">
        <v>8</v>
      </c>
      <c r="E430" s="8" t="n">
        <v>2</v>
      </c>
      <c r="F430" s="8" t="n">
        <v>4</v>
      </c>
      <c r="G430" s="8" t="inlineStr">
        <is>
          <t>0001_baseline.sql</t>
        </is>
      </c>
      <c r="H430" s="8" t="n">
        <v>1</v>
      </c>
      <c r="I430" s="8" t="inlineStr">
        <is>
          <t>worker/src/routes/statutory.ts</t>
        </is>
      </c>
      <c r="J430" s="8" t="inlineStr"/>
    </row>
    <row r="431">
      <c r="A431" s="8" t="inlineStr">
        <is>
          <t>School (one per school)</t>
        </is>
      </c>
      <c r="B431" s="8" t="inlineStr">
        <is>
          <t>sqaa_frameworks</t>
        </is>
      </c>
      <c r="C431" s="11" t="inlineStr">
        <is>
          <t>Good</t>
        </is>
      </c>
      <c r="D431" s="8" t="n">
        <v>7</v>
      </c>
      <c r="E431" s="8" t="n">
        <v>0</v>
      </c>
      <c r="F431" s="8" t="n">
        <v>0</v>
      </c>
      <c r="G431" s="8" t="inlineStr">
        <is>
          <t>0001_baseline.sql</t>
        </is>
      </c>
      <c r="H431" s="8" t="n">
        <v>2</v>
      </c>
      <c r="I431" s="8" t="inlineStr">
        <is>
          <t>worker/src/routes/admin/platform_config.ts
worker/src/routes/statutory.ts</t>
        </is>
      </c>
      <c r="J431" s="8" t="inlineStr"/>
    </row>
    <row r="432">
      <c r="A432" s="8" t="inlineStr">
        <is>
          <t>School (one per school)</t>
        </is>
      </c>
      <c r="B432" s="8" t="inlineStr">
        <is>
          <t>sqaa_standards</t>
        </is>
      </c>
      <c r="C432" s="11" t="inlineStr">
        <is>
          <t>Good</t>
        </is>
      </c>
      <c r="D432" s="8" t="n">
        <v>9</v>
      </c>
      <c r="E432" s="8" t="n">
        <v>2</v>
      </c>
      <c r="F432" s="8" t="n">
        <v>2</v>
      </c>
      <c r="G432" s="8" t="inlineStr">
        <is>
          <t>0001_baseline.sql</t>
        </is>
      </c>
      <c r="H432" s="8" t="n">
        <v>2</v>
      </c>
      <c r="I432" s="8" t="inlineStr">
        <is>
          <t>worker/src/routes/admin/platform_config.ts
worker/src/routes/statutory.ts</t>
        </is>
      </c>
      <c r="J432" s="8" t="inlineStr"/>
    </row>
    <row r="433">
      <c r="A433" s="8" t="inlineStr">
        <is>
          <t>School (one per school)</t>
        </is>
      </c>
      <c r="B433" s="8" t="inlineStr">
        <is>
          <t>staff_attendance</t>
        </is>
      </c>
      <c r="C433" s="11" t="inlineStr">
        <is>
          <t>Good</t>
        </is>
      </c>
      <c r="D433" s="8" t="n">
        <v>13</v>
      </c>
      <c r="E433" s="8" t="n">
        <v>3</v>
      </c>
      <c r="F433" s="8" t="n">
        <v>4</v>
      </c>
      <c r="G433" s="8" t="inlineStr">
        <is>
          <t>0001_baseline.sql</t>
        </is>
      </c>
      <c r="H433" s="8" t="n">
        <v>16</v>
      </c>
      <c r="I433" s="8" t="inlineStr">
        <is>
          <t>worker/src/routes/academics/admin.ts
worker/src/routes/admin/export.ts
worker/src/routes/admin/loose.ts
worker/src/routes/admin/metrics.ts
worker/src/routes/daily.ts
worker/src/routes/growth/rollups.ts
… +10 more</t>
        </is>
      </c>
      <c r="J433" s="8" t="inlineStr"/>
    </row>
    <row r="434">
      <c r="A434" s="8" t="inlineStr">
        <is>
          <t>School (one per school)</t>
        </is>
      </c>
      <c r="B434" s="8" t="inlineStr">
        <is>
          <t>staff_celebration_greetings</t>
        </is>
      </c>
      <c r="C434" s="11" t="inlineStr">
        <is>
          <t>Good</t>
        </is>
      </c>
      <c r="D434" s="8" t="n">
        <v>8</v>
      </c>
      <c r="E434" s="8" t="n">
        <v>1</v>
      </c>
      <c r="F434" s="8" t="n">
        <v>3</v>
      </c>
      <c r="G434" s="8" t="inlineStr">
        <is>
          <t>0001_baseline.sql</t>
        </is>
      </c>
      <c r="H434" s="8" t="n">
        <v>1</v>
      </c>
      <c r="I434" s="8" t="inlineStr">
        <is>
          <t>worker/src/routes/hr/lifecycle.ts</t>
        </is>
      </c>
      <c r="J434" s="8" t="inlineStr"/>
    </row>
    <row r="435">
      <c r="A435" s="8" t="inlineStr">
        <is>
          <t>School (one per school)</t>
        </is>
      </c>
      <c r="B435" s="8" t="inlineStr">
        <is>
          <t>staff_exits</t>
        </is>
      </c>
      <c r="C435" s="11" t="inlineStr">
        <is>
          <t>Good</t>
        </is>
      </c>
      <c r="D435" s="8" t="n">
        <v>25</v>
      </c>
      <c r="E435" s="8" t="n">
        <v>2</v>
      </c>
      <c r="F435" s="8" t="n">
        <v>4</v>
      </c>
      <c r="G435" s="8" t="inlineStr">
        <is>
          <t>0001_baseline.sql</t>
        </is>
      </c>
      <c r="H435" s="8" t="n">
        <v>2</v>
      </c>
      <c r="I435" s="8" t="inlineStr">
        <is>
          <t>worker/src/routes/growth/rollups.ts
worker/src/routes/hr/lifecycle.ts</t>
        </is>
      </c>
      <c r="J435" s="8" t="inlineStr"/>
    </row>
    <row r="436">
      <c r="A436" s="8" t="inlineStr">
        <is>
          <t>School (one per school)</t>
        </is>
      </c>
      <c r="B436" s="8" t="inlineStr">
        <is>
          <t>staff_grievance_updates</t>
        </is>
      </c>
      <c r="C436" s="11" t="inlineStr">
        <is>
          <t>Good</t>
        </is>
      </c>
      <c r="D436" s="8" t="n">
        <v>10</v>
      </c>
      <c r="E436" s="8" t="n">
        <v>1</v>
      </c>
      <c r="F436" s="8" t="n">
        <v>0</v>
      </c>
      <c r="G436" s="8" t="inlineStr">
        <is>
          <t>0006_concerns_pipeline.sql</t>
        </is>
      </c>
      <c r="H436" s="8" t="n">
        <v>1</v>
      </c>
      <c r="I436" s="8" t="inlineStr">
        <is>
          <t>worker/src/routes/hr/concerns.ts</t>
        </is>
      </c>
      <c r="J436" s="8" t="inlineStr"/>
    </row>
    <row r="437">
      <c r="A437" s="8" t="inlineStr">
        <is>
          <t>School (one per school)</t>
        </is>
      </c>
      <c r="B437" s="8" t="inlineStr">
        <is>
          <t>staff_grievances</t>
        </is>
      </c>
      <c r="C437" s="11" t="inlineStr">
        <is>
          <t>Good</t>
        </is>
      </c>
      <c r="D437" s="8" t="n">
        <v>17</v>
      </c>
      <c r="E437" s="8" t="n">
        <v>3</v>
      </c>
      <c r="F437" s="8" t="n">
        <v>4</v>
      </c>
      <c r="G437" s="8" t="inlineStr">
        <is>
          <t>0001_baseline.sql</t>
        </is>
      </c>
      <c r="H437" s="8" t="n">
        <v>1</v>
      </c>
      <c r="I437" s="8" t="inlineStr">
        <is>
          <t>worker/src/routes/hr/concerns.ts</t>
        </is>
      </c>
      <c r="J437" s="8" t="inlineStr"/>
    </row>
    <row r="438">
      <c r="A438" s="8" t="inlineStr">
        <is>
          <t>School (one per school)</t>
        </is>
      </c>
      <c r="B438" s="8" t="inlineStr">
        <is>
          <t>staff_loans</t>
        </is>
      </c>
      <c r="C438" s="11" t="inlineStr">
        <is>
          <t>Good</t>
        </is>
      </c>
      <c r="D438" s="8" t="n">
        <v>13</v>
      </c>
      <c r="E438" s="8" t="n">
        <v>0</v>
      </c>
      <c r="F438" s="8" t="n">
        <v>3</v>
      </c>
      <c r="G438" s="8" t="inlineStr">
        <is>
          <t>0001_baseline.sql</t>
        </is>
      </c>
      <c r="H438" s="8" t="n">
        <v>1</v>
      </c>
      <c r="I438" s="8" t="inlineStr">
        <is>
          <t>worker/src/routes/payroll.ts</t>
        </is>
      </c>
      <c r="J438" s="8" t="inlineStr"/>
    </row>
    <row r="439">
      <c r="A439" s="8" t="inlineStr">
        <is>
          <t>School (one per school)</t>
        </is>
      </c>
      <c r="B439" s="8" t="inlineStr">
        <is>
          <t>staff_messages</t>
        </is>
      </c>
      <c r="C439" s="11" t="inlineStr">
        <is>
          <t>Good</t>
        </is>
      </c>
      <c r="D439" s="8" t="n">
        <v>12</v>
      </c>
      <c r="E439" s="8" t="n">
        <v>4</v>
      </c>
      <c r="F439" s="8" t="n">
        <v>4</v>
      </c>
      <c r="G439" s="8" t="inlineStr">
        <is>
          <t>0001_baseline.sql</t>
        </is>
      </c>
      <c r="H439" s="8" t="n">
        <v>3</v>
      </c>
      <c r="I439" s="8" t="inlineStr">
        <is>
          <t>worker/src/routes/admin/inbox.ts
worker/src/routes/admin/security.ts
worker/src/routes/misc/chat.ts</t>
        </is>
      </c>
      <c r="J439" s="8" t="inlineStr"/>
    </row>
    <row r="440">
      <c r="A440" s="8" t="inlineStr">
        <is>
          <t>School (one per school)</t>
        </is>
      </c>
      <c r="B440" s="8" t="inlineStr">
        <is>
          <t>staff_onboarding</t>
        </is>
      </c>
      <c r="C440" s="11" t="inlineStr">
        <is>
          <t>Good</t>
        </is>
      </c>
      <c r="D440" s="8" t="n">
        <v>20</v>
      </c>
      <c r="E440" s="8" t="n">
        <v>1</v>
      </c>
      <c r="F440" s="8" t="n">
        <v>4</v>
      </c>
      <c r="G440" s="8" t="inlineStr">
        <is>
          <t>0001_baseline.sql</t>
        </is>
      </c>
      <c r="H440" s="8" t="n">
        <v>1</v>
      </c>
      <c r="I440" s="8" t="inlineStr">
        <is>
          <t>worker/src/routes/hr/lifecycle.ts</t>
        </is>
      </c>
      <c r="J440" s="8" t="inlineStr"/>
    </row>
    <row r="441">
      <c r="A441" s="8" t="inlineStr">
        <is>
          <t>School (one per school)</t>
        </is>
      </c>
      <c r="B441" s="8" t="inlineStr">
        <is>
          <t>staff_qualifications</t>
        </is>
      </c>
      <c r="C441" s="11" t="inlineStr">
        <is>
          <t>Good</t>
        </is>
      </c>
      <c r="D441" s="8" t="n">
        <v>18</v>
      </c>
      <c r="E441" s="8" t="n">
        <v>1</v>
      </c>
      <c r="F441" s="8" t="n">
        <v>4</v>
      </c>
      <c r="G441" s="8" t="inlineStr">
        <is>
          <t>0001_baseline.sql</t>
        </is>
      </c>
      <c r="H441" s="8" t="n">
        <v>3</v>
      </c>
      <c r="I441" s="8" t="inlineStr">
        <is>
          <t>worker/src/routes/growth/rollups.ts
worker/src/routes/hr/lifecycle.ts
worker/src/routes/hr/staff.ts</t>
        </is>
      </c>
      <c r="J441" s="8" t="inlineStr"/>
    </row>
    <row r="442">
      <c r="A442" s="8" t="inlineStr">
        <is>
          <t>School (one per school)</t>
        </is>
      </c>
      <c r="B442" s="8" t="inlineStr">
        <is>
          <t>staff_recognitions</t>
        </is>
      </c>
      <c r="C442" s="11" t="inlineStr">
        <is>
          <t>Good</t>
        </is>
      </c>
      <c r="D442" s="8" t="n">
        <v>13</v>
      </c>
      <c r="E442" s="8" t="n">
        <v>2</v>
      </c>
      <c r="F442" s="8" t="n">
        <v>4</v>
      </c>
      <c r="G442" s="8" t="inlineStr">
        <is>
          <t>0001_baseline.sql</t>
        </is>
      </c>
      <c r="H442" s="8" t="n">
        <v>1</v>
      </c>
      <c r="I442" s="8" t="inlineStr">
        <is>
          <t>worker/src/routes/hr/lifecycle.ts</t>
        </is>
      </c>
      <c r="J442" s="8" t="inlineStr"/>
    </row>
    <row r="443">
      <c r="A443" s="8" t="inlineStr">
        <is>
          <t>School (one per school)</t>
        </is>
      </c>
      <c r="B443" s="8" t="inlineStr">
        <is>
          <t>staff_remarks</t>
        </is>
      </c>
      <c r="C443" s="11" t="inlineStr">
        <is>
          <t>Good</t>
        </is>
      </c>
      <c r="D443" s="8" t="n">
        <v>10</v>
      </c>
      <c r="E443" s="8" t="n">
        <v>3</v>
      </c>
      <c r="F443" s="8" t="n">
        <v>4</v>
      </c>
      <c r="G443" s="8" t="inlineStr">
        <is>
          <t>0001_baseline.sql</t>
        </is>
      </c>
      <c r="H443" s="8" t="n">
        <v>1</v>
      </c>
      <c r="I443" s="8" t="inlineStr">
        <is>
          <t>worker/src/routes/misc/chat.ts</t>
        </is>
      </c>
      <c r="J443" s="8" t="inlineStr"/>
    </row>
    <row r="444">
      <c r="A444" s="8" t="inlineStr">
        <is>
          <t>School (one per school)</t>
        </is>
      </c>
      <c r="B444" s="8" t="inlineStr">
        <is>
          <t>staff_training_records</t>
        </is>
      </c>
      <c r="C444" s="11" t="inlineStr">
        <is>
          <t>Good</t>
        </is>
      </c>
      <c r="D444" s="8" t="n">
        <v>15</v>
      </c>
      <c r="E444" s="8" t="n">
        <v>2</v>
      </c>
      <c r="F444" s="8" t="n">
        <v>5</v>
      </c>
      <c r="G444" s="8" t="inlineStr">
        <is>
          <t>0001_baseline.sql</t>
        </is>
      </c>
      <c r="H444" s="8" t="n">
        <v>1</v>
      </c>
      <c r="I444" s="8" t="inlineStr">
        <is>
          <t>worker/src/routes/growth/hr_training.ts</t>
        </is>
      </c>
      <c r="J444" s="8" t="inlineStr"/>
    </row>
    <row r="445">
      <c r="A445" s="8" t="inlineStr">
        <is>
          <t>School (one per school)</t>
        </is>
      </c>
      <c r="B445" s="8" t="inlineStr">
        <is>
          <t>staff_transfers</t>
        </is>
      </c>
      <c r="C445" s="11" t="inlineStr">
        <is>
          <t>Good</t>
        </is>
      </c>
      <c r="D445" s="8" t="n">
        <v>18</v>
      </c>
      <c r="E445" s="8" t="n">
        <v>1</v>
      </c>
      <c r="F445" s="8" t="n">
        <v>5</v>
      </c>
      <c r="G445" s="8" t="inlineStr">
        <is>
          <t>0001_baseline.sql</t>
        </is>
      </c>
      <c r="H445" s="8" t="n">
        <v>2</v>
      </c>
      <c r="I445" s="8" t="inlineStr">
        <is>
          <t>worker/src/routes/growth/rollups.ts
worker/src/routes/hr/lifecycle.ts</t>
        </is>
      </c>
      <c r="J445" s="8" t="inlineStr"/>
    </row>
    <row r="446">
      <c r="A446" s="8" t="inlineStr">
        <is>
          <t>School (one per school)</t>
        </is>
      </c>
      <c r="B446" s="8" t="inlineStr">
        <is>
          <t>status_posts</t>
        </is>
      </c>
      <c r="C446" s="11" t="inlineStr">
        <is>
          <t>Good</t>
        </is>
      </c>
      <c r="D446" s="8" t="n">
        <v>20</v>
      </c>
      <c r="E446" s="8" t="n">
        <v>3</v>
      </c>
      <c r="F446" s="8" t="n">
        <v>0</v>
      </c>
      <c r="G446" s="8" t="inlineStr">
        <is>
          <t>0020_feature_class_status.sql</t>
        </is>
      </c>
      <c r="H446" s="8" t="n">
        <v>2</v>
      </c>
      <c r="I446" s="8" t="inlineStr">
        <is>
          <t>worker/src/routes/comms/class_status.ts
worker/src/services/class_status.ts</t>
        </is>
      </c>
      <c r="J446" s="8" t="inlineStr"/>
    </row>
    <row r="447">
      <c r="A447" s="8" t="inlineStr">
        <is>
          <t>School (one per school)</t>
        </is>
      </c>
      <c r="B447" s="8" t="inlineStr">
        <is>
          <t>status_views</t>
        </is>
      </c>
      <c r="C447" s="11" t="inlineStr">
        <is>
          <t>Good</t>
        </is>
      </c>
      <c r="D447" s="8" t="n">
        <v>4</v>
      </c>
      <c r="E447" s="8" t="n">
        <v>1</v>
      </c>
      <c r="F447" s="8" t="n">
        <v>0</v>
      </c>
      <c r="G447" s="8" t="inlineStr">
        <is>
          <t>0020_feature_class_status.sql</t>
        </is>
      </c>
      <c r="H447" s="8" t="n">
        <v>2</v>
      </c>
      <c r="I447" s="8" t="inlineStr">
        <is>
          <t>worker/src/routes/comms/class_status.ts
worker/src/services/class_status.ts</t>
        </is>
      </c>
      <c r="J447" s="8" t="inlineStr"/>
    </row>
    <row r="448">
      <c r="A448" s="8" t="inlineStr">
        <is>
          <t>School (one per school)</t>
        </is>
      </c>
      <c r="B448" s="8" t="inlineStr">
        <is>
          <t>store_product_variants</t>
        </is>
      </c>
      <c r="C448" s="11" t="inlineStr">
        <is>
          <t>Good</t>
        </is>
      </c>
      <c r="D448" s="8" t="n">
        <v>10</v>
      </c>
      <c r="E448" s="8" t="n">
        <v>3</v>
      </c>
      <c r="F448" s="8" t="n">
        <v>3</v>
      </c>
      <c r="G448" s="8" t="inlineStr">
        <is>
          <t>0001_baseline.sql</t>
        </is>
      </c>
      <c r="H448" s="8" t="n">
        <v>2</v>
      </c>
      <c r="I448" s="8" t="inlineStr">
        <is>
          <t>worker/src/routes/fees/collections.ts
worker/src/routes/misc/shell.ts</t>
        </is>
      </c>
      <c r="J448" s="8" t="inlineStr"/>
    </row>
    <row r="449">
      <c r="A449" s="8" t="inlineStr">
        <is>
          <t>School (one per school)</t>
        </is>
      </c>
      <c r="B449" s="8" t="inlineStr">
        <is>
          <t>store_products</t>
        </is>
      </c>
      <c r="C449" s="11" t="inlineStr">
        <is>
          <t>Good</t>
        </is>
      </c>
      <c r="D449" s="8" t="n">
        <v>16</v>
      </c>
      <c r="E449" s="8" t="n">
        <v>2</v>
      </c>
      <c r="F449" s="8" t="n">
        <v>3</v>
      </c>
      <c r="G449" s="8" t="inlineStr">
        <is>
          <t>0001_baseline.sql</t>
        </is>
      </c>
      <c r="H449" s="8" t="n">
        <v>2</v>
      </c>
      <c r="I449" s="8" t="inlineStr">
        <is>
          <t>worker/src/routes/fees/collections.ts
worker/src/routes/misc/shell.ts</t>
        </is>
      </c>
      <c r="J449" s="8" t="inlineStr"/>
    </row>
    <row r="450">
      <c r="A450" s="8" t="inlineStr">
        <is>
          <t>School (one per school)</t>
        </is>
      </c>
      <c r="B450" s="8" t="inlineStr">
        <is>
          <t>student_absence_followup</t>
        </is>
      </c>
      <c r="C450" s="11" t="inlineStr">
        <is>
          <t>Good</t>
        </is>
      </c>
      <c r="D450" s="8" t="n">
        <v>7</v>
      </c>
      <c r="E450" s="8" t="n">
        <v>1</v>
      </c>
      <c r="F450" s="8" t="n">
        <v>1</v>
      </c>
      <c r="G450" s="8" t="inlineStr">
        <is>
          <t>0001_baseline.sql</t>
        </is>
      </c>
      <c r="H450" s="8" t="n">
        <v>2</v>
      </c>
      <c r="I450" s="8" t="inlineStr">
        <is>
          <t>worker/src/routes/admin/export.ts
worker/src/routes/daily.ts</t>
        </is>
      </c>
      <c r="J450" s="8" t="inlineStr"/>
    </row>
    <row r="451">
      <c r="A451" s="8" t="inlineStr">
        <is>
          <t>School (one per school)</t>
        </is>
      </c>
      <c r="B451" s="8" t="inlineStr">
        <is>
          <t>student_achievements</t>
        </is>
      </c>
      <c r="C451" s="11" t="inlineStr">
        <is>
          <t>Good</t>
        </is>
      </c>
      <c r="D451" s="8" t="n">
        <v>20</v>
      </c>
      <c r="E451" s="8" t="n">
        <v>3</v>
      </c>
      <c r="F451" s="8" t="n">
        <v>6</v>
      </c>
      <c r="G451" s="8" t="inlineStr">
        <is>
          <t>0001_baseline.sql</t>
        </is>
      </c>
      <c r="H451" s="8" t="n">
        <v>6</v>
      </c>
      <c r="I451" s="8" t="inlineStr">
        <is>
          <t>worker/src/routes/comms/classroom.ts
worker/src/routes/comms/showcase.ts
worker/src/routes/portal/extra.ts
worker/src/routes/portal/learning.ts
worker/src/routes/portal/life.ts
worker/src/services/ai/context.ts</t>
        </is>
      </c>
      <c r="J451" s="8" t="inlineStr"/>
    </row>
    <row r="452">
      <c r="A452" s="8" t="inlineStr">
        <is>
          <t>School (one per school)</t>
        </is>
      </c>
      <c r="B452" s="8" t="inlineStr">
        <is>
          <t>student_activities</t>
        </is>
      </c>
      <c r="C452" s="11" t="inlineStr">
        <is>
          <t>Good</t>
        </is>
      </c>
      <c r="D452" s="8" t="n">
        <v>12</v>
      </c>
      <c r="E452" s="8" t="n">
        <v>2</v>
      </c>
      <c r="F452" s="8" t="n">
        <v>5</v>
      </c>
      <c r="G452" s="8" t="inlineStr">
        <is>
          <t>0001_baseline.sql</t>
        </is>
      </c>
      <c r="H452" s="8" t="n">
        <v>2</v>
      </c>
      <c r="I452" s="8" t="inlineStr">
        <is>
          <t>worker/src/routes/academics.ts
worker/src/routes/students.ts</t>
        </is>
      </c>
      <c r="J452" s="8" t="inlineStr"/>
    </row>
    <row r="453">
      <c r="A453" s="8" t="inlineStr">
        <is>
          <t>School (one per school)</t>
        </is>
      </c>
      <c r="B453" s="8" t="inlineStr">
        <is>
          <t>student_activity_days</t>
        </is>
      </c>
      <c r="C453" s="11" t="inlineStr">
        <is>
          <t>Good</t>
        </is>
      </c>
      <c r="D453" s="8" t="n">
        <v>3</v>
      </c>
      <c r="E453" s="8" t="n">
        <v>1</v>
      </c>
      <c r="F453" s="8" t="n">
        <v>2</v>
      </c>
      <c r="G453" s="8" t="inlineStr">
        <is>
          <t>0001_baseline.sql</t>
        </is>
      </c>
      <c r="H453" s="8" t="n">
        <v>1</v>
      </c>
      <c r="I453" s="8" t="inlineStr">
        <is>
          <t>worker/src/routes/portal/life.ts</t>
        </is>
      </c>
      <c r="J453" s="8" t="inlineStr"/>
    </row>
    <row r="454">
      <c r="A454" s="8" t="inlineStr">
        <is>
          <t>School (one per school)</t>
        </is>
      </c>
      <c r="B454" s="8" t="inlineStr">
        <is>
          <t>student_attendance</t>
        </is>
      </c>
      <c r="C454" s="11" t="inlineStr">
        <is>
          <t>Good</t>
        </is>
      </c>
      <c r="D454" s="8" t="n">
        <v>17</v>
      </c>
      <c r="E454" s="8" t="n">
        <v>8</v>
      </c>
      <c r="F454" s="8" t="n">
        <v>7</v>
      </c>
      <c r="G454" s="8" t="inlineStr">
        <is>
          <t>0001_baseline.sql</t>
        </is>
      </c>
      <c r="H454" s="8" t="n">
        <v>32</v>
      </c>
      <c r="I454" s="8" t="inlineStr">
        <is>
          <t>worker/src/routes/academics/admin.ts
worker/src/routes/admin/export.ts
worker/src/routes/admin/loose.ts
worker/src/routes/admin/metrics.ts
worker/src/routes/admin/msg_plans.ts
worker/src/routes/admin/platform_config.ts
… +26 more</t>
        </is>
      </c>
      <c r="J454" s="8" t="inlineStr"/>
    </row>
    <row r="455">
      <c r="A455" s="8" t="inlineStr">
        <is>
          <t>School (one per school)</t>
        </is>
      </c>
      <c r="B455" s="8" t="inlineStr">
        <is>
          <t>student_bank_accounts</t>
        </is>
      </c>
      <c r="C455" s="11" t="inlineStr">
        <is>
          <t>Good</t>
        </is>
      </c>
      <c r="D455" s="8" t="n">
        <v>21</v>
      </c>
      <c r="E455" s="8" t="n">
        <v>3</v>
      </c>
      <c r="F455" s="8" t="n">
        <v>5</v>
      </c>
      <c r="G455" s="8" t="inlineStr">
        <is>
          <t>0001_baseline.sql</t>
        </is>
      </c>
      <c r="H455" s="8" t="n">
        <v>2</v>
      </c>
      <c r="I455" s="8" t="inlineStr">
        <is>
          <t>worker/src/routes/fees/banking.ts
worker/src/routes/fees/concessions.ts</t>
        </is>
      </c>
      <c r="J455" s="8" t="inlineStr"/>
    </row>
    <row r="456">
      <c r="A456" s="8" t="inlineStr">
        <is>
          <t>School (one per school)</t>
        </is>
      </c>
      <c r="B456" s="8" t="inlineStr">
        <is>
          <t>student_content_moderation</t>
        </is>
      </c>
      <c r="C456" s="11" t="inlineStr">
        <is>
          <t>Good</t>
        </is>
      </c>
      <c r="D456" s="8" t="n">
        <v>8</v>
      </c>
      <c r="E456" s="8" t="n">
        <v>2</v>
      </c>
      <c r="F456" s="8" t="n">
        <v>2</v>
      </c>
      <c r="G456" s="8" t="inlineStr">
        <is>
          <t>0001_baseline.sql</t>
        </is>
      </c>
      <c r="H456" s="8" t="n">
        <v>1</v>
      </c>
      <c r="I456" s="8" t="inlineStr">
        <is>
          <t>worker/src/routes/portal/life.ts</t>
        </is>
      </c>
      <c r="J456" s="8" t="inlineStr"/>
    </row>
    <row r="457">
      <c r="A457" s="8" t="inlineStr">
        <is>
          <t>School (one per school)</t>
        </is>
      </c>
      <c r="B457" s="8" t="inlineStr">
        <is>
          <t>student_diary_notes</t>
        </is>
      </c>
      <c r="C457" s="11" t="inlineStr">
        <is>
          <t>Good</t>
        </is>
      </c>
      <c r="D457" s="8" t="n">
        <v>12</v>
      </c>
      <c r="E457" s="8" t="n">
        <v>2</v>
      </c>
      <c r="F457" s="8" t="n">
        <v>3</v>
      </c>
      <c r="G457" s="8" t="inlineStr">
        <is>
          <t>0001_baseline.sql</t>
        </is>
      </c>
      <c r="H457" s="8" t="n">
        <v>2</v>
      </c>
      <c r="I457" s="8" t="inlineStr">
        <is>
          <t>worker/src/routes/portal/life.ts
worker/src/services/background/housekeeping.ts</t>
        </is>
      </c>
      <c r="J457" s="8" t="inlineStr"/>
    </row>
    <row r="458">
      <c r="A458" s="8" t="inlineStr">
        <is>
          <t>School (one per school)</t>
        </is>
      </c>
      <c r="B458" s="8" t="inlineStr">
        <is>
          <t>student_documents</t>
        </is>
      </c>
      <c r="C458" s="11" t="inlineStr">
        <is>
          <t>Good</t>
        </is>
      </c>
      <c r="D458" s="8" t="n">
        <v>9</v>
      </c>
      <c r="E458" s="8" t="n">
        <v>2</v>
      </c>
      <c r="F458" s="8" t="n">
        <v>4</v>
      </c>
      <c r="G458" s="8" t="inlineStr">
        <is>
          <t>0001_baseline.sql</t>
        </is>
      </c>
      <c r="H458" s="8" t="n">
        <v>3</v>
      </c>
      <c r="I458" s="8" t="inlineStr">
        <is>
          <t>worker/src/routes/misc/files.ts
worker/src/routes/portal/requests.ts
worker/src/routes/students.ts</t>
        </is>
      </c>
      <c r="J458" s="8" t="inlineStr"/>
    </row>
    <row r="459">
      <c r="A459" s="8" t="inlineStr">
        <is>
          <t>School (one per school)</t>
        </is>
      </c>
      <c r="B459" s="8" t="inlineStr">
        <is>
          <t>student_fee_components</t>
        </is>
      </c>
      <c r="C459" s="11" t="inlineStr">
        <is>
          <t>Good</t>
        </is>
      </c>
      <c r="D459" s="8" t="n">
        <v>13</v>
      </c>
      <c r="E459" s="8" t="n">
        <v>3</v>
      </c>
      <c r="F459" s="8" t="n">
        <v>4</v>
      </c>
      <c r="G459" s="8" t="inlineStr">
        <is>
          <t>0001_baseline.sql</t>
        </is>
      </c>
      <c r="H459" s="8" t="n">
        <v>3</v>
      </c>
      <c r="I459" s="8" t="inlineStr">
        <is>
          <t>worker/src/routes/fees/invoicing.ts
worker/src/routes/ops/transport_office.ts
worker/src/routes/students.ts</t>
        </is>
      </c>
      <c r="J459" s="8" t="inlineStr"/>
    </row>
    <row r="460">
      <c r="A460" s="8" t="inlineStr">
        <is>
          <t>School (one per school)</t>
        </is>
      </c>
      <c r="B460" s="8" t="inlineStr">
        <is>
          <t>student_fee_optins</t>
        </is>
      </c>
      <c r="C460" s="11" t="inlineStr">
        <is>
          <t>Good</t>
        </is>
      </c>
      <c r="D460" s="8" t="n">
        <v>9</v>
      </c>
      <c r="E460" s="8" t="n">
        <v>2</v>
      </c>
      <c r="F460" s="8" t="n">
        <v>4</v>
      </c>
      <c r="G460" s="8" t="inlineStr">
        <is>
          <t>0001_baseline.sql</t>
        </is>
      </c>
      <c r="H460" s="8" t="n">
        <v>1</v>
      </c>
      <c r="I460" s="8" t="inlineStr">
        <is>
          <t>worker/src/routes/setup/academics.ts</t>
        </is>
      </c>
      <c r="J460" s="8" t="inlineStr"/>
    </row>
    <row r="461">
      <c r="A461" s="8" t="inlineStr">
        <is>
          <t>School (one per school)</t>
        </is>
      </c>
      <c r="B461" s="8" t="inlineStr">
        <is>
          <t>student_guardians</t>
        </is>
      </c>
      <c r="C461" s="11" t="inlineStr">
        <is>
          <t>Good</t>
        </is>
      </c>
      <c r="D461" s="8" t="n">
        <v>7</v>
      </c>
      <c r="E461" s="8" t="n">
        <v>3</v>
      </c>
      <c r="F461" s="8" t="n">
        <v>3</v>
      </c>
      <c r="G461" s="8" t="inlineStr">
        <is>
          <t>0001_baseline.sql</t>
        </is>
      </c>
      <c r="H461" s="8" t="n">
        <v>41</v>
      </c>
      <c r="I461" s="8" t="inlineStr">
        <is>
          <t>worker/src/routes/academics/admin.ts
worker/src/routes/admin/export.ts
worker/src/routes/admin/msg_plans.ts
worker/src/routes/admin/security.ts
worker/src/routes/admin/student_logins.ts
worker/src/routes/admin/users.ts
… +35 more</t>
        </is>
      </c>
      <c r="J461" s="8" t="inlineStr"/>
    </row>
    <row r="462">
      <c r="A462" s="8" t="inlineStr">
        <is>
          <t>School (one per school)</t>
        </is>
      </c>
      <c r="B462" s="8" t="inlineStr">
        <is>
          <t>student_health</t>
        </is>
      </c>
      <c r="C462" s="11" t="inlineStr">
        <is>
          <t>Good</t>
        </is>
      </c>
      <c r="D462" s="8" t="n">
        <v>9</v>
      </c>
      <c r="E462" s="8" t="n">
        <v>1</v>
      </c>
      <c r="F462" s="8" t="n">
        <v>2</v>
      </c>
      <c r="G462" s="8" t="inlineStr">
        <is>
          <t>0001_baseline.sql</t>
        </is>
      </c>
      <c r="H462" s="8" t="n">
        <v>3</v>
      </c>
      <c r="I462" s="8" t="inlineStr">
        <is>
          <t>worker/src/routes/ops/infirmary.ts
worker/src/routes/portal/school_life.ts
worker/src/routes/students.ts</t>
        </is>
      </c>
      <c r="J462" s="8" t="inlineStr"/>
    </row>
    <row r="463">
      <c r="A463" s="8" t="inlineStr">
        <is>
          <t>School (one per school)</t>
        </is>
      </c>
      <c r="B463" s="8" t="inlineStr">
        <is>
          <t>student_language_elections</t>
        </is>
      </c>
      <c r="C463" s="11" t="inlineStr">
        <is>
          <t>Good</t>
        </is>
      </c>
      <c r="D463" s="8" t="n">
        <v>12</v>
      </c>
      <c r="E463" s="8" t="n">
        <v>2</v>
      </c>
      <c r="F463" s="8" t="n">
        <v>5</v>
      </c>
      <c r="G463" s="8" t="inlineStr">
        <is>
          <t>0001_baseline.sql</t>
        </is>
      </c>
      <c r="H463" s="8" t="n">
        <v>1</v>
      </c>
      <c r="I463" s="8" t="inlineStr">
        <is>
          <t>worker/src/routes/comms/classroom.ts</t>
        </is>
      </c>
      <c r="J463" s="8" t="inlineStr"/>
    </row>
    <row r="464">
      <c r="A464" s="8" t="inlineStr">
        <is>
          <t>School (one per school)</t>
        </is>
      </c>
      <c r="B464" s="8" t="inlineStr">
        <is>
          <t>student_lockers</t>
        </is>
      </c>
      <c r="C464" s="11" t="inlineStr">
        <is>
          <t>Good</t>
        </is>
      </c>
      <c r="D464" s="8" t="n">
        <v>10</v>
      </c>
      <c r="E464" s="8" t="n">
        <v>2</v>
      </c>
      <c r="F464" s="8" t="n">
        <v>3</v>
      </c>
      <c r="G464" s="8" t="inlineStr">
        <is>
          <t>0001_baseline.sql</t>
        </is>
      </c>
      <c r="H464" s="8" t="n">
        <v>1</v>
      </c>
      <c r="I464" s="8" t="inlineStr">
        <is>
          <t>worker/src/routes/portal/learning.ts</t>
        </is>
      </c>
      <c r="J464" s="8" t="inlineStr"/>
    </row>
    <row r="465">
      <c r="A465" s="8" t="inlineStr">
        <is>
          <t>School (one per school)</t>
        </is>
      </c>
      <c r="B465" s="8" t="inlineStr">
        <is>
          <t>student_portfolio_curations</t>
        </is>
      </c>
      <c r="C465" s="11" t="inlineStr">
        <is>
          <t>Good</t>
        </is>
      </c>
      <c r="D465" s="8" t="n">
        <v>13</v>
      </c>
      <c r="E465" s="8" t="n">
        <v>2</v>
      </c>
      <c r="F465" s="8" t="n">
        <v>5</v>
      </c>
      <c r="G465" s="8" t="inlineStr">
        <is>
          <t>0001_baseline.sql</t>
        </is>
      </c>
      <c r="H465" s="8" t="n">
        <v>1</v>
      </c>
      <c r="I465" s="8" t="inlineStr">
        <is>
          <t>worker/src/routes/comms/classroom.ts</t>
        </is>
      </c>
      <c r="J465" s="8" t="inlineStr"/>
    </row>
    <row r="466">
      <c r="A466" s="8" t="inlineStr">
        <is>
          <t>School (one per school)</t>
        </is>
      </c>
      <c r="B466" s="8" t="inlineStr">
        <is>
          <t>student_portfolio_items</t>
        </is>
      </c>
      <c r="C466" s="11" t="inlineStr">
        <is>
          <t>Good</t>
        </is>
      </c>
      <c r="D466" s="8" t="n">
        <v>13</v>
      </c>
      <c r="E466" s="8" t="n">
        <v>2</v>
      </c>
      <c r="F466" s="8" t="n">
        <v>4</v>
      </c>
      <c r="G466" s="8" t="inlineStr">
        <is>
          <t>0001_baseline.sql</t>
        </is>
      </c>
      <c r="H466" s="8" t="n">
        <v>2</v>
      </c>
      <c r="I466" s="8" t="inlineStr">
        <is>
          <t>worker/src/routes/comms/classroom.ts
worker/src/routes/portal/learning.ts</t>
        </is>
      </c>
      <c r="J466" s="8" t="inlineStr"/>
    </row>
    <row r="467">
      <c r="A467" s="8" t="inlineStr">
        <is>
          <t>School (one per school)</t>
        </is>
      </c>
      <c r="B467" s="8" t="inlineStr">
        <is>
          <t>student_remarks</t>
        </is>
      </c>
      <c r="C467" s="11" t="inlineStr">
        <is>
          <t>Good</t>
        </is>
      </c>
      <c r="D467" s="8" t="n">
        <v>13</v>
      </c>
      <c r="E467" s="8" t="n">
        <v>3</v>
      </c>
      <c r="F467" s="8" t="n">
        <v>6</v>
      </c>
      <c r="G467" s="8" t="inlineStr">
        <is>
          <t>0001_baseline.sql</t>
        </is>
      </c>
      <c r="H467" s="8" t="n">
        <v>4</v>
      </c>
      <c r="I467" s="8" t="inlineStr">
        <is>
          <t>worker/src/routes/admin/security.ts
worker/src/routes/portal/life.ts
worker/src/routes/teaching/comms.ts
worker/src/services/ai/context.ts</t>
        </is>
      </c>
      <c r="J467" s="8" t="inlineStr"/>
    </row>
    <row r="468">
      <c r="A468" s="8" t="inlineStr">
        <is>
          <t>School (one per school)</t>
        </is>
      </c>
      <c r="B468" s="8" t="inlineStr">
        <is>
          <t>student_support_goal_updates</t>
        </is>
      </c>
      <c r="C468" s="11" t="inlineStr">
        <is>
          <t>Good</t>
        </is>
      </c>
      <c r="D468" s="8" t="n">
        <v>8</v>
      </c>
      <c r="E468" s="8" t="n">
        <v>2</v>
      </c>
      <c r="F468" s="8" t="n">
        <v>3</v>
      </c>
      <c r="G468" s="8" t="inlineStr">
        <is>
          <t>0001_baseline.sql</t>
        </is>
      </c>
      <c r="H468" s="8" t="n">
        <v>1</v>
      </c>
      <c r="I468" s="8" t="inlineStr">
        <is>
          <t>worker/src/routes/portal/school_life.ts</t>
        </is>
      </c>
      <c r="J468" s="8" t="inlineStr"/>
    </row>
    <row r="469">
      <c r="A469" s="8" t="inlineStr">
        <is>
          <t>School (one per school)</t>
        </is>
      </c>
      <c r="B469" s="8" t="inlineStr">
        <is>
          <t>student_support_goals</t>
        </is>
      </c>
      <c r="C469" s="11" t="inlineStr">
        <is>
          <t>Good</t>
        </is>
      </c>
      <c r="D469" s="8" t="n">
        <v>16</v>
      </c>
      <c r="E469" s="8" t="n">
        <v>1</v>
      </c>
      <c r="F469" s="8" t="n">
        <v>3</v>
      </c>
      <c r="G469" s="8" t="inlineStr">
        <is>
          <t>0001_baseline.sql</t>
        </is>
      </c>
      <c r="H469" s="8" t="n">
        <v>1</v>
      </c>
      <c r="I469" s="8" t="inlineStr">
        <is>
          <t>worker/src/routes/portal/school_life.ts</t>
        </is>
      </c>
      <c r="J469" s="8" t="inlineStr"/>
    </row>
    <row r="470">
      <c r="A470" s="8" t="inlineStr">
        <is>
          <t>School (one per school)</t>
        </is>
      </c>
      <c r="B470" s="8" t="inlineStr">
        <is>
          <t>student_support_plans</t>
        </is>
      </c>
      <c r="C470" s="11" t="inlineStr">
        <is>
          <t>Good</t>
        </is>
      </c>
      <c r="D470" s="8" t="n">
        <v>12</v>
      </c>
      <c r="E470" s="8" t="n">
        <v>2</v>
      </c>
      <c r="F470" s="8" t="n">
        <v>3</v>
      </c>
      <c r="G470" s="8" t="inlineStr">
        <is>
          <t>0001_baseline.sql</t>
        </is>
      </c>
      <c r="H470" s="8" t="n">
        <v>3</v>
      </c>
      <c r="I470" s="8" t="inlineStr">
        <is>
          <t>worker/src/routes/portal/school_life.ts
worker/src/routes/students.ts
worker/src/routes/teaching/dashboards.ts</t>
        </is>
      </c>
      <c r="J470" s="8" t="inlineStr"/>
    </row>
    <row r="471">
      <c r="A471" s="8" t="inlineStr">
        <is>
          <t>School (one per school)</t>
        </is>
      </c>
      <c r="B471" s="8" t="inlineStr">
        <is>
          <t>student_wall_posts</t>
        </is>
      </c>
      <c r="C471" s="11" t="inlineStr">
        <is>
          <t>Good</t>
        </is>
      </c>
      <c r="D471" s="8" t="n">
        <v>14</v>
      </c>
      <c r="E471" s="8" t="n">
        <v>4</v>
      </c>
      <c r="F471" s="8" t="n">
        <v>6</v>
      </c>
      <c r="G471" s="8" t="inlineStr">
        <is>
          <t>0001_baseline.sql</t>
        </is>
      </c>
      <c r="H471" s="8" t="n">
        <v>1</v>
      </c>
      <c r="I471" s="8" t="inlineStr">
        <is>
          <t>worker/src/routes/portal/life.ts</t>
        </is>
      </c>
      <c r="J471" s="8" t="inlineStr"/>
    </row>
    <row r="472">
      <c r="A472" s="8" t="inlineStr">
        <is>
          <t>School (one per school)</t>
        </is>
      </c>
      <c r="B472" s="8" t="inlineStr">
        <is>
          <t>student_year_history</t>
        </is>
      </c>
      <c r="C472" s="11" t="inlineStr">
        <is>
          <t>Good</t>
        </is>
      </c>
      <c r="D472" s="8" t="n">
        <v>14</v>
      </c>
      <c r="E472" s="8" t="n">
        <v>1</v>
      </c>
      <c r="F472" s="8" t="n">
        <v>2</v>
      </c>
      <c r="G472" s="8" t="inlineStr">
        <is>
          <t>0001_baseline.sql</t>
        </is>
      </c>
      <c r="H472" s="8" t="n">
        <v>3</v>
      </c>
      <c r="I472" s="8" t="inlineStr">
        <is>
          <t>worker/src/routes/setup/academics.ts
worker/src/routes/setup/imports.ts
worker/src/routes/students.ts</t>
        </is>
      </c>
      <c r="J472" s="8" t="inlineStr"/>
    </row>
    <row r="473">
      <c r="A473" s="8" t="inlineStr">
        <is>
          <t>School (one per school)</t>
        </is>
      </c>
      <c r="B473" s="8" t="inlineStr">
        <is>
          <t>students</t>
        </is>
      </c>
      <c r="C473" s="11" t="inlineStr">
        <is>
          <t>Good</t>
        </is>
      </c>
      <c r="D473" s="8" t="n">
        <v>50</v>
      </c>
      <c r="E473" s="8" t="n">
        <v>13</v>
      </c>
      <c r="F473" s="8" t="n">
        <v>5</v>
      </c>
      <c r="G473" s="8" t="inlineStr">
        <is>
          <t>0001_baseline.sql</t>
        </is>
      </c>
      <c r="H473" s="8" t="n">
        <v>91</v>
      </c>
      <c r="I473" s="8" t="inlineStr">
        <is>
          <t>worker/src/routes/academics.ts
worker/src/routes/academics/admin.ts
worker/src/routes/admin/export.ts
worker/src/routes/admin/inbox.ts
worker/src/routes/admin/loose.ts
worker/src/routes/admin/metrics.ts
… +85 more</t>
        </is>
      </c>
      <c r="J473" s="8" t="inlineStr"/>
    </row>
    <row r="474">
      <c r="A474" s="8" t="inlineStr">
        <is>
          <t>School (one per school)</t>
        </is>
      </c>
      <c r="B474" s="8" t="inlineStr">
        <is>
          <t>study_group_members</t>
        </is>
      </c>
      <c r="C474" s="11" t="inlineStr">
        <is>
          <t>Good</t>
        </is>
      </c>
      <c r="D474" s="8" t="n">
        <v>7</v>
      </c>
      <c r="E474" s="8" t="n">
        <v>2</v>
      </c>
      <c r="F474" s="8" t="n">
        <v>3</v>
      </c>
      <c r="G474" s="8" t="inlineStr">
        <is>
          <t>0001_baseline.sql</t>
        </is>
      </c>
      <c r="H474" s="8" t="n">
        <v>1</v>
      </c>
      <c r="I474" s="8" t="inlineStr">
        <is>
          <t>worker/src/routes/portal/learning.ts</t>
        </is>
      </c>
      <c r="J474" s="8" t="inlineStr"/>
    </row>
    <row r="475">
      <c r="A475" s="8" t="inlineStr">
        <is>
          <t>School (one per school)</t>
        </is>
      </c>
      <c r="B475" s="8" t="inlineStr">
        <is>
          <t>study_groups</t>
        </is>
      </c>
      <c r="C475" s="11" t="inlineStr">
        <is>
          <t>Good</t>
        </is>
      </c>
      <c r="D475" s="8" t="n">
        <v>12</v>
      </c>
      <c r="E475" s="8" t="n">
        <v>2</v>
      </c>
      <c r="F475" s="8" t="n">
        <v>4</v>
      </c>
      <c r="G475" s="8" t="inlineStr">
        <is>
          <t>0001_baseline.sql</t>
        </is>
      </c>
      <c r="H475" s="8" t="n">
        <v>1</v>
      </c>
      <c r="I475" s="8" t="inlineStr">
        <is>
          <t>worker/src/routes/portal/learning.ts</t>
        </is>
      </c>
      <c r="J475" s="8" t="inlineStr"/>
    </row>
    <row r="476">
      <c r="A476" s="8" t="inlineStr">
        <is>
          <t>School (one per school)</t>
        </is>
      </c>
      <c r="B476" s="8" t="inlineStr">
        <is>
          <t>study_material_targets</t>
        </is>
      </c>
      <c r="C476" s="11" t="inlineStr">
        <is>
          <t>Good</t>
        </is>
      </c>
      <c r="D476" s="8" t="n">
        <v>5</v>
      </c>
      <c r="E476" s="8" t="n">
        <v>1</v>
      </c>
      <c r="F476" s="8" t="n">
        <v>3</v>
      </c>
      <c r="G476" s="8" t="inlineStr">
        <is>
          <t>0001_baseline.sql</t>
        </is>
      </c>
      <c r="H476" s="8" t="n">
        <v>2</v>
      </c>
      <c r="I476" s="8" t="inlineStr">
        <is>
          <t>worker/src/routes/portal/learning.ts
worker/src/routes/teaching/classwork.ts</t>
        </is>
      </c>
      <c r="J476" s="8" t="inlineStr"/>
    </row>
    <row r="477">
      <c r="A477" s="8" t="inlineStr">
        <is>
          <t>School (one per school)</t>
        </is>
      </c>
      <c r="B477" s="8" t="inlineStr">
        <is>
          <t>study_material_views</t>
        </is>
      </c>
      <c r="C477" s="11" t="inlineStr">
        <is>
          <t>Good</t>
        </is>
      </c>
      <c r="D477" s="8" t="n">
        <v>5</v>
      </c>
      <c r="E477" s="8" t="n">
        <v>0</v>
      </c>
      <c r="F477" s="8" t="n">
        <v>4</v>
      </c>
      <c r="G477" s="8" t="inlineStr">
        <is>
          <t>0001_baseline.sql</t>
        </is>
      </c>
      <c r="H477" s="8" t="n">
        <v>2</v>
      </c>
      <c r="I477" s="8" t="inlineStr">
        <is>
          <t>worker/src/routes/portal/learning.ts
worker/src/routes/teaching/classwork.ts</t>
        </is>
      </c>
      <c r="J477" s="8" t="inlineStr"/>
    </row>
    <row r="478">
      <c r="A478" s="8" t="inlineStr">
        <is>
          <t>School (one per school)</t>
        </is>
      </c>
      <c r="B478" s="8" t="inlineStr">
        <is>
          <t>study_materials</t>
        </is>
      </c>
      <c r="C478" s="11" t="inlineStr">
        <is>
          <t>Good</t>
        </is>
      </c>
      <c r="D478" s="8" t="n">
        <v>14</v>
      </c>
      <c r="E478" s="8" t="n">
        <v>2</v>
      </c>
      <c r="F478" s="8" t="n">
        <v>5</v>
      </c>
      <c r="G478" s="8" t="inlineStr">
        <is>
          <t>0001_baseline.sql</t>
        </is>
      </c>
      <c r="H478" s="8" t="n">
        <v>2</v>
      </c>
      <c r="I478" s="8" t="inlineStr">
        <is>
          <t>worker/src/routes/portal/learning.ts
worker/src/routes/teaching/classwork.ts</t>
        </is>
      </c>
      <c r="J478" s="8" t="inlineStr"/>
    </row>
    <row r="479">
      <c r="A479" s="8" t="inlineStr">
        <is>
          <t>School (one per school)</t>
        </is>
      </c>
      <c r="B479" s="8" t="inlineStr">
        <is>
          <t>subjects</t>
        </is>
      </c>
      <c r="C479" s="11" t="inlineStr">
        <is>
          <t>Good</t>
        </is>
      </c>
      <c r="D479" s="8" t="n">
        <v>7</v>
      </c>
      <c r="E479" s="8" t="n">
        <v>0</v>
      </c>
      <c r="F479" s="8" t="n">
        <v>2</v>
      </c>
      <c r="G479" s="8" t="inlineStr">
        <is>
          <t>0001_baseline.sql</t>
        </is>
      </c>
      <c r="H479" s="8" t="n">
        <v>40</v>
      </c>
      <c r="I479" s="8" t="inlineStr">
        <is>
          <t>worker/src/routes/academics.ts
worker/src/routes/academics/admin.ts
worker/src/routes/admin/export.ts
worker/src/routes/board_exams.ts
worker/src/routes/comms/capture.ts
worker/src/routes/comms/classroom.ts
… +34 more</t>
        </is>
      </c>
      <c r="J479" s="8" t="inlineStr"/>
    </row>
    <row r="480">
      <c r="A480" s="8" t="inlineStr">
        <is>
          <t>School (one per school)</t>
        </is>
      </c>
      <c r="B480" s="8" t="inlineStr">
        <is>
          <t>subscriptions</t>
        </is>
      </c>
      <c r="C480" s="11" t="inlineStr">
        <is>
          <t>Good</t>
        </is>
      </c>
      <c r="D480" s="8" t="n">
        <v>11</v>
      </c>
      <c r="E480" s="8" t="n">
        <v>2</v>
      </c>
      <c r="F480" s="8" t="n">
        <v>2</v>
      </c>
      <c r="G480" s="8" t="inlineStr">
        <is>
          <t>0001_baseline.sql</t>
        </is>
      </c>
      <c r="H480" s="8" t="n">
        <v>10</v>
      </c>
      <c r="I480" s="8" t="inlineStr">
        <is>
          <t>worker/src/routes/admin/messaging.ts
worker/src/routes/admin/platform_config.ts
worker/src/routes/misc/shell.ts
worker/src/routes/seller/announcements.ts
worker/src/routes/seller/billing.ts
worker/src/routes/seller/tenants.ts
… +4 more</t>
        </is>
      </c>
      <c r="J480" s="8" t="inlineStr"/>
    </row>
    <row r="481">
      <c r="A481" s="8" t="inlineStr">
        <is>
          <t>School (one per school)</t>
        </is>
      </c>
      <c r="B481" s="8" t="inlineStr">
        <is>
          <t>substitution_request_periods</t>
        </is>
      </c>
      <c r="C481" s="11" t="inlineStr">
        <is>
          <t>Good</t>
        </is>
      </c>
      <c r="D481" s="8" t="n">
        <v>8</v>
      </c>
      <c r="E481" s="8" t="n">
        <v>3</v>
      </c>
      <c r="F481" s="8" t="n">
        <v>5</v>
      </c>
      <c r="G481" s="8" t="inlineStr">
        <is>
          <t>0001_baseline.sql</t>
        </is>
      </c>
      <c r="H481" s="8" t="n">
        <v>1</v>
      </c>
      <c r="I481" s="8" t="inlineStr">
        <is>
          <t>worker/src/routes/scheduling/cover.ts</t>
        </is>
      </c>
      <c r="J481" s="8" t="inlineStr"/>
    </row>
    <row r="482">
      <c r="A482" s="8" t="inlineStr">
        <is>
          <t>School (one per school)</t>
        </is>
      </c>
      <c r="B482" s="8" t="inlineStr">
        <is>
          <t>substitution_requests</t>
        </is>
      </c>
      <c r="C482" s="11" t="inlineStr">
        <is>
          <t>Good</t>
        </is>
      </c>
      <c r="D482" s="8" t="n">
        <v>15</v>
      </c>
      <c r="E482" s="8" t="n">
        <v>2</v>
      </c>
      <c r="F482" s="8" t="n">
        <v>6</v>
      </c>
      <c r="G482" s="8" t="inlineStr">
        <is>
          <t>0001_baseline.sql</t>
        </is>
      </c>
      <c r="H482" s="8" t="n">
        <v>2</v>
      </c>
      <c r="I482" s="8" t="inlineStr">
        <is>
          <t>worker/src/routes/scheduling/cover.ts
worker/src/routes/teaching/dashboards.ts</t>
        </is>
      </c>
      <c r="J482" s="8" t="inlineStr"/>
    </row>
    <row r="483">
      <c r="A483" s="8" t="inlineStr">
        <is>
          <t>School (one per school)</t>
        </is>
      </c>
      <c r="B483" s="8" t="inlineStr">
        <is>
          <t>substitutions</t>
        </is>
      </c>
      <c r="C483" s="11" t="inlineStr">
        <is>
          <t>Good</t>
        </is>
      </c>
      <c r="D483" s="8" t="n">
        <v>9</v>
      </c>
      <c r="E483" s="8" t="n">
        <v>3</v>
      </c>
      <c r="F483" s="8" t="n">
        <v>5</v>
      </c>
      <c r="G483" s="8" t="inlineStr">
        <is>
          <t>0001_baseline.sql</t>
        </is>
      </c>
      <c r="H483" s="8" t="n">
        <v>7</v>
      </c>
      <c r="I483" s="8" t="inlineStr">
        <is>
          <t>worker/src/routes/academics/admin.ts
worker/src/routes/admin/loose.ts
worker/src/routes/growth/rollups.ts
worker/src/routes/payroll.ts
worker/src/routes/scheduling/cover.ts
worker/src/routes/teaching/dashboards.ts
… +1 more</t>
        </is>
      </c>
      <c r="J483" s="8" t="inlineStr"/>
    </row>
    <row r="484">
      <c r="A484" s="8" t="inlineStr">
        <is>
          <t>School (one per school)</t>
        </is>
      </c>
      <c r="B484" s="8" t="inlineStr">
        <is>
          <t>support_tickets</t>
        </is>
      </c>
      <c r="C484" s="11" t="inlineStr">
        <is>
          <t>Good</t>
        </is>
      </c>
      <c r="D484" s="8" t="n">
        <v>26</v>
      </c>
      <c r="E484" s="8" t="n">
        <v>5</v>
      </c>
      <c r="F484" s="8" t="n">
        <v>7</v>
      </c>
      <c r="G484" s="8" t="inlineStr">
        <is>
          <t>0001_baseline.sql</t>
        </is>
      </c>
      <c r="H484" s="8" t="n">
        <v>8</v>
      </c>
      <c r="I484" s="8" t="inlineStr">
        <is>
          <t>worker/src/routes/admin/inbox.ts
worker/src/routes/admin/loose.ts
worker/src/routes/admin/metrics.ts
worker/src/routes/admin/platform_config.ts
worker/src/routes/comms/grievances.ts
worker/src/routes/portal/extra.ts
… +2 more</t>
        </is>
      </c>
      <c r="J484" s="8" t="inlineStr"/>
    </row>
    <row r="485">
      <c r="A485" s="8" t="inlineStr">
        <is>
          <t>School (one per school)</t>
        </is>
      </c>
      <c r="B485" s="8" t="inlineStr">
        <is>
          <t>syllabus_units</t>
        </is>
      </c>
      <c r="C485" s="11" t="inlineStr">
        <is>
          <t>Good</t>
        </is>
      </c>
      <c r="D485" s="8" t="n">
        <v>11</v>
      </c>
      <c r="E485" s="8" t="n">
        <v>1</v>
      </c>
      <c r="F485" s="8" t="n">
        <v>3</v>
      </c>
      <c r="G485" s="8" t="inlineStr">
        <is>
          <t>0001_baseline.sql</t>
        </is>
      </c>
      <c r="H485" s="8" t="n">
        <v>8</v>
      </c>
      <c r="I485" s="8" t="inlineStr">
        <is>
          <t>worker/src/routes/academics.ts
worker/src/routes/academics/admin.ts
worker/src/routes/growth/rollups.ts
worker/src/routes/portal/lms.ts
worker/src/routes/teaching/assessment.ts
worker/src/routes/teaching/lms.ts
… +2 more</t>
        </is>
      </c>
      <c r="J485" s="8" t="inlineStr"/>
    </row>
    <row r="486">
      <c r="A486" s="8" t="inlineStr">
        <is>
          <t>School (one per school)</t>
        </is>
      </c>
      <c r="B486" s="8" t="inlineStr">
        <is>
          <t>tally_connector_settings</t>
        </is>
      </c>
      <c r="C486" s="11" t="inlineStr">
        <is>
          <t>Good</t>
        </is>
      </c>
      <c r="D486" s="8" t="n">
        <v>7</v>
      </c>
      <c r="E486" s="8" t="n">
        <v>0</v>
      </c>
      <c r="F486" s="8" t="n">
        <v>2</v>
      </c>
      <c r="G486" s="8" t="inlineStr">
        <is>
          <t>0001_baseline.sql</t>
        </is>
      </c>
      <c r="H486" s="8" t="n">
        <v>3</v>
      </c>
      <c r="I486" s="8" t="inlineStr">
        <is>
          <t>worker/src/routes/admin/integrations_index.ts
worker/src/routes/admin/tally_connector.ts
worker/src/routes/fees/tally.ts</t>
        </is>
      </c>
      <c r="J486" s="8" t="inlineStr"/>
    </row>
    <row r="487">
      <c r="A487" s="8" t="inlineStr">
        <is>
          <t>School (one per school)</t>
        </is>
      </c>
      <c r="B487" s="8" t="inlineStr">
        <is>
          <t>tally_export_run_vouchers</t>
        </is>
      </c>
      <c r="C487" s="11" t="inlineStr">
        <is>
          <t>Good</t>
        </is>
      </c>
      <c r="D487" s="8" t="n">
        <v>3</v>
      </c>
      <c r="E487" s="8" t="n">
        <v>1</v>
      </c>
      <c r="F487" s="8" t="n">
        <v>3</v>
      </c>
      <c r="G487" s="8" t="inlineStr">
        <is>
          <t>0001_baseline.sql</t>
        </is>
      </c>
      <c r="H487" s="8" t="n">
        <v>1</v>
      </c>
      <c r="I487" s="8" t="inlineStr">
        <is>
          <t>worker/src/routes/fees/tally.ts</t>
        </is>
      </c>
      <c r="J487" s="8" t="inlineStr"/>
    </row>
    <row r="488">
      <c r="A488" s="8" t="inlineStr">
        <is>
          <t>School (one per school)</t>
        </is>
      </c>
      <c r="B488" s="8" t="inlineStr">
        <is>
          <t>tally_export_runs</t>
        </is>
      </c>
      <c r="C488" s="11" t="inlineStr">
        <is>
          <t>Good</t>
        </is>
      </c>
      <c r="D488" s="8" t="n">
        <v>13</v>
      </c>
      <c r="E488" s="8" t="n">
        <v>1</v>
      </c>
      <c r="F488" s="8" t="n">
        <v>3</v>
      </c>
      <c r="G488" s="8" t="inlineStr">
        <is>
          <t>0001_baseline.sql</t>
        </is>
      </c>
      <c r="H488" s="8" t="n">
        <v>2</v>
      </c>
      <c r="I488" s="8" t="inlineStr">
        <is>
          <t>worker/src/routes/admin/integrations_index.ts
worker/src/routes/fees/tally.ts</t>
        </is>
      </c>
      <c r="J488" s="8" t="inlineStr"/>
    </row>
    <row r="489">
      <c r="A489" s="8" t="inlineStr">
        <is>
          <t>School (one per school)</t>
        </is>
      </c>
      <c r="B489" s="8" t="inlineStr">
        <is>
          <t>tally_gateway_credentials</t>
        </is>
      </c>
      <c r="C489" s="11" t="inlineStr">
        <is>
          <t>Good</t>
        </is>
      </c>
      <c r="D489" s="8" t="n">
        <v>7</v>
      </c>
      <c r="E489" s="8" t="n">
        <v>1</v>
      </c>
      <c r="F489" s="8" t="n">
        <v>2</v>
      </c>
      <c r="G489" s="8" t="inlineStr">
        <is>
          <t>0001_baseline.sql</t>
        </is>
      </c>
      <c r="H489" s="8" t="n">
        <v>1</v>
      </c>
      <c r="I489" s="8" t="inlineStr">
        <is>
          <t>worker/src/routes/admin/tally_connector.ts</t>
        </is>
      </c>
      <c r="J489" s="8" t="inlineStr"/>
    </row>
    <row r="490">
      <c r="A490" s="8" t="inlineStr">
        <is>
          <t>School (one per school)</t>
        </is>
      </c>
      <c r="B490" s="8" t="inlineStr">
        <is>
          <t>tally_ledger_mappings</t>
        </is>
      </c>
      <c r="C490" s="11" t="inlineStr">
        <is>
          <t>Good</t>
        </is>
      </c>
      <c r="D490" s="8" t="n">
        <v>8</v>
      </c>
      <c r="E490" s="8" t="n">
        <v>1</v>
      </c>
      <c r="F490" s="8" t="n">
        <v>3</v>
      </c>
      <c r="G490" s="8" t="inlineStr">
        <is>
          <t>0001_baseline.sql</t>
        </is>
      </c>
      <c r="H490" s="8" t="n">
        <v>2</v>
      </c>
      <c r="I490" s="8" t="inlineStr">
        <is>
          <t>worker/src/routes/admin/tally_connector.ts
worker/src/routes/fees/tally.ts</t>
        </is>
      </c>
      <c r="J490" s="8" t="inlineStr"/>
    </row>
    <row r="491">
      <c r="A491" s="8" t="inlineStr">
        <is>
          <t>School (one per school)</t>
        </is>
      </c>
      <c r="B491" s="8" t="inlineStr">
        <is>
          <t>tally_voucher_type_mappings</t>
        </is>
      </c>
      <c r="C491" s="11" t="inlineStr">
        <is>
          <t>Good</t>
        </is>
      </c>
      <c r="D491" s="8" t="n">
        <v>5</v>
      </c>
      <c r="E491" s="8" t="n">
        <v>1</v>
      </c>
      <c r="F491" s="8" t="n">
        <v>1</v>
      </c>
      <c r="G491" s="8" t="inlineStr">
        <is>
          <t>0001_baseline.sql</t>
        </is>
      </c>
      <c r="H491" s="8" t="n">
        <v>2</v>
      </c>
      <c r="I491" s="8" t="inlineStr">
        <is>
          <t>worker/src/routes/admin/tally_connector.ts
worker/src/routes/fees/tally.ts</t>
        </is>
      </c>
      <c r="J491" s="8" t="inlineStr"/>
    </row>
    <row r="492">
      <c r="A492" s="8" t="inlineStr">
        <is>
          <t>School (one per school)</t>
        </is>
      </c>
      <c r="B492" s="8" t="inlineStr">
        <is>
          <t>teacher_load_rules</t>
        </is>
      </c>
      <c r="C492" s="11" t="inlineStr">
        <is>
          <t>Good</t>
        </is>
      </c>
      <c r="D492" s="8" t="n">
        <v>8</v>
      </c>
      <c r="E492" s="8" t="n">
        <v>1</v>
      </c>
      <c r="F492" s="8" t="n">
        <v>2</v>
      </c>
      <c r="G492" s="8" t="inlineStr">
        <is>
          <t>0001_baseline.sql</t>
        </is>
      </c>
      <c r="H492" s="8" t="n">
        <v>3</v>
      </c>
      <c r="I492" s="8" t="inlineStr">
        <is>
          <t>worker/src/routes/scheduling/cover.ts
worker/src/routes/scheduling/master.ts
worker/src/routes/scheduling/optimizer.ts</t>
        </is>
      </c>
      <c r="J492" s="8" t="inlineStr"/>
    </row>
    <row r="493">
      <c r="A493" s="8" t="inlineStr">
        <is>
          <t>School (one per school)</t>
        </is>
      </c>
      <c r="B493" s="8" t="inlineStr">
        <is>
          <t>teacher_subjects</t>
        </is>
      </c>
      <c r="C493" s="11" t="inlineStr">
        <is>
          <t>Good</t>
        </is>
      </c>
      <c r="D493" s="8" t="n">
        <v>4</v>
      </c>
      <c r="E493" s="8" t="n">
        <v>1</v>
      </c>
      <c r="F493" s="8" t="n">
        <v>3</v>
      </c>
      <c r="G493" s="8" t="inlineStr">
        <is>
          <t>0001_baseline.sql</t>
        </is>
      </c>
      <c r="H493" s="8" t="n">
        <v>3</v>
      </c>
      <c r="I493" s="8" t="inlineStr">
        <is>
          <t>worker/src/routes/daily.ts
worker/src/routes/setup/imports.ts
worker/src/routes/teaching/dashboards.ts</t>
        </is>
      </c>
      <c r="J493" s="8" t="inlineStr"/>
    </row>
    <row r="494">
      <c r="A494" s="8" t="inlineStr">
        <is>
          <t>School (one per school)</t>
        </is>
      </c>
      <c r="B494" s="8" t="inlineStr">
        <is>
          <t>teacher_unavailability</t>
        </is>
      </c>
      <c r="C494" s="11" t="inlineStr">
        <is>
          <t>Good</t>
        </is>
      </c>
      <c r="D494" s="8" t="n">
        <v>7</v>
      </c>
      <c r="E494" s="8" t="n">
        <v>2</v>
      </c>
      <c r="F494" s="8" t="n">
        <v>3</v>
      </c>
      <c r="G494" s="8" t="inlineStr">
        <is>
          <t>0001_baseline.sql</t>
        </is>
      </c>
      <c r="H494" s="8" t="n">
        <v>4</v>
      </c>
      <c r="I494" s="8" t="inlineStr">
        <is>
          <t>worker/src/routes/growth/hr_training.ts
worker/src/routes/scheduling/cover.ts
worker/src/routes/scheduling/master.ts
worker/src/routes/scheduling/optimizer.ts</t>
        </is>
      </c>
      <c r="J494" s="8" t="inlineStr"/>
    </row>
    <row r="495">
      <c r="A495" s="8" t="inlineStr">
        <is>
          <t>School (one per school)</t>
        </is>
      </c>
      <c r="B495" s="8" t="inlineStr">
        <is>
          <t>terms</t>
        </is>
      </c>
      <c r="C495" s="11" t="inlineStr">
        <is>
          <t>Good</t>
        </is>
      </c>
      <c r="D495" s="8" t="n">
        <v>7</v>
      </c>
      <c r="E495" s="8" t="n">
        <v>2</v>
      </c>
      <c r="F495" s="8" t="n">
        <v>2</v>
      </c>
      <c r="G495" s="8" t="inlineStr">
        <is>
          <t>0001_baseline.sql</t>
        </is>
      </c>
      <c r="H495" s="8" t="n">
        <v>12</v>
      </c>
      <c r="I495" s="8" t="inlineStr">
        <is>
          <t>worker/src/routes/academics.ts
worker/src/routes/academics/admin.ts
worker/src/routes/admin/metrics.ts
worker/src/routes/admin/platform_config.ts
worker/src/routes/exams.ts
worker/src/routes/portal/family.ts
… +6 more</t>
        </is>
      </c>
      <c r="J495" s="8" t="inlineStr"/>
    </row>
    <row r="496">
      <c r="A496" s="8" t="inlineStr">
        <is>
          <t>School (one per school)</t>
        </is>
      </c>
      <c r="B496" s="8" t="inlineStr">
        <is>
          <t>textbook_indents</t>
        </is>
      </c>
      <c r="C496" s="11" t="inlineStr">
        <is>
          <t>Good</t>
        </is>
      </c>
      <c r="D496" s="8" t="n">
        <v>15</v>
      </c>
      <c r="E496" s="8" t="n">
        <v>1</v>
      </c>
      <c r="F496" s="8" t="n">
        <v>4</v>
      </c>
      <c r="G496" s="8" t="inlineStr">
        <is>
          <t>0001_baseline.sql</t>
        </is>
      </c>
      <c r="H496" s="8" t="n">
        <v>1</v>
      </c>
      <c r="I496" s="8" t="inlineStr">
        <is>
          <t>worker/src/routes/ops/library.ts</t>
        </is>
      </c>
      <c r="J496" s="8" t="inlineStr"/>
    </row>
    <row r="497">
      <c r="A497" s="8" t="inlineStr">
        <is>
          <t>School (one per school)</t>
        </is>
      </c>
      <c r="B497" s="8" t="inlineStr">
        <is>
          <t>timetable_draft_entries</t>
        </is>
      </c>
      <c r="C497" s="11" t="inlineStr">
        <is>
          <t>Good</t>
        </is>
      </c>
      <c r="D497" s="8" t="n">
        <v>9</v>
      </c>
      <c r="E497" s="8" t="n">
        <v>3</v>
      </c>
      <c r="F497" s="8" t="n">
        <v>6</v>
      </c>
      <c r="G497" s="8" t="inlineStr">
        <is>
          <t>0001_baseline.sql</t>
        </is>
      </c>
      <c r="H497" s="8" t="n">
        <v>3</v>
      </c>
      <c r="I497" s="8" t="inlineStr">
        <is>
          <t>worker/src/routes/scheduling/master.ts
worker/src/routes/scheduling/optimizer.ts
worker/src/routes/scheduling/tt_shared.ts</t>
        </is>
      </c>
      <c r="J497" s="8" t="inlineStr"/>
    </row>
    <row r="498">
      <c r="A498" s="8" t="inlineStr">
        <is>
          <t>School (one per school)</t>
        </is>
      </c>
      <c r="B498" s="8" t="inlineStr">
        <is>
          <t>timetable_draft_issues</t>
        </is>
      </c>
      <c r="C498" s="11" t="inlineStr">
        <is>
          <t>Good</t>
        </is>
      </c>
      <c r="D498" s="8" t="n">
        <v>11</v>
      </c>
      <c r="E498" s="8" t="n">
        <v>1</v>
      </c>
      <c r="F498" s="8" t="n">
        <v>5</v>
      </c>
      <c r="G498" s="8" t="inlineStr">
        <is>
          <t>0001_baseline.sql</t>
        </is>
      </c>
      <c r="H498" s="8" t="n">
        <v>2</v>
      </c>
      <c r="I498" s="8" t="inlineStr">
        <is>
          <t>worker/src/routes/scheduling/optimizer.ts
worker/src/routes/scheduling/tt_shared.ts</t>
        </is>
      </c>
      <c r="J498" s="8" t="inlineStr"/>
    </row>
    <row r="499">
      <c r="A499" s="8" t="inlineStr">
        <is>
          <t>School (one per school)</t>
        </is>
      </c>
      <c r="B499" s="8" t="inlineStr">
        <is>
          <t>timetable_drafts</t>
        </is>
      </c>
      <c r="C499" s="11" t="inlineStr">
        <is>
          <t>Good</t>
        </is>
      </c>
      <c r="D499" s="8" t="n">
        <v>19</v>
      </c>
      <c r="E499" s="8" t="n">
        <v>1</v>
      </c>
      <c r="F499" s="8" t="n">
        <v>6</v>
      </c>
      <c r="G499" s="8" t="inlineStr">
        <is>
          <t>0001_baseline.sql</t>
        </is>
      </c>
      <c r="H499" s="8" t="n">
        <v>3</v>
      </c>
      <c r="I499" s="8" t="inlineStr">
        <is>
          <t>worker/src/routes/scheduling/master.ts
worker/src/routes/scheduling/optimizer.ts
worker/src/routes/scheduling/tt_shared.ts</t>
        </is>
      </c>
      <c r="J499" s="8" t="inlineStr"/>
    </row>
    <row r="500">
      <c r="A500" s="8" t="inlineStr">
        <is>
          <t>School (one per school)</t>
        </is>
      </c>
      <c r="B500" s="8" t="inlineStr">
        <is>
          <t>timetable_entries</t>
        </is>
      </c>
      <c r="C500" s="11" t="inlineStr">
        <is>
          <t>Good</t>
        </is>
      </c>
      <c r="D500" s="8" t="n">
        <v>10</v>
      </c>
      <c r="E500" s="8" t="n">
        <v>6</v>
      </c>
      <c r="F500" s="8" t="n">
        <v>6</v>
      </c>
      <c r="G500" s="8" t="inlineStr">
        <is>
          <t>0001_baseline.sql</t>
        </is>
      </c>
      <c r="H500" s="8" t="n">
        <v>26</v>
      </c>
      <c r="I500" s="8" t="inlineStr">
        <is>
          <t>worker/src/routes/academics/admin.ts
worker/src/routes/admin/loose.ts
worker/src/routes/admin/security.ts
worker/src/routes/comms/class_status.ts
worker/src/routes/comms/classroom.ts
worker/src/routes/daily.ts
… +20 more</t>
        </is>
      </c>
      <c r="J500" s="8" t="inlineStr"/>
    </row>
    <row r="501">
      <c r="A501" s="8" t="inlineStr">
        <is>
          <t>School (one per school)</t>
        </is>
      </c>
      <c r="B501" s="8" t="inlineStr">
        <is>
          <t>training_programmes</t>
        </is>
      </c>
      <c r="C501" s="11" t="inlineStr">
        <is>
          <t>Good</t>
        </is>
      </c>
      <c r="D501" s="8" t="n">
        <v>20</v>
      </c>
      <c r="E501" s="8" t="n">
        <v>2</v>
      </c>
      <c r="F501" s="8" t="n">
        <v>4</v>
      </c>
      <c r="G501" s="8" t="inlineStr">
        <is>
          <t>0001_baseline.sql</t>
        </is>
      </c>
      <c r="H501" s="8" t="n">
        <v>1</v>
      </c>
      <c r="I501" s="8" t="inlineStr">
        <is>
          <t>worker/src/routes/growth/hr_training.ts</t>
        </is>
      </c>
      <c r="J501" s="8" t="inlineStr"/>
    </row>
    <row r="502">
      <c r="A502" s="8" t="inlineStr">
        <is>
          <t>School (one per school)</t>
        </is>
      </c>
      <c r="B502" s="8" t="inlineStr">
        <is>
          <t>training_requirements</t>
        </is>
      </c>
      <c r="C502" s="11" t="inlineStr">
        <is>
          <t>Good</t>
        </is>
      </c>
      <c r="D502" s="8" t="n">
        <v>10</v>
      </c>
      <c r="E502" s="8" t="n">
        <v>1</v>
      </c>
      <c r="F502" s="8" t="n">
        <v>3</v>
      </c>
      <c r="G502" s="8" t="inlineStr">
        <is>
          <t>0001_baseline.sql</t>
        </is>
      </c>
      <c r="H502" s="8" t="n">
        <v>1</v>
      </c>
      <c r="I502" s="8" t="inlineStr">
        <is>
          <t>worker/src/routes/growth/hr_training.ts</t>
        </is>
      </c>
      <c r="J502" s="8" t="inlineStr"/>
    </row>
    <row r="503">
      <c r="A503" s="8" t="inlineStr">
        <is>
          <t>School (one per school)</t>
        </is>
      </c>
      <c r="B503" s="8" t="inlineStr">
        <is>
          <t>transport_allocations</t>
        </is>
      </c>
      <c r="C503" s="11" t="inlineStr">
        <is>
          <t>Good</t>
        </is>
      </c>
      <c r="D503" s="8" t="n">
        <v>9</v>
      </c>
      <c r="E503" s="8" t="n">
        <v>4</v>
      </c>
      <c r="F503" s="8" t="n">
        <v>6</v>
      </c>
      <c r="G503" s="8" t="inlineStr">
        <is>
          <t>0001_baseline.sql</t>
        </is>
      </c>
      <c r="H503" s="8" t="n">
        <v>10</v>
      </c>
      <c r="I503" s="8" t="inlineStr">
        <is>
          <t>worker/src/routes/admin/security.ts
worker/src/routes/admissions/workflow.ts
worker/src/routes/hr/attendance.ts
worker/src/routes/misc/shell.ts
worker/src/routes/ops/transport.ts
worker/src/routes/ops/transport_office.ts
… +4 more</t>
        </is>
      </c>
      <c r="J503" s="8" t="inlineStr"/>
    </row>
    <row r="504">
      <c r="A504" s="8" t="inlineStr">
        <is>
          <t>School (one per school)</t>
        </is>
      </c>
      <c r="B504" s="8" t="inlineStr">
        <is>
          <t>transport_attendance</t>
        </is>
      </c>
      <c r="C504" s="11" t="inlineStr">
        <is>
          <t>Good</t>
        </is>
      </c>
      <c r="D504" s="8" t="n">
        <v>13</v>
      </c>
      <c r="E504" s="8" t="n">
        <v>2</v>
      </c>
      <c r="F504" s="8" t="n">
        <v>5</v>
      </c>
      <c r="G504" s="8" t="inlineStr">
        <is>
          <t>0001_baseline.sql</t>
        </is>
      </c>
      <c r="H504" s="8" t="n">
        <v>3</v>
      </c>
      <c r="I504" s="8" t="inlineStr">
        <is>
          <t>worker/src/routes/ops/transport_office.ts
worker/src/routes/scheduling/bus_tracker.ts
worker/src/services/transport_notices.ts</t>
        </is>
      </c>
      <c r="J504" s="8" t="inlineStr"/>
    </row>
    <row r="505">
      <c r="A505" s="8" t="inlineStr">
        <is>
          <t>School (one per school)</t>
        </is>
      </c>
      <c r="B505" s="8" t="inlineStr">
        <is>
          <t>transport_incidents</t>
        </is>
      </c>
      <c r="C505" s="11" t="inlineStr">
        <is>
          <t>Good</t>
        </is>
      </c>
      <c r="D505" s="8" t="n">
        <v>15</v>
      </c>
      <c r="E505" s="8" t="n">
        <v>1</v>
      </c>
      <c r="F505" s="8" t="n">
        <v>5</v>
      </c>
      <c r="G505" s="8" t="inlineStr">
        <is>
          <t>0001_baseline.sql</t>
        </is>
      </c>
      <c r="H505" s="8" t="n">
        <v>2</v>
      </c>
      <c r="I505" s="8" t="inlineStr">
        <is>
          <t>worker/src/routes/ops/transport_office.ts
worker/src/services/ai/briefs.ts</t>
        </is>
      </c>
      <c r="J505" s="8" t="inlineStr"/>
    </row>
    <row r="506">
      <c r="A506" s="8" t="inlineStr">
        <is>
          <t>School (one per school)</t>
        </is>
      </c>
      <c r="B506" s="8" t="inlineStr">
        <is>
          <t>transport_safety_events</t>
        </is>
      </c>
      <c r="C506" s="11" t="inlineStr">
        <is>
          <t>Good</t>
        </is>
      </c>
      <c r="D506" s="8" t="n">
        <v>15</v>
      </c>
      <c r="E506" s="8" t="n">
        <v>3</v>
      </c>
      <c r="F506" s="8" t="n">
        <v>4</v>
      </c>
      <c r="G506" s="8" t="inlineStr">
        <is>
          <t>0001_baseline.sql</t>
        </is>
      </c>
      <c r="H506" s="8" t="n">
        <v>3</v>
      </c>
      <c r="I506" s="8" t="inlineStr">
        <is>
          <t>worker/src/routes/scheduling/bus_tracker.ts
worker/src/routes/scheduling/office.ts
worker/src/services/background/transport.ts</t>
        </is>
      </c>
      <c r="J506" s="8" t="inlineStr"/>
    </row>
    <row r="507">
      <c r="A507" s="8" t="inlineStr">
        <is>
          <t>School (one per school)</t>
        </is>
      </c>
      <c r="B507" s="8" t="inlineStr">
        <is>
          <t>transport_staff</t>
        </is>
      </c>
      <c r="C507" s="11" t="inlineStr">
        <is>
          <t>Good</t>
        </is>
      </c>
      <c r="D507" s="8" t="n">
        <v>16</v>
      </c>
      <c r="E507" s="8" t="n">
        <v>1</v>
      </c>
      <c r="F507" s="8" t="n">
        <v>2</v>
      </c>
      <c r="G507" s="8" t="inlineStr">
        <is>
          <t>0001_baseline.sql</t>
        </is>
      </c>
      <c r="H507" s="8" t="n">
        <v>1</v>
      </c>
      <c r="I507" s="8" t="inlineStr">
        <is>
          <t>worker/src/routes/ops/transport_office.ts</t>
        </is>
      </c>
      <c r="J507" s="8" t="inlineStr"/>
    </row>
    <row r="508">
      <c r="A508" s="8" t="inlineStr">
        <is>
          <t>School (one per school)</t>
        </is>
      </c>
      <c r="B508" s="8" t="inlineStr">
        <is>
          <t>transport_stop_events</t>
        </is>
      </c>
      <c r="C508" s="11" t="inlineStr">
        <is>
          <t>Good</t>
        </is>
      </c>
      <c r="D508" s="8" t="n">
        <v>10</v>
      </c>
      <c r="E508" s="8" t="n">
        <v>4</v>
      </c>
      <c r="F508" s="8" t="n">
        <v>3</v>
      </c>
      <c r="G508" s="8" t="inlineStr">
        <is>
          <t>0001_baseline.sql</t>
        </is>
      </c>
      <c r="H508" s="8" t="n">
        <v>3</v>
      </c>
      <c r="I508" s="8" t="inlineStr">
        <is>
          <t>worker/src/routes/scheduling/bus_tracker.ts
worker/src/routes/scheduling/child_bus.ts
worker/src/routes/scheduling/office.ts</t>
        </is>
      </c>
      <c r="J508" s="8" t="inlineStr"/>
    </row>
    <row r="509">
      <c r="A509" s="8" t="inlineStr">
        <is>
          <t>School (one per school)</t>
        </is>
      </c>
      <c r="B509" s="8" t="inlineStr">
        <is>
          <t>transport_tracking_policy</t>
        </is>
      </c>
      <c r="C509" s="11" t="inlineStr">
        <is>
          <t>Good</t>
        </is>
      </c>
      <c r="D509" s="8" t="n">
        <v>14</v>
      </c>
      <c r="E509" s="8" t="n">
        <v>0</v>
      </c>
      <c r="F509" s="8" t="n">
        <v>2</v>
      </c>
      <c r="G509" s="8" t="inlineStr">
        <is>
          <t>0001_baseline.sql</t>
        </is>
      </c>
      <c r="H509" s="8" t="n">
        <v>4</v>
      </c>
      <c r="I509" s="8" t="inlineStr">
        <is>
          <t>worker/src/routes/ops/transport.ts
worker/src/routes/scheduling/office.ts
worker/src/routes/scheduling/tracking.ts
worker/src/services/background/transport.ts</t>
        </is>
      </c>
      <c r="J509" s="8" t="inlineStr"/>
    </row>
    <row r="510">
      <c r="A510" s="8" t="inlineStr">
        <is>
          <t>School (one per school)</t>
        </is>
      </c>
      <c r="B510" s="8" t="inlineStr">
        <is>
          <t>transport_watch_prefs</t>
        </is>
      </c>
      <c r="C510" s="11" t="inlineStr">
        <is>
          <t>Good</t>
        </is>
      </c>
      <c r="D510" s="8" t="n">
        <v>8</v>
      </c>
      <c r="E510" s="8" t="n">
        <v>1</v>
      </c>
      <c r="F510" s="8" t="n">
        <v>3</v>
      </c>
      <c r="G510" s="8" t="inlineStr">
        <is>
          <t>0001_baseline.sql</t>
        </is>
      </c>
      <c r="H510" s="8" t="n">
        <v>2</v>
      </c>
      <c r="I510" s="8" t="inlineStr">
        <is>
          <t>worker/src/routes/scheduling/child_bus.ts
worker/src/services/transport_notices.ts</t>
        </is>
      </c>
      <c r="J510" s="8" t="inlineStr"/>
    </row>
    <row r="511">
      <c r="A511" s="8" t="inlineStr">
        <is>
          <t>School (one per school)</t>
        </is>
      </c>
      <c r="B511" s="8" t="inlineStr">
        <is>
          <t>trip_checks</t>
        </is>
      </c>
      <c r="C511" s="11" t="inlineStr">
        <is>
          <t>Good</t>
        </is>
      </c>
      <c r="D511" s="8" t="n">
        <v>18</v>
      </c>
      <c r="E511" s="8" t="n">
        <v>1</v>
      </c>
      <c r="F511" s="8" t="n">
        <v>5</v>
      </c>
      <c r="G511" s="8" t="inlineStr">
        <is>
          <t>0001_baseline.sql</t>
        </is>
      </c>
      <c r="H511" s="8" t="n">
        <v>3</v>
      </c>
      <c r="I511" s="8" t="inlineStr">
        <is>
          <t>worker/src/routes/ops/transport.ts
worker/src/routes/ops/transport_office.ts
worker/src/routes/scheduling/bus_tracker.ts</t>
        </is>
      </c>
      <c r="J511" s="8" t="inlineStr"/>
    </row>
    <row r="512">
      <c r="A512" s="8" t="inlineStr">
        <is>
          <t>School (one per school)</t>
        </is>
      </c>
      <c r="B512" s="8" t="inlineStr">
        <is>
          <t>university_shortlist_entries</t>
        </is>
      </c>
      <c r="C512" s="11" t="inlineStr">
        <is>
          <t>Good</t>
        </is>
      </c>
      <c r="D512" s="8" t="n">
        <v>15</v>
      </c>
      <c r="E512" s="8" t="n">
        <v>2</v>
      </c>
      <c r="F512" s="8" t="n">
        <v>2</v>
      </c>
      <c r="G512" s="8" t="inlineStr">
        <is>
          <t>0001_baseline.sql</t>
        </is>
      </c>
      <c r="H512" s="8" t="n">
        <v>1</v>
      </c>
      <c r="I512" s="8" t="inlineStr">
        <is>
          <t>worker/src/routes/portal/learning.ts</t>
        </is>
      </c>
      <c r="J512" s="8" t="inlineStr"/>
    </row>
    <row r="513">
      <c r="A513" s="8" t="inlineStr">
        <is>
          <t>School (one per school)</t>
        </is>
      </c>
      <c r="B513" s="8" t="inlineStr">
        <is>
          <t>user_display_preferences</t>
        </is>
      </c>
      <c r="C513" s="11" t="inlineStr">
        <is>
          <t>Good</t>
        </is>
      </c>
      <c r="D513" s="8" t="n">
        <v>9</v>
      </c>
      <c r="E513" s="8" t="n">
        <v>0</v>
      </c>
      <c r="F513" s="8" t="n">
        <v>2</v>
      </c>
      <c r="G513" s="8" t="inlineStr">
        <is>
          <t>0001_baseline.sql</t>
        </is>
      </c>
      <c r="H513" s="8" t="n">
        <v>1</v>
      </c>
      <c r="I513" s="8" t="inlineStr">
        <is>
          <t>worker/src/routes/portal/life.ts</t>
        </is>
      </c>
      <c r="J513" s="8" t="inlineStr"/>
    </row>
    <row r="514">
      <c r="A514" s="8" t="inlineStr">
        <is>
          <t>School (one per school)</t>
        </is>
      </c>
      <c r="B514" s="8" t="inlineStr">
        <is>
          <t>user_permissions</t>
        </is>
      </c>
      <c r="C514" s="11" t="inlineStr">
        <is>
          <t>Good</t>
        </is>
      </c>
      <c r="D514" s="8" t="n">
        <v>5</v>
      </c>
      <c r="E514" s="8" t="n">
        <v>1</v>
      </c>
      <c r="F514" s="8" t="n">
        <v>3</v>
      </c>
      <c r="G514" s="8" t="inlineStr">
        <is>
          <t>0001_baseline.sql</t>
        </is>
      </c>
      <c r="H514" s="8" t="n">
        <v>3</v>
      </c>
      <c r="I514" s="8" t="inlineStr">
        <is>
          <t>worker/src/identity.ts
worker/src/routes/admin/users.ts
worker/src/routes/session.ts</t>
        </is>
      </c>
      <c r="J514" s="8" t="inlineStr"/>
    </row>
    <row r="515">
      <c r="A515" s="8" t="inlineStr">
        <is>
          <t>School (one per school)</t>
        </is>
      </c>
      <c r="B515" s="8" t="inlineStr">
        <is>
          <t>user_roles</t>
        </is>
      </c>
      <c r="C515" s="11" t="inlineStr">
        <is>
          <t>Good</t>
        </is>
      </c>
      <c r="D515" s="8" t="n">
        <v>6</v>
      </c>
      <c r="E515" s="8" t="n">
        <v>2</v>
      </c>
      <c r="F515" s="8" t="n">
        <v>4</v>
      </c>
      <c r="G515" s="8" t="inlineStr">
        <is>
          <t>0001_baseline.sql</t>
        </is>
      </c>
      <c r="H515" s="8" t="n">
        <v>39</v>
      </c>
      <c r="I515" s="8" t="inlineStr">
        <is>
          <t>worker/src/identity.ts
worker/src/routes/admin/loose.ts
worker/src/routes/admin/platform_config.ts
worker/src/routes/admin/report_digest.ts
worker/src/routes/admin/security.ts
worker/src/routes/admin/student_logins.ts
… +33 more</t>
        </is>
      </c>
      <c r="J515" s="8" t="inlineStr"/>
    </row>
    <row r="516">
      <c r="A516" s="8" t="inlineStr">
        <is>
          <t>School (one per school)</t>
        </is>
      </c>
      <c r="B516" s="8" t="inlineStr">
        <is>
          <t>user_working_years</t>
        </is>
      </c>
      <c r="C516" s="11" t="inlineStr">
        <is>
          <t>Good</t>
        </is>
      </c>
      <c r="D516" s="8" t="n">
        <v>4</v>
      </c>
      <c r="E516" s="8" t="n">
        <v>1</v>
      </c>
      <c r="F516" s="8" t="n">
        <v>3</v>
      </c>
      <c r="G516" s="8" t="inlineStr">
        <is>
          <t>0001_baseline.sql</t>
        </is>
      </c>
      <c r="H516" s="8" t="n">
        <v>6</v>
      </c>
      <c r="I516" s="8" t="inlineStr">
        <is>
          <t>worker/src/routes/admissions/util.ts
worker/src/routes/board_exams.ts
worker/src/routes/misc/shell.ts
worker/src/routes/ops/library.ts
worker/src/routes/students/common.ts
worker/src/services/refcache.ts</t>
        </is>
      </c>
      <c r="J516" s="8" t="inlineStr"/>
    </row>
    <row r="517">
      <c r="A517" s="8" t="inlineStr">
        <is>
          <t>School (one per school)</t>
        </is>
      </c>
      <c r="B517" s="8" t="inlineStr">
        <is>
          <t>users</t>
        </is>
      </c>
      <c r="C517" s="11" t="inlineStr">
        <is>
          <t>Good</t>
        </is>
      </c>
      <c r="D517" s="8" t="n">
        <v>21</v>
      </c>
      <c r="E517" s="8" t="n">
        <v>5</v>
      </c>
      <c r="F517" s="8" t="n">
        <v>3</v>
      </c>
      <c r="G517" s="8" t="inlineStr">
        <is>
          <t>0001_baseline.sql</t>
        </is>
      </c>
      <c r="H517" s="8" t="n">
        <v>105</v>
      </c>
      <c r="I517" s="8" t="inlineStr">
        <is>
          <t>worker/src/identity.ts
worker/src/pages/mfa.ts
worker/src/pages/reset.ts
worker/src/routes/academics.ts
worker/src/routes/academics/admin.ts
worker/src/routes/admin/connectors.ts
… +99 more</t>
        </is>
      </c>
      <c r="J517" s="8" t="inlineStr"/>
    </row>
    <row r="518">
      <c r="A518" s="8" t="inlineStr">
        <is>
          <t>School (one per school)</t>
        </is>
      </c>
      <c r="B518" s="8" t="inlineStr">
        <is>
          <t>vehicle_last_position</t>
        </is>
      </c>
      <c r="C518" s="11" t="inlineStr">
        <is>
          <t>Good</t>
        </is>
      </c>
      <c r="D518" s="8" t="n">
        <v>11</v>
      </c>
      <c r="E518" s="8" t="n">
        <v>1</v>
      </c>
      <c r="F518" s="8" t="n">
        <v>4</v>
      </c>
      <c r="G518" s="8" t="inlineStr">
        <is>
          <t>0001_baseline.sql</t>
        </is>
      </c>
      <c r="H518" s="8" t="n">
        <v>3</v>
      </c>
      <c r="I518" s="8" t="inlineStr">
        <is>
          <t>worker/src/routes/scheduling/bus_tracker.ts
worker/src/routes/scheduling/child_bus.ts
worker/src/routes/scheduling/office.ts</t>
        </is>
      </c>
      <c r="J518" s="8" t="inlineStr"/>
    </row>
    <row r="519">
      <c r="A519" s="8" t="inlineStr">
        <is>
          <t>School (one per school)</t>
        </is>
      </c>
      <c r="B519" s="8" t="inlineStr">
        <is>
          <t>vehicle_logs</t>
        </is>
      </c>
      <c r="C519" s="11" t="inlineStr">
        <is>
          <t>Good</t>
        </is>
      </c>
      <c r="D519" s="8" t="n">
        <v>14</v>
      </c>
      <c r="E519" s="8" t="n">
        <v>1</v>
      </c>
      <c r="F519" s="8" t="n">
        <v>3</v>
      </c>
      <c r="G519" s="8" t="inlineStr">
        <is>
          <t>0001_baseline.sql</t>
        </is>
      </c>
      <c r="H519" s="8" t="n">
        <v>1</v>
      </c>
      <c r="I519" s="8" t="inlineStr">
        <is>
          <t>worker/src/routes/ops/transport_office.ts</t>
        </is>
      </c>
      <c r="J519" s="8" t="inlineStr"/>
    </row>
    <row r="520">
      <c r="A520" s="8" t="inlineStr">
        <is>
          <t>School (one per school)</t>
        </is>
      </c>
      <c r="B520" s="8" t="inlineStr">
        <is>
          <t>vehicle_positions</t>
        </is>
      </c>
      <c r="C520" s="11" t="inlineStr">
        <is>
          <t>Good</t>
        </is>
      </c>
      <c r="D520" s="8" t="n">
        <v>11</v>
      </c>
      <c r="E520" s="8" t="n">
        <v>3</v>
      </c>
      <c r="F520" s="8" t="n">
        <v>3</v>
      </c>
      <c r="G520" s="8" t="inlineStr">
        <is>
          <t>0001_baseline.sql</t>
        </is>
      </c>
      <c r="H520" s="8" t="n">
        <v>2</v>
      </c>
      <c r="I520" s="8" t="inlineStr">
        <is>
          <t>worker/src/routes/scheduling/bus_tracker.ts
worker/src/services/background/transport.ts</t>
        </is>
      </c>
      <c r="J520" s="8" t="inlineStr"/>
    </row>
    <row r="521">
      <c r="A521" s="8" t="inlineStr">
        <is>
          <t>School (one per school)</t>
        </is>
      </c>
      <c r="B521" s="8" t="inlineStr">
        <is>
          <t>vehicle_tracker_pair_codes</t>
        </is>
      </c>
      <c r="C521" s="11" t="inlineStr">
        <is>
          <t>Good</t>
        </is>
      </c>
      <c r="D521" s="8" t="n">
        <v>8</v>
      </c>
      <c r="E521" s="8" t="n">
        <v>2</v>
      </c>
      <c r="F521" s="8" t="n">
        <v>3</v>
      </c>
      <c r="G521" s="8" t="inlineStr">
        <is>
          <t>0001_baseline.sql</t>
        </is>
      </c>
      <c r="H521" s="8" t="n">
        <v>2</v>
      </c>
      <c r="I521" s="8" t="inlineStr">
        <is>
          <t>worker/src/routes/scheduling/bus_tracker.ts
worker/src/routes/scheduling/office.ts</t>
        </is>
      </c>
      <c r="J521" s="8" t="inlineStr"/>
    </row>
    <row r="522">
      <c r="A522" s="8" t="inlineStr">
        <is>
          <t>School (one per school)</t>
        </is>
      </c>
      <c r="B522" s="8" t="inlineStr">
        <is>
          <t>vehicle_trackers</t>
        </is>
      </c>
      <c r="C522" s="11" t="inlineStr">
        <is>
          <t>Good</t>
        </is>
      </c>
      <c r="D522" s="8" t="n">
        <v>24</v>
      </c>
      <c r="E522" s="8" t="n">
        <v>3</v>
      </c>
      <c r="F522" s="8" t="n">
        <v>6</v>
      </c>
      <c r="G522" s="8" t="inlineStr">
        <is>
          <t>0001_baseline.sql</t>
        </is>
      </c>
      <c r="H522" s="8" t="n">
        <v>3</v>
      </c>
      <c r="I522" s="8" t="inlineStr">
        <is>
          <t>worker/src/routes/ops/transport.ts
worker/src/routes/scheduling/bus_tracker.ts
worker/src/routes/scheduling/office.ts</t>
        </is>
      </c>
      <c r="J522" s="8" t="inlineStr"/>
    </row>
    <row r="523">
      <c r="A523" s="8" t="inlineStr">
        <is>
          <t>School (one per school)</t>
        </is>
      </c>
      <c r="B523" s="8" t="inlineStr">
        <is>
          <t>vehicle_trips</t>
        </is>
      </c>
      <c r="C523" s="11" t="inlineStr">
        <is>
          <t>Good</t>
        </is>
      </c>
      <c r="D523" s="8" t="n">
        <v>12</v>
      </c>
      <c r="E523" s="8" t="n">
        <v>3</v>
      </c>
      <c r="F523" s="8" t="n">
        <v>6</v>
      </c>
      <c r="G523" s="8" t="inlineStr">
        <is>
          <t>0001_baseline.sql</t>
        </is>
      </c>
      <c r="H523" s="8" t="n">
        <v>6</v>
      </c>
      <c r="I523" s="8" t="inlineStr">
        <is>
          <t>worker/src/routes/admin/metrics.ts
worker/src/routes/ops/transport.ts
worker/src/routes/scheduling/bus_tracker.ts
worker/src/routes/scheduling/child_bus.ts
worker/src/routes/scheduling/office.ts
worker/src/services/background/transport.ts</t>
        </is>
      </c>
      <c r="J523" s="8" t="inlineStr"/>
    </row>
    <row r="524">
      <c r="A524" s="8" t="inlineStr">
        <is>
          <t>School (one per school)</t>
        </is>
      </c>
      <c r="B524" s="8" t="inlineStr">
        <is>
          <t>vehicles</t>
        </is>
      </c>
      <c r="C524" s="11" t="inlineStr">
        <is>
          <t>Good</t>
        </is>
      </c>
      <c r="D524" s="8" t="n">
        <v>16</v>
      </c>
      <c r="E524" s="8" t="n">
        <v>2</v>
      </c>
      <c r="F524" s="8" t="n">
        <v>4</v>
      </c>
      <c r="G524" s="8" t="inlineStr">
        <is>
          <t>0001_baseline.sql</t>
        </is>
      </c>
      <c r="H524" s="8" t="n">
        <v>7</v>
      </c>
      <c r="I524" s="8" t="inlineStr">
        <is>
          <t>worker/src/routes/hr/attendance.ts
worker/src/routes/ops/transport.ts
worker/src/routes/ops/transport_office.ts
worker/src/routes/scheduling/bus_tracker.ts
worker/src/routes/scheduling/child_bus.ts
worker/src/routes/scheduling/office.ts
… +1 more</t>
        </is>
      </c>
      <c r="J524" s="8" t="inlineStr"/>
    </row>
    <row r="525">
      <c r="A525" s="8" t="inlineStr">
        <is>
          <t>School (one per school)</t>
        </is>
      </c>
      <c r="B525" s="8" t="inlineStr">
        <is>
          <t>vendor_bills</t>
        </is>
      </c>
      <c r="C525" s="11" t="inlineStr">
        <is>
          <t>Good</t>
        </is>
      </c>
      <c r="D525" s="8" t="n">
        <v>18</v>
      </c>
      <c r="E525" s="8" t="n">
        <v>2</v>
      </c>
      <c r="F525" s="8" t="n">
        <v>7</v>
      </c>
      <c r="G525" s="8" t="inlineStr">
        <is>
          <t>0001_baseline.sql</t>
        </is>
      </c>
      <c r="H525" s="8" t="n">
        <v>3</v>
      </c>
      <c r="I525" s="8" t="inlineStr">
        <is>
          <t>worker/src/routes/admin/ops_purchasing.ts
worker/src/routes/fees/banking.ts
worker/src/routes/fees/ledgers.ts</t>
        </is>
      </c>
      <c r="J525" s="8" t="inlineStr"/>
    </row>
    <row r="526">
      <c r="A526" s="8" t="inlineStr">
        <is>
          <t>School (one per school)</t>
        </is>
      </c>
      <c r="B526" s="8" t="inlineStr">
        <is>
          <t>vendor_payments</t>
        </is>
      </c>
      <c r="C526" s="11" t="inlineStr">
        <is>
          <t>Good</t>
        </is>
      </c>
      <c r="D526" s="8" t="n">
        <v>14</v>
      </c>
      <c r="E526" s="8" t="n">
        <v>2</v>
      </c>
      <c r="F526" s="8" t="n">
        <v>5</v>
      </c>
      <c r="G526" s="8" t="inlineStr">
        <is>
          <t>0001_baseline.sql</t>
        </is>
      </c>
      <c r="H526" s="8" t="n">
        <v>2</v>
      </c>
      <c r="I526" s="8" t="inlineStr">
        <is>
          <t>worker/src/routes/fees/banking.ts
worker/src/routes/fees/ledgers.ts</t>
        </is>
      </c>
      <c r="J526" s="8" t="inlineStr"/>
    </row>
    <row r="527">
      <c r="A527" s="8" t="inlineStr">
        <is>
          <t>School (one per school)</t>
        </is>
      </c>
      <c r="B527" s="8" t="inlineStr">
        <is>
          <t>vendors</t>
        </is>
      </c>
      <c r="C527" s="11" t="inlineStr">
        <is>
          <t>Good</t>
        </is>
      </c>
      <c r="D527" s="8" t="n">
        <v>17</v>
      </c>
      <c r="E527" s="8" t="n">
        <v>2</v>
      </c>
      <c r="F527" s="8" t="n">
        <v>1</v>
      </c>
      <c r="G527" s="8" t="inlineStr">
        <is>
          <t>0001_baseline.sql</t>
        </is>
      </c>
      <c r="H527" s="8" t="n">
        <v>3</v>
      </c>
      <c r="I527" s="8" t="inlineStr">
        <is>
          <t>worker/src/routes/admin/ops_purchasing.ts
worker/src/routes/fees/banking.ts
worker/src/routes/fees/ledgers.ts</t>
        </is>
      </c>
      <c r="J527" s="8" t="inlineStr"/>
    </row>
    <row r="528">
      <c r="A528" s="8" t="inlineStr">
        <is>
          <t>School (one per school)</t>
        </is>
      </c>
      <c r="B528" s="8" t="inlineStr">
        <is>
          <t>virtual_class_hand_raises</t>
        </is>
      </c>
      <c r="C528" s="11" t="inlineStr">
        <is>
          <t>Good</t>
        </is>
      </c>
      <c r="D528" s="8" t="n">
        <v>10</v>
      </c>
      <c r="E528" s="8" t="n">
        <v>3</v>
      </c>
      <c r="F528" s="8" t="n">
        <v>5</v>
      </c>
      <c r="G528" s="8" t="inlineStr">
        <is>
          <t>0001_baseline.sql</t>
        </is>
      </c>
      <c r="H528" s="8" t="n">
        <v>1</v>
      </c>
      <c r="I528" s="8" t="inlineStr">
        <is>
          <t>worker/src/routes/portal/life.ts</t>
        </is>
      </c>
      <c r="J528" s="8" t="inlineStr"/>
    </row>
    <row r="529">
      <c r="A529" s="8" t="inlineStr">
        <is>
          <t>School (one per school)</t>
        </is>
      </c>
      <c r="B529" s="8" t="inlineStr">
        <is>
          <t>virtual_class_providers</t>
        </is>
      </c>
      <c r="C529" s="11" t="inlineStr">
        <is>
          <t>Good</t>
        </is>
      </c>
      <c r="D529" s="8" t="n">
        <v>8</v>
      </c>
      <c r="E529" s="8" t="n">
        <v>1</v>
      </c>
      <c r="F529" s="8" t="n">
        <v>2</v>
      </c>
      <c r="G529" s="8" t="inlineStr">
        <is>
          <t>0001_baseline.sql</t>
        </is>
      </c>
      <c r="H529" s="8" t="n">
        <v>2</v>
      </c>
      <c r="I529" s="8" t="inlineStr">
        <is>
          <t>worker/src/routes/admin/connectors.ts
worker/src/routes/teaching/classwork.ts</t>
        </is>
      </c>
      <c r="J529" s="8" t="inlineStr"/>
    </row>
    <row r="530">
      <c r="A530" s="8" t="inlineStr">
        <is>
          <t>School (one per school)</t>
        </is>
      </c>
      <c r="B530" s="8" t="inlineStr">
        <is>
          <t>virtual_class_sessions</t>
        </is>
      </c>
      <c r="C530" s="11" t="inlineStr">
        <is>
          <t>Good</t>
        </is>
      </c>
      <c r="D530" s="8" t="n">
        <v>17</v>
      </c>
      <c r="E530" s="8" t="n">
        <v>1</v>
      </c>
      <c r="F530" s="8" t="n">
        <v>5</v>
      </c>
      <c r="G530" s="8" t="inlineStr">
        <is>
          <t>0001_baseline.sql</t>
        </is>
      </c>
      <c r="H530" s="8" t="n">
        <v>3</v>
      </c>
      <c r="I530" s="8" t="inlineStr">
        <is>
          <t>worker/src/routes/admin/connectors.ts
worker/src/routes/portal/life.ts
worker/src/routes/teaching/classwork.ts</t>
        </is>
      </c>
      <c r="J530" s="8" t="inlineStr"/>
    </row>
    <row r="531">
      <c r="A531" s="8" t="inlineStr">
        <is>
          <t>School (one per school)</t>
        </is>
      </c>
      <c r="B531" s="8" t="inlineStr">
        <is>
          <t>virtual_meeting_platform_providers</t>
        </is>
      </c>
      <c r="C531" s="11" t="inlineStr">
        <is>
          <t>Good</t>
        </is>
      </c>
      <c r="D531" s="8" t="n">
        <v>12</v>
      </c>
      <c r="E531" s="8" t="n">
        <v>1</v>
      </c>
      <c r="F531" s="8" t="n">
        <v>2</v>
      </c>
      <c r="G531" s="8" t="inlineStr">
        <is>
          <t>0001_baseline.sql</t>
        </is>
      </c>
      <c r="H531" s="8" t="n">
        <v>2</v>
      </c>
      <c r="I531" s="8" t="inlineStr">
        <is>
          <t>worker/src/routes/admin/connectors.ts
worker/src/routes/admin/integrations_index.ts</t>
        </is>
      </c>
      <c r="J531" s="8" t="inlineStr"/>
    </row>
    <row r="532">
      <c r="A532" s="8" t="inlineStr">
        <is>
          <t>School (one per school)</t>
        </is>
      </c>
      <c r="B532" s="8" t="inlineStr">
        <is>
          <t>virtual_meeting_requests</t>
        </is>
      </c>
      <c r="C532" s="11" t="inlineStr">
        <is>
          <t>Good</t>
        </is>
      </c>
      <c r="D532" s="8" t="n">
        <v>11</v>
      </c>
      <c r="E532" s="8" t="n">
        <v>2</v>
      </c>
      <c r="F532" s="8" t="n">
        <v>3</v>
      </c>
      <c r="G532" s="8" t="inlineStr">
        <is>
          <t>0001_baseline.sql</t>
        </is>
      </c>
      <c r="H532" s="8" t="n">
        <v>2</v>
      </c>
      <c r="I532" s="8" t="inlineStr">
        <is>
          <t>worker/src/routes/admin/connectors.ts
worker/src/routes/admin/integrations_index.ts</t>
        </is>
      </c>
      <c r="J532" s="8" t="inlineStr"/>
    </row>
    <row r="533">
      <c r="A533" s="8" t="inlineStr">
        <is>
          <t>School (one per school)</t>
        </is>
      </c>
      <c r="B533" s="8" t="inlineStr">
        <is>
          <t>visitor_blocklist</t>
        </is>
      </c>
      <c r="C533" s="11" t="inlineStr">
        <is>
          <t>Good</t>
        </is>
      </c>
      <c r="D533" s="8" t="n">
        <v>10</v>
      </c>
      <c r="E533" s="8" t="n">
        <v>1</v>
      </c>
      <c r="F533" s="8" t="n">
        <v>2</v>
      </c>
      <c r="G533" s="8" t="inlineStr">
        <is>
          <t>0001_baseline.sql</t>
        </is>
      </c>
      <c r="H533" s="8" t="n">
        <v>2</v>
      </c>
      <c r="I533" s="8" t="inlineStr">
        <is>
          <t>worker/src/routes/hr/office.ts
worker/src/routes/ops/infirmary.ts</t>
        </is>
      </c>
      <c r="J533" s="8" t="inlineStr"/>
    </row>
    <row r="534">
      <c r="A534" s="8" t="inlineStr">
        <is>
          <t>School (one per school)</t>
        </is>
      </c>
      <c r="B534" s="8" t="inlineStr">
        <is>
          <t>visitors</t>
        </is>
      </c>
      <c r="C534" s="11" t="inlineStr">
        <is>
          <t>Good</t>
        </is>
      </c>
      <c r="D534" s="8" t="n">
        <v>19</v>
      </c>
      <c r="E534" s="8" t="n">
        <v>2</v>
      </c>
      <c r="F534" s="8" t="n">
        <v>7</v>
      </c>
      <c r="G534" s="8" t="inlineStr">
        <is>
          <t>0001_baseline.sql</t>
        </is>
      </c>
      <c r="H534" s="8" t="n">
        <v>2</v>
      </c>
      <c r="I534" s="8" t="inlineStr">
        <is>
          <t>worker/src/routes/hr/office.ts
worker/src/routes/ops/infirmary.ts</t>
        </is>
      </c>
      <c r="J534" s="8" t="inlineStr"/>
    </row>
    <row r="535">
      <c r="A535" s="8" t="inlineStr">
        <is>
          <t>School (one per school)</t>
        </is>
      </c>
      <c r="B535" s="8" t="inlineStr">
        <is>
          <t>wallet_accounts</t>
        </is>
      </c>
      <c r="C535" s="11" t="inlineStr">
        <is>
          <t>Good</t>
        </is>
      </c>
      <c r="D535" s="8" t="n">
        <v>8</v>
      </c>
      <c r="E535" s="8" t="n">
        <v>1</v>
      </c>
      <c r="F535" s="8" t="n">
        <v>3</v>
      </c>
      <c r="G535" s="8" t="inlineStr">
        <is>
          <t>0001_baseline.sql</t>
        </is>
      </c>
      <c r="H535" s="8" t="n">
        <v>3</v>
      </c>
      <c r="I535" s="8" t="inlineStr">
        <is>
          <t>worker/src/routes/fees/collections.ts
worker/src/routes/fees/common.ts
worker/src/routes/fees/counter.ts</t>
        </is>
      </c>
      <c r="J535" s="8" t="inlineStr"/>
    </row>
    <row r="536">
      <c r="A536" s="8" t="inlineStr">
        <is>
          <t>School (one per school)</t>
        </is>
      </c>
      <c r="B536" s="8" t="inlineStr">
        <is>
          <t>wallet_transactions</t>
        </is>
      </c>
      <c r="C536" s="11" t="inlineStr">
        <is>
          <t>Good</t>
        </is>
      </c>
      <c r="D536" s="8" t="n">
        <v>14</v>
      </c>
      <c r="E536" s="8" t="n">
        <v>2</v>
      </c>
      <c r="F536" s="8" t="n">
        <v>6</v>
      </c>
      <c r="G536" s="8" t="inlineStr">
        <is>
          <t>0001_baseline.sql</t>
        </is>
      </c>
      <c r="H536" s="8" t="n">
        <v>3</v>
      </c>
      <c r="I536" s="8" t="inlineStr">
        <is>
          <t>worker/src/routes/fees/collections.ts
worker/src/routes/fees/common.ts
worker/src/routes/fees/counter.ts</t>
        </is>
      </c>
      <c r="J536" s="8" t="inlineStr"/>
    </row>
    <row r="537">
      <c r="A537" s="8" t="inlineStr">
        <is>
          <t>School (one per school)</t>
        </is>
      </c>
      <c r="B537" s="8" t="inlineStr">
        <is>
          <t>work_patterns</t>
        </is>
      </c>
      <c r="C537" s="11" t="inlineStr">
        <is>
          <t>Good</t>
        </is>
      </c>
      <c r="D537" s="8" t="n">
        <v>16</v>
      </c>
      <c r="E537" s="8" t="n">
        <v>1</v>
      </c>
      <c r="F537" s="8" t="n">
        <v>1</v>
      </c>
      <c r="G537" s="8" t="inlineStr">
        <is>
          <t>0001_baseline.sql</t>
        </is>
      </c>
      <c r="H537" s="8" t="n">
        <v>4</v>
      </c>
      <c r="I537" s="8" t="inlineStr">
        <is>
          <t>worker/src/routes/admin/loose.ts
worker/src/routes/hr/lop.ts
worker/src/routes/payroll.ts
worker/src/routes/setup/staff.ts</t>
        </is>
      </c>
      <c r="J537" s="8" t="inlineStr"/>
    </row>
    <row r="538">
      <c r="A538" s="8" t="inlineStr">
        <is>
          <t>School (one per school)</t>
        </is>
      </c>
      <c r="B538" s="8" t="inlineStr">
        <is>
          <t>working_days_adjustments</t>
        </is>
      </c>
      <c r="C538" s="11" t="inlineStr">
        <is>
          <t>Good</t>
        </is>
      </c>
      <c r="D538" s="8" t="n">
        <v>10</v>
      </c>
      <c r="E538" s="8" t="n">
        <v>2</v>
      </c>
      <c r="F538" s="8" t="n">
        <v>4</v>
      </c>
      <c r="G538" s="8" t="inlineStr">
        <is>
          <t>0001_baseline.sql</t>
        </is>
      </c>
      <c r="H538" s="8" t="n">
        <v>1</v>
      </c>
      <c r="I538" s="8" t="inlineStr">
        <is>
          <t>worker/src/routes/statutory.ts</t>
        </is>
      </c>
      <c r="J538" s="8" t="inlineStr"/>
    </row>
    <row r="539">
      <c r="A539" s="8" t="inlineStr">
        <is>
          <t>School (one per school)</t>
        </is>
      </c>
      <c r="B539" s="8" t="inlineStr">
        <is>
          <t>working_days_return_lines</t>
        </is>
      </c>
      <c r="C539" s="11" t="inlineStr">
        <is>
          <t>Good</t>
        </is>
      </c>
      <c r="D539" s="8" t="n">
        <v>13</v>
      </c>
      <c r="E539" s="8" t="n">
        <v>2</v>
      </c>
      <c r="F539" s="8" t="n">
        <v>3</v>
      </c>
      <c r="G539" s="8" t="inlineStr">
        <is>
          <t>0001_baseline.sql</t>
        </is>
      </c>
      <c r="H539" s="8" t="n">
        <v>1</v>
      </c>
      <c r="I539" s="8" t="inlineStr">
        <is>
          <t>worker/src/routes/statutory.ts</t>
        </is>
      </c>
      <c r="J539" s="8" t="inlineStr"/>
    </row>
    <row r="540">
      <c r="A540" s="8" t="inlineStr">
        <is>
          <t>School (one per school)</t>
        </is>
      </c>
      <c r="B540" s="8" t="inlineStr">
        <is>
          <t>working_days_returns</t>
        </is>
      </c>
      <c r="C540" s="11" t="inlineStr">
        <is>
          <t>Good</t>
        </is>
      </c>
      <c r="D540" s="8" t="n">
        <v>14</v>
      </c>
      <c r="E540" s="8" t="n">
        <v>2</v>
      </c>
      <c r="F540" s="8" t="n">
        <v>4</v>
      </c>
      <c r="G540" s="8" t="inlineStr">
        <is>
          <t>0001_baseline.sql</t>
        </is>
      </c>
      <c r="H540" s="8" t="n">
        <v>1</v>
      </c>
      <c r="I540" s="8" t="inlineStr">
        <is>
          <t>worker/src/routes/statutory.ts</t>
        </is>
      </c>
      <c r="J540" s="8" t="inlineStr"/>
    </row>
  </sheetData>
  <autoFilter ref="A1:J54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7"/>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14" customWidth="1" min="3" max="3"/>
  </cols>
  <sheetData>
    <row r="1" ht="30" customHeight="1">
      <c r="A1" s="9" t="inlineStr">
        <is>
          <t>Role</t>
        </is>
      </c>
      <c r="B1" s="9" t="inlineStr">
        <is>
          <t>Key</t>
        </is>
      </c>
      <c r="C1" s="9" t="inlineStr">
        <is>
          <t>Permissions granted</t>
        </is>
      </c>
    </row>
    <row r="2">
      <c r="A2" s="8" t="inlineStr">
        <is>
          <t>Seller Admin</t>
        </is>
      </c>
      <c r="B2" s="8" t="inlineStr">
        <is>
          <t>seller_admin</t>
        </is>
      </c>
      <c r="C2" s="8" t="n">
        <v>7</v>
      </c>
    </row>
    <row r="3">
      <c r="A3" s="8" t="inlineStr">
        <is>
          <t>Support Admin</t>
        </is>
      </c>
      <c r="B3" s="8" t="inlineStr">
        <is>
          <t>support_admin</t>
        </is>
      </c>
      <c r="C3" s="8" t="n">
        <v>6</v>
      </c>
    </row>
    <row r="4">
      <c r="A4" s="8" t="inlineStr">
        <is>
          <t>Institution Admin / Principal</t>
        </is>
      </c>
      <c r="B4" s="8" t="inlineStr">
        <is>
          <t>institution_admin</t>
        </is>
      </c>
      <c r="C4" s="8" t="n">
        <v>80</v>
      </c>
    </row>
    <row r="5">
      <c r="A5" s="8" t="inlineStr">
        <is>
          <t>Vice Principal / Academic Coordinator</t>
        </is>
      </c>
      <c r="B5" s="8" t="inlineStr">
        <is>
          <t>vice_principal</t>
        </is>
      </c>
      <c r="C5" s="8" t="n">
        <v>25</v>
      </c>
    </row>
    <row r="6">
      <c r="A6" s="8" t="inlineStr">
        <is>
          <t>IT Administrator</t>
        </is>
      </c>
      <c r="B6" s="8" t="inlineStr">
        <is>
          <t>it_admin</t>
        </is>
      </c>
      <c r="C6" s="8" t="n">
        <v>13</v>
      </c>
    </row>
    <row r="7">
      <c r="A7" s="8" t="inlineStr">
        <is>
          <t>HOD / Department Head</t>
        </is>
      </c>
      <c r="B7" s="8" t="inlineStr">
        <is>
          <t>hod</t>
        </is>
      </c>
      <c r="C7" s="8" t="n">
        <v>19</v>
      </c>
    </row>
    <row r="8">
      <c r="A8" s="8" t="inlineStr">
        <is>
          <t>Operations Staff</t>
        </is>
      </c>
      <c r="B8" s="8" t="inlineStr">
        <is>
          <t>operations</t>
        </is>
      </c>
      <c r="C8" s="8" t="n">
        <v>15</v>
      </c>
    </row>
    <row r="9">
      <c r="A9" s="8" t="inlineStr">
        <is>
          <t>Faculty / Teacher</t>
        </is>
      </c>
      <c r="B9" s="8" t="inlineStr">
        <is>
          <t>faculty</t>
        </is>
      </c>
      <c r="C9" s="8" t="n">
        <v>15</v>
      </c>
    </row>
    <row r="10">
      <c r="A10" s="8" t="inlineStr">
        <is>
          <t>Class Teacher</t>
        </is>
      </c>
      <c r="B10" s="8" t="inlineStr">
        <is>
          <t>class_teacher</t>
        </is>
      </c>
      <c r="C10" s="8" t="n">
        <v>15</v>
      </c>
    </row>
    <row r="11">
      <c r="A11" s="8" t="inlineStr">
        <is>
          <t>Examination Controller</t>
        </is>
      </c>
      <c r="B11" s="8" t="inlineStr">
        <is>
          <t>exam_controller</t>
        </is>
      </c>
      <c r="C11" s="8" t="n">
        <v>13</v>
      </c>
    </row>
    <row r="12">
      <c r="A12" s="8" t="inlineStr">
        <is>
          <t>Accounts &amp; Finance</t>
        </is>
      </c>
      <c r="B12" s="8" t="inlineStr">
        <is>
          <t>finance</t>
        </is>
      </c>
      <c r="C12" s="8" t="n">
        <v>16</v>
      </c>
    </row>
    <row r="13">
      <c r="A13" s="8" t="inlineStr">
        <is>
          <t>Admissions &amp; Front Office</t>
        </is>
      </c>
      <c r="B13" s="8" t="inlineStr">
        <is>
          <t>admissions</t>
        </is>
      </c>
      <c r="C13" s="8" t="n">
        <v>11</v>
      </c>
    </row>
    <row r="14">
      <c r="A14" s="8" t="inlineStr">
        <is>
          <t>Receptionist / Front Office</t>
        </is>
      </c>
      <c r="B14" s="8" t="inlineStr">
        <is>
          <t>front_office</t>
        </is>
      </c>
      <c r="C14" s="8" t="n">
        <v>9</v>
      </c>
    </row>
    <row r="15">
      <c r="A15" s="8" t="inlineStr">
        <is>
          <t>Board / Trustee</t>
        </is>
      </c>
      <c r="B15" s="8" t="inlineStr">
        <is>
          <t>board_member</t>
        </is>
      </c>
      <c r="C15" s="8" t="n">
        <v>13</v>
      </c>
    </row>
    <row r="16">
      <c r="A16" s="8" t="inlineStr">
        <is>
          <t>HR &amp; Payroll</t>
        </is>
      </c>
      <c r="B16" s="8" t="inlineStr">
        <is>
          <t>hr</t>
        </is>
      </c>
      <c r="C16" s="8" t="n">
        <v>9</v>
      </c>
    </row>
    <row r="17">
      <c r="A17" s="8" t="inlineStr">
        <is>
          <t>Librarian</t>
        </is>
      </c>
      <c r="B17" s="8" t="inlineStr">
        <is>
          <t>librarian</t>
        </is>
      </c>
      <c r="C17" s="8" t="n">
        <v>7</v>
      </c>
    </row>
    <row r="18">
      <c r="A18" s="8" t="inlineStr">
        <is>
          <t>Hostel Warden</t>
        </is>
      </c>
      <c r="B18" s="8" t="inlineStr">
        <is>
          <t>hostel_warden</t>
        </is>
      </c>
      <c r="C18" s="8" t="n">
        <v>8</v>
      </c>
    </row>
    <row r="19">
      <c r="A19" s="8" t="inlineStr">
        <is>
          <t>Transport Manager</t>
        </is>
      </c>
      <c r="B19" s="8" t="inlineStr">
        <is>
          <t>transport_manager</t>
        </is>
      </c>
      <c r="C19" s="8" t="n">
        <v>7</v>
      </c>
    </row>
    <row r="20">
      <c r="A20" s="8" t="inlineStr">
        <is>
          <t>Driver / Bus Attendant</t>
        </is>
      </c>
      <c r="B20" s="8" t="inlineStr">
        <is>
          <t>driver</t>
        </is>
      </c>
      <c r="C20" s="8" t="n">
        <v>3</v>
      </c>
    </row>
    <row r="21">
      <c r="A21" s="8" t="inlineStr">
        <is>
          <t>Counsellor</t>
        </is>
      </c>
      <c r="B21" s="8" t="inlineStr">
        <is>
          <t>counsellor</t>
        </is>
      </c>
      <c r="C21" s="8" t="n">
        <v>7</v>
      </c>
    </row>
    <row r="22">
      <c r="A22" s="8" t="inlineStr">
        <is>
          <t>Nurse / Clinic</t>
        </is>
      </c>
      <c r="B22" s="8" t="inlineStr">
        <is>
          <t>nurse</t>
        </is>
      </c>
      <c r="C22" s="8" t="n">
        <v>7</v>
      </c>
    </row>
    <row r="23">
      <c r="A23" s="8" t="inlineStr">
        <is>
          <t>Discipline Officer</t>
        </is>
      </c>
      <c r="B23" s="8" t="inlineStr">
        <is>
          <t>discipline_officer</t>
        </is>
      </c>
      <c r="C23" s="8" t="n">
        <v>6</v>
      </c>
    </row>
    <row r="24">
      <c r="A24" s="8" t="inlineStr">
        <is>
          <t>Activity / Sports Coordinator</t>
        </is>
      </c>
      <c r="B24" s="8" t="inlineStr">
        <is>
          <t>activity_coord</t>
        </is>
      </c>
      <c r="C24" s="8" t="n">
        <v>6</v>
      </c>
    </row>
    <row r="25">
      <c r="A25" s="8" t="inlineStr">
        <is>
          <t>LMS Admin</t>
        </is>
      </c>
      <c r="B25" s="8" t="inlineStr">
        <is>
          <t>lms_admin</t>
        </is>
      </c>
      <c r="C25" s="8" t="n">
        <v>7</v>
      </c>
    </row>
    <row r="26">
      <c r="A26" s="8" t="inlineStr">
        <is>
          <t>Student</t>
        </is>
      </c>
      <c r="B26" s="8" t="inlineStr">
        <is>
          <t>student</t>
        </is>
      </c>
      <c r="C26" s="8" t="n">
        <v>6</v>
      </c>
    </row>
    <row r="27">
      <c r="A27" s="8" t="inlineStr">
        <is>
          <t>Parent / Guardian</t>
        </is>
      </c>
      <c r="B27" s="8" t="inlineStr">
        <is>
          <t>parent</t>
        </is>
      </c>
      <c r="C27" s="8" t="n">
        <v>7</v>
      </c>
    </row>
  </sheetData>
  <autoFilter ref="A1:C2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50" customWidth="1" min="1" max="1"/>
    <col width="7" customWidth="1" min="2" max="2"/>
    <col width="120" customWidth="1" min="3" max="3"/>
  </cols>
  <sheetData>
    <row r="1" ht="30" customHeight="1">
      <c r="A1" s="9" t="inlineStr">
        <is>
          <t>Backend file</t>
        </is>
      </c>
      <c r="B1" s="9" t="inlineStr">
        <is>
          <t>Line</t>
        </is>
      </c>
      <c r="C1" s="9" t="inlineStr">
        <is>
          <t>What answers "not implemented" (HTTP 501)</t>
        </is>
      </c>
    </row>
    <row r="2">
      <c r="A2" s="8" t="inlineStr">
        <is>
          <t>worker/src/routes/seller/tenants.ts</t>
        </is>
      </c>
      <c r="B2" s="8" t="n">
        <v>249</v>
      </c>
      <c r="C2" s="8" t="inlineStr">
        <is>
          <t>if (!p.d1DatabaseId || !p.d1Binding) notImplemented('provision tenant database')</t>
        </is>
      </c>
    </row>
    <row r="3">
      <c r="A3" s="8" t="inlineStr">
        <is>
          <t>worker/src/routes/seller/tenants.ts</t>
        </is>
      </c>
      <c r="B3" s="8" t="n">
        <v>251</v>
      </c>
      <c r="C3" s="8" t="inlineStr">
        <is>
          <t>if (!raw || typeof raw !== 'object' || !('prepare' in raw)) notImplemented('provision tenant database')</t>
        </is>
      </c>
    </row>
    <row r="4">
      <c r="A4" s="8" t="inlineStr">
        <is>
          <t>worker/src/routes/seller/tenants.ts</t>
        </is>
      </c>
      <c r="B4" s="8" t="n">
        <v>254</v>
      </c>
      <c r="C4" s="8" t="inlineStr">
        <is>
          <t>if (!adminRole) notImplemented('provision tenant seed')</t>
        </is>
      </c>
    </row>
    <row r="5">
      <c r="A5" s="8" t="inlineStr">
        <is>
          <t>worker/src/routes/seller/tenants.ts</t>
        </is>
      </c>
      <c r="B5" s="8" t="n">
        <v>895</v>
      </c>
      <c r="C5" s="8" t="inlineStr">
        <is>
          <t>if (!homeDb) notImplemented('provision tenant database')</t>
        </is>
      </c>
    </row>
    <row r="6">
      <c r="A6" s="8" t="inlineStr">
        <is>
          <t>worker/src/routes/seller/common.ts</t>
        </is>
      </c>
      <c r="B6" s="8" t="n">
        <v>8</v>
      </c>
      <c r="C6" s="8" t="inlineStr">
        <is>
          <t>throw new HttpError(501, `not implemented: ${what}`)</t>
        </is>
      </c>
    </row>
    <row r="7">
      <c r="A7" s="8" t="inlineStr">
        <is>
          <t>worker/src/routes/scheduling/common.ts</t>
        </is>
      </c>
      <c r="B7" s="8" t="n">
        <v>16</v>
      </c>
      <c r="C7" s="8" t="inlineStr">
        <is>
          <t>throw new HttpError(501, `not implemented in the Worker: ${what}`)</t>
        </is>
      </c>
    </row>
    <row r="8">
      <c r="A8" s="8" t="inlineStr">
        <is>
          <t>worker/src/routes/scheduling/common.ts</t>
        </is>
      </c>
      <c r="B8" s="8" t="n">
        <v>25</v>
      </c>
      <c r="C8" s="8" t="inlineStr">
        <is>
          <t>try { notImplemented(what) } catch (e) { console.warn(e instanceof Error ? e.message : String(e)) }</t>
        </is>
      </c>
    </row>
    <row r="9">
      <c r="A9" s="8" t="inlineStr">
        <is>
          <t>worker/src/routes/setup/common.ts</t>
        </is>
      </c>
      <c r="B9" s="8" t="n">
        <v>15</v>
      </c>
      <c r="C9" s="8" t="inlineStr">
        <is>
          <t>throw new HttpError(501, `${what} is not implemented in the Worker yet`)</t>
        </is>
      </c>
    </row>
    <row r="10">
      <c r="A10" s="8" t="inlineStr">
        <is>
          <t>worker/src/routes/teaching/common.ts</t>
        </is>
      </c>
      <c r="B10" s="8" t="n">
        <v>14</v>
      </c>
      <c r="C10" s="8" t="inlineStr">
        <is>
          <t>throw new HttpError(501, `not implemented: ${what}`)</t>
        </is>
      </c>
    </row>
    <row r="11">
      <c r="A11" s="8" t="inlineStr">
        <is>
          <t>worker/src/routes/ops/common.ts</t>
        </is>
      </c>
      <c r="B11" s="8" t="n">
        <v>8</v>
      </c>
      <c r="C11" s="8" t="inlineStr">
        <is>
          <t>throw new HttpError(501, `not implemented: ${what}`)</t>
        </is>
      </c>
    </row>
  </sheetData>
  <autoFilter ref="A1:C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26" customWidth="1" min="1" max="1"/>
    <col width="13" customWidth="1" min="2" max="2"/>
    <col width="60" customWidth="1" min="3" max="3"/>
    <col width="70" customWidth="1" min="4" max="4"/>
    <col width="50" customWidth="1" min="5" max="5"/>
  </cols>
  <sheetData>
    <row r="1" ht="30" customHeight="1">
      <c r="A1" s="9" t="inlineStr">
        <is>
          <t>Area</t>
        </is>
      </c>
      <c r="B1" s="9" t="inlineStr">
        <is>
          <t>Status</t>
        </is>
      </c>
      <c r="C1" s="9" t="inlineStr">
        <is>
          <t>Finding</t>
        </is>
      </c>
      <c r="D1" s="9" t="inlineStr">
        <is>
          <t>What was done / what is needed</t>
        </is>
      </c>
      <c r="E1" s="9" t="inlineStr">
        <is>
          <t>Where</t>
        </is>
      </c>
    </row>
    <row r="2">
      <c r="A2" s="8" t="inlineStr">
        <is>
          <t>Platform staff</t>
        </is>
      </c>
      <c r="B2" s="13" t="inlineStr">
        <is>
          <t>Fixed today</t>
        </is>
      </c>
      <c r="C2" s="8" t="inlineStr">
        <is>
          <t>Only a support account could be created from the console, and nobody could be suspended, re-roled or given a new password without SQL on the platform database.</t>
        </is>
      </c>
      <c r="D2" s="8" t="inlineStr">
        <is>
          <t>Team screen now lists everyone and can add a seller administrator or support person, suspend with a reason (signs them out at once), reactivate, change role and reset a password. Guards: nobody changes their own access, a super admin is only changed by a super admin, the last active seller administrator cannot be suspended or demoted. Every change is written to platform_events.</t>
        </is>
      </c>
      <c r="E2" s="8" t="inlineStr">
        <is>
          <t>worker/src/routes/seller/tenants.ts (/seller/staff…), web/src/features/seller/SupportTeam.tsx, worker/test/integration/platform_staff.test.ts</t>
        </is>
      </c>
    </row>
    <row r="3">
      <c r="A3" s="8" t="inlineStr">
        <is>
          <t>Support login</t>
        </is>
      </c>
      <c r="B3" s="13" t="inlineStr">
        <is>
          <t>Fixed today</t>
        </is>
      </c>
      <c r="C3" s="8" t="inlineStr">
        <is>
          <t>A support account held no screen: it signed in to an empty console and could not open the ticket queue (the queue needed the right to edit tenants).</t>
        </is>
      </c>
      <c r="D3" s="8" t="inlineStr">
        <is>
          <t>A support login now holds the Support queue screen and only that. Ticket routes are gated on the queue, not on tenant editing.</t>
        </is>
      </c>
      <c r="E3" s="8" t="inlineStr">
        <is>
          <t>worker/src/identity.ts, worker/src/routes/admin/platform_config.ts</t>
        </is>
      </c>
    </row>
    <row r="4">
      <c r="A4" s="8" t="inlineStr">
        <is>
          <t>Support tickets: SLA</t>
        </is>
      </c>
      <c r="B4" s="13" t="inlineStr">
        <is>
          <t>Fixed today</t>
        </is>
      </c>
      <c r="C4" s="8" t="inlineStr">
        <is>
          <t>The queue screen draws hours open, hours promised for the plan and "past what we promised", but its route never sent those figures, so the SLA display never appeared.</t>
        </is>
      </c>
      <c r="D4" s="8" t="inlineStr">
        <is>
          <t>The route now sends open_hours, promised_hours, breached and the plan for every ticket.</t>
        </is>
      </c>
      <c r="E4" s="8" t="inlineStr">
        <is>
          <t>worker/src/routes/admin/platform_config.ts</t>
        </is>
      </c>
    </row>
    <row r="5">
      <c r="A5" s="8" t="inlineStr">
        <is>
          <t>Support tickets: owner</t>
        </is>
      </c>
      <c r="B5" s="13" t="inlineStr">
        <is>
          <t>Fixed today</t>
        </is>
      </c>
      <c r="C5" s="8" t="inlineStr">
        <is>
          <t>"Take" changed the status but could not record who took it: assigned_to points at the school's own users.</t>
        </is>
      </c>
      <c r="D5" s="8" t="inlineStr">
        <is>
          <t>Tenant migration 0024 adds the vendor agent (id and name). Whoever on the desk first acts on a ticket holds it, and both the vendor queue and the school see the name.</t>
        </is>
      </c>
      <c r="E5" s="8" t="inlineStr">
        <is>
          <t>worker/migrations/tenant/0024_vendor_ticket_agent.sql</t>
        </is>
      </c>
    </row>
    <row r="6">
      <c r="A6" s="8" t="inlineStr">
        <is>
          <t>Entering a school (support)</t>
        </is>
      </c>
      <c r="B6" s="13" t="inlineStr">
        <is>
          <t>Fixed today</t>
        </is>
      </c>
      <c r="C6" s="8" t="inlineStr">
        <is>
          <t>A support session ("enter this school, say why, for how long") could never be saved: the table referenced a school user and the operator is a platform account. And nothing checked for a session, so any support login could name any school and read its shape, jobs and audit trail.</t>
        </is>
      </c>
      <c r="D6" s="8" t="inlineStr">
        <is>
          <t>Tenant migration 0025 rebuilds the table without that reference. A support login is now outside every school unless it has a live, unexpired session recorded in that school; the school's administrator can see it and end it. Any platform account can open a session for itself with a reason of at least 8 characters, for at most 4 hours.</t>
        </is>
      </c>
      <c r="E6" s="8" t="inlineStr">
        <is>
          <t>worker/migrations/tenant/0025_support_access_grants.sql, worker/src/identity.ts</t>
        </is>
      </c>
    </row>
    <row r="7">
      <c r="A7" s="8" t="inlineStr">
        <is>
          <t>Entering a school (seller admin)</t>
        </is>
      </c>
      <c r="B7" s="14" t="inlineStr">
        <is>
          <t>Open</t>
        </is>
      </c>
      <c r="C7" s="8" t="inlineStr">
        <is>
          <t>Seller administrators and super admins still enter any school without recording a session. That is deliberate for now (running the console means entering schools all day), but their changes inside a school are not attributed in the school's audit log.</t>
        </is>
      </c>
      <c r="D7" s="8" t="inlineStr">
        <is>
          <t>Decide whether operators must also record a reason, and write operator actions into the school's audit trail.</t>
        </is>
      </c>
      <c r="E7" s="8" t="inlineStr">
        <is>
          <t>worker/src/identity.ts, audit middleware</t>
        </is>
      </c>
    </row>
    <row r="8">
      <c r="A8" s="8" t="inlineStr">
        <is>
          <t>Two-step sign-in for staff</t>
        </is>
      </c>
      <c r="B8" s="14" t="inlineStr">
        <is>
          <t>Open</t>
        </is>
      </c>
      <c r="C8" s="8" t="inlineStr">
        <is>
          <t>Platform accounts have no MFA; the table has no column for it.</t>
        </is>
      </c>
      <c r="D8" s="8" t="inlineStr">
        <is>
          <t>Add MFA for platform users (control migration, mfa.ts, login).</t>
        </is>
      </c>
      <c r="E8" s="8" t="inlineStr">
        <is>
          <t>worker/src/routes/admin/mfa.ts</t>
        </is>
      </c>
    </row>
    <row r="9">
      <c r="A9" s="8" t="inlineStr">
        <is>
          <t>Inviting staff</t>
        </is>
      </c>
      <c r="B9" s="14" t="inlineStr">
        <is>
          <t>Open</t>
        </is>
      </c>
      <c r="C9" s="8" t="inlineStr">
        <is>
          <t>A new account gets a one-time password shown on screen to hand over; there is no emailed invite link, and a platform account is not forced to change the password at first sign-in.</t>
        </is>
      </c>
      <c r="D9" s="8" t="inlineStr">
        <is>
          <t>Add an invite/first-sign-in flow once outgoing email for the platform is settled.</t>
        </is>
      </c>
      <c r="E9" s="8" t="inlineStr">
        <is>
          <t>worker/src/routes/seller/tenants.ts</t>
        </is>
      </c>
    </row>
    <row r="10">
      <c r="A10" s="8" t="inlineStr">
        <is>
          <t>Ticket conversation</t>
        </is>
      </c>
      <c r="B10" s="14" t="inlineStr">
        <is>
          <t>Open</t>
        </is>
      </c>
      <c r="C10" s="8" t="inlineStr">
        <is>
          <t>A ticket has a subject, a body and a status. There is no reply thread, no history and no notification to the school when the vendor acts. No screen in a school's console raises a vendor ticket (the endpoint exists).</t>
        </is>
      </c>
      <c r="D10" s="8" t="inlineStr">
        <is>
          <t>Add a thread table, a school-side "Contact support" screen and notifications.</t>
        </is>
      </c>
      <c r="E10" s="8" t="inlineStr">
        <is>
          <t>worker/src/routes/admin/platform_config.ts, new web screen</t>
        </is>
      </c>
    </row>
    <row r="11">
      <c r="A11" s="8" t="inlineStr">
        <is>
          <t>SLA table</t>
        </is>
      </c>
      <c r="B11" s="14" t="inlineStr">
        <is>
          <t>Open</t>
        </is>
      </c>
      <c r="C11" s="8" t="inlineStr">
        <is>
          <t>What was promised is a fixed table in code keyed on plan codes (enterprise, pro, basic…); a plan with another code gets the slowest tier.</t>
        </is>
      </c>
      <c r="D11" s="8" t="inlineStr">
        <is>
          <t>Store the promise on the plan.</t>
        </is>
      </c>
      <c r="E11" s="8" t="inlineStr">
        <is>
          <t>worker/src/routes/seller/tenants.ts promisedHours</t>
        </is>
      </c>
    </row>
    <row r="12">
      <c r="A12" s="8" t="inlineStr">
        <is>
          <t>Online payment of the subscription</t>
        </is>
      </c>
      <c r="B12" s="14" t="inlineStr">
        <is>
          <t>Open</t>
        </is>
      </c>
      <c r="C12" s="8" t="inlineStr">
        <is>
          <t>Invoices, payments, dunning and auto-suspend are real. Checkout creates an order but calls no payment provider; outside production it simulates success.</t>
        </is>
      </c>
      <c r="D12" s="8" t="inlineStr">
        <is>
          <t>Needs a provider decision (e.g. Razorpay) and its keys: create the order with the provider and verify its webhook.</t>
        </is>
      </c>
      <c r="E12" s="8" t="inlineStr">
        <is>
          <t>worker/src/routes/seller/billing.ts</t>
        </is>
      </c>
    </row>
    <row r="13">
      <c r="A13" s="8" t="inlineStr">
        <is>
          <t>Restore and database delete</t>
        </is>
      </c>
      <c r="B13" s="14" t="inlineStr">
        <is>
          <t>Open</t>
        </is>
      </c>
      <c r="C13" s="8" t="inlineStr">
        <is>
          <t>Run as dry runs unless CF_API_TOKEN, CF_ACCOUNT_ID and D1_ADMIN_LIVE=true are set on the Worker.</t>
        </is>
      </c>
      <c r="D13" s="8" t="inlineStr">
        <is>
          <t>Set the secrets when ready; document them.</t>
        </is>
      </c>
      <c r="E13" s="8" t="inlineStr">
        <is>
          <t>worker/src/routes/seller/lifecycle.ts</t>
        </is>
      </c>
    </row>
    <row r="14">
      <c r="A14" s="8" t="inlineStr">
        <is>
          <t>Tenants, plans, limits, provisioning, lifecycle, export, billing ledger, audit, board members</t>
        </is>
      </c>
      <c r="B14" s="11" t="inlineStr">
        <is>
          <t>Good</t>
        </is>
      </c>
      <c r="C14" s="8" t="inlineStr">
        <is>
          <t>Read and write real platform and school tables end to end. No sample or hardcoded data was found in the seller screens or routes.</t>
        </is>
      </c>
      <c r="D14" s="8" t="inlineStr">
        <is>
          <t>Nothing needed.</t>
        </is>
      </c>
      <c r="E14" s="8" t="inlineStr">
        <is>
          <t>worker/src/routes/seller/</t>
        </is>
      </c>
    </row>
    <row r="15">
      <c r="A15" s="8" t="inlineStr">
        <is>
          <t>Instance Health</t>
        </is>
      </c>
      <c r="B15" s="11" t="inlineStr">
        <is>
          <t>Good</t>
        </is>
      </c>
      <c r="C15" s="8" t="inlineStr">
        <is>
          <t>An audit note suggested this pointed at the wrong screen. It does not: Instance Health is a tab inside the Backups screen by design.</t>
        </is>
      </c>
      <c r="D15" s="8" t="inlineStr">
        <is>
          <t>Nothing needed.</t>
        </is>
      </c>
      <c r="E15" s="8" t="inlineStr">
        <is>
          <t>web/src/features/seller/Backups.tsx</t>
        </is>
      </c>
    </row>
  </sheetData>
  <autoFilter ref="A1:E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44" customWidth="1" min="1" max="1"/>
    <col width="10" customWidth="1" min="2" max="2"/>
    <col width="110" customWidth="1" min="3" max="3"/>
  </cols>
  <sheetData>
    <row r="1" ht="30" customHeight="1">
      <c r="A1" s="9" t="inlineStr">
        <is>
          <t>Check</t>
        </is>
      </c>
      <c r="B1" s="9" t="inlineStr">
        <is>
          <t>Result</t>
        </is>
      </c>
      <c r="C1" s="9" t="inlineStr">
        <is>
          <t>Detail</t>
        </is>
      </c>
    </row>
    <row r="2">
      <c r="A2" s="8" t="inlineStr">
        <is>
          <t>Web type-check (tsc -b)</t>
        </is>
      </c>
      <c r="B2" s="11" t="inlineStr">
        <is>
          <t>Pass</t>
        </is>
      </c>
      <c r="C2" s="8" t="inlineStr">
        <is>
          <t>No errors.</t>
        </is>
      </c>
    </row>
    <row r="3">
      <c r="A3" s="8" t="inlineStr">
        <is>
          <t>Web unit tests</t>
        </is>
      </c>
      <c r="B3" s="10" t="inlineStr">
        <is>
          <t>Known</t>
        </is>
      </c>
      <c r="C3" s="8" t="inlineStr">
        <is>
          <t>635 pass, 5 fail. The 5 are listed in web/known-test-failures.txt (size-tier and palette tests that were failing before today).</t>
        </is>
      </c>
    </row>
    <row r="4">
      <c r="A4" s="8" t="inlineStr">
        <is>
          <t>Worker type-check</t>
        </is>
      </c>
      <c r="B4" s="11" t="inlineStr">
        <is>
          <t>Pass</t>
        </is>
      </c>
      <c r="C4" s="8" t="inlineStr">
        <is>
          <t>No errors, including the integration tests.</t>
        </is>
      </c>
    </row>
    <row r="5">
      <c r="A5" s="8" t="inlineStr">
        <is>
          <t>Worker integration tests</t>
        </is>
      </c>
      <c r="B5" s="11" t="inlineStr">
        <is>
          <t>Pass</t>
        </is>
      </c>
      <c r="C5" s="8" t="inlineStr">
        <is>
          <t>293 of 293, including 9 new ones for platform staff, the support queue and recorded school access.</t>
        </is>
      </c>
    </row>
    <row r="6">
      <c r="A6" s="8" t="inlineStr">
        <is>
          <t>Feature consistency (scripts/feature.mjs check)</t>
        </is>
      </c>
      <c r="B6" s="10" t="inlineStr">
        <is>
          <t>Known</t>
        </is>
      </c>
      <c r="C6" s="8" t="inlineStr">
        <is>
          <t>0 new problems; 29 known ones carried in the baseline file.</t>
        </is>
      </c>
    </row>
    <row r="7">
      <c r="A7" s="8" t="inlineStr">
        <is>
          <t>Schema files match migrations (schema:check)</t>
        </is>
      </c>
      <c r="B7" s="11" t="inlineStr">
        <is>
          <t>Pass</t>
        </is>
      </c>
      <c r="C7" s="8" t="inlineStr">
        <is>
          <t>control.sql, tenant.sql and tenant_migrations.ts are up to date through control 0013 and tenant 0025.</t>
        </is>
      </c>
    </row>
    <row r="8">
      <c r="A8" s="8" t="inlineStr">
        <is>
          <t>Go role tests (internal/rbac)</t>
        </is>
      </c>
      <c r="B8" s="11" t="inlineStr">
        <is>
          <t>Pass</t>
        </is>
      </c>
      <c r="C8" s="8" t="inlineStr">
        <is>
          <t>The role lists were left unchanged.</t>
        </is>
      </c>
    </row>
    <row r="9">
      <c r="A9" s="8" t="inlineStr">
        <is>
          <t>Every endpoint a screen calls exists in the backend</t>
        </is>
      </c>
      <c r="B9" s="11" t="inlineStr">
        <is>
          <t>Pass</t>
        </is>
      </c>
      <c r="C9" s="8" t="inlineStr">
        <is>
          <t>0 unmatched after resolving templated paths. Two first looked unmatched and were confirmed fine by hand (a trailing slash, a templated prefix).</t>
        </is>
      </c>
    </row>
    <row r="10">
      <c r="A10" s="8" t="inlineStr">
        <is>
          <t>Catalogue features with a screen</t>
        </is>
      </c>
      <c r="B10" s="10" t="inlineStr">
        <is>
          <t>Known</t>
        </is>
      </c>
      <c r="C10" s="8" t="inlineStr">
        <is>
          <t>415 of 425. The 10 without one are AI, telematics and DigiLocker items listed as Planned.</t>
        </is>
      </c>
    </row>
    <row r="11">
      <c r="A11" s="8" t="inlineStr">
        <is>
          <t>Tables with no backend code</t>
        </is>
      </c>
      <c r="B11" s="10" t="inlineStr">
        <is>
          <t>Known</t>
        </is>
      </c>
      <c r="C11" s="8" t="inlineStr">
        <is>
          <t>8: the homework and parent forum tables, email_changes and rate_limit_hits. See the Database tab.</t>
        </is>
      </c>
    </row>
  </sheetData>
  <autoFilter ref="A1:C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22" customWidth="1" min="1" max="1"/>
    <col width="13" customWidth="1" min="2" max="2"/>
    <col width="90" customWidth="1" min="3" max="3"/>
    <col width="56" customWidth="1" min="4" max="4"/>
  </cols>
  <sheetData>
    <row r="1" ht="30" customHeight="1">
      <c r="A1" s="9" t="inlineStr">
        <is>
          <t>Area</t>
        </is>
      </c>
      <c r="B1" s="9" t="inlineStr">
        <is>
          <t>Kind</t>
        </is>
      </c>
      <c r="C1" s="9" t="inlineStr">
        <is>
          <t>Change</t>
        </is>
      </c>
      <c r="D1" s="9" t="inlineStr">
        <is>
          <t>Where</t>
        </is>
      </c>
    </row>
    <row r="2">
      <c r="A2" s="8" t="inlineStr">
        <is>
          <t>Seller console</t>
        </is>
      </c>
      <c r="B2" s="13" t="inlineStr">
        <is>
          <t>Added today</t>
        </is>
      </c>
      <c r="C2" s="8" t="inlineStr">
        <is>
          <t>Team: list, add (seller administrator or support), suspend/reactivate, change role, reset password, with guards and an event log.</t>
        </is>
      </c>
      <c r="D2" s="8" t="inlineStr">
        <is>
          <t>worker/src/routes/seller/tenants.ts, web/src/features/seller/SupportTeam.tsx</t>
        </is>
      </c>
    </row>
    <row r="3">
      <c r="A3" s="8" t="inlineStr">
        <is>
          <t>Support</t>
        </is>
      </c>
      <c r="B3" s="13" t="inlineStr">
        <is>
          <t>Fixed today</t>
        </is>
      </c>
      <c r="C3" s="8" t="inlineStr">
        <is>
          <t>Support logins can open the ticket queue; the queue shows SLA figures and who holds each ticket.</t>
        </is>
      </c>
      <c r="D3" s="8" t="inlineStr">
        <is>
          <t>worker/src/identity.ts, worker/src/routes/admin/platform_config.ts, tenant migration 0024</t>
        </is>
      </c>
    </row>
    <row r="4">
      <c r="A4" s="8" t="inlineStr">
        <is>
          <t>Support</t>
        </is>
      </c>
      <c r="B4" s="13" t="inlineStr">
        <is>
          <t>Fixed today</t>
        </is>
      </c>
      <c r="C4" s="8" t="inlineStr">
        <is>
          <t>A support login needs a recorded, time-limited session to look inside a school; sessions can now actually be saved.</t>
        </is>
      </c>
      <c r="D4" s="8" t="inlineStr">
        <is>
          <t>worker/src/identity.ts, tenant migration 0025</t>
        </is>
      </c>
    </row>
    <row r="5">
      <c r="A5" s="8" t="inlineStr">
        <is>
          <t>Seller console</t>
        </is>
      </c>
      <c r="B5" s="13" t="inlineStr">
        <is>
          <t>Added today</t>
        </is>
      </c>
      <c r="C5" s="8" t="inlineStr">
        <is>
          <t>Team and ticket actions show at once and are settled by the server (optimistic updates with rollback).</t>
        </is>
      </c>
      <c r="D5" s="8" t="inlineStr">
        <is>
          <t>web/src/features/seller/SupportTeam.tsx, SupportTickets.tsx</t>
        </is>
      </c>
    </row>
    <row r="6">
      <c r="A6" s="8" t="inlineStr">
        <is>
          <t>Student home</t>
        </is>
      </c>
      <c r="B6" s="13" t="inlineStr">
        <is>
          <t>Fixed today</t>
        </is>
      </c>
      <c r="C6" s="8" t="inlineStr">
        <is>
          <t>Crash ("This screen did not load") for a login with the student role and no student record.</t>
        </is>
      </c>
      <c r="D6" s="8" t="inlineStr">
        <is>
          <t>web/src/features/portal/StudentHome.tsx</t>
        </is>
      </c>
    </row>
    <row r="7">
      <c r="A7" s="8" t="inlineStr">
        <is>
          <t>Overlays</t>
        </is>
      </c>
      <c r="B7" s="13" t="inlineStr">
        <is>
          <t>Fixed today</t>
        </is>
      </c>
      <c r="C7" s="8" t="inlineStr">
        <is>
          <t>Closing a dialog opened over a drawer no longer closes the drawer too.</t>
        </is>
      </c>
      <c r="D7" s="8" t="inlineStr">
        <is>
          <t>web/src/lib/overlay-history.ts</t>
        </is>
      </c>
    </row>
    <row r="8">
      <c r="A8" s="8" t="inlineStr">
        <is>
          <t>Notifications</t>
        </is>
      </c>
      <c r="B8" s="13" t="inlineStr">
        <is>
          <t>Added today</t>
        </is>
      </c>
      <c r="C8" s="8" t="inlineStr">
        <is>
          <t>A pressed notification opens in full with a button to its screen; only that one is marked read.</t>
        </is>
      </c>
      <c r="D8" s="8" t="inlineStr">
        <is>
          <t>web/src/components/Notifications.tsx</t>
        </is>
      </c>
    </row>
    <row r="9">
      <c r="A9" s="8" t="inlineStr">
        <is>
          <t>Home board</t>
        </is>
      </c>
      <c r="B9" s="13" t="inlineStr">
        <is>
          <t>Fixed today</t>
        </is>
      </c>
      <c r="C9" s="8" t="inlineStr">
        <is>
          <t>Cards stop above the dock; phone has Small, Tall, Medium and Large and nothing is stretched; arrow-only on cards; rounded, thicker bars; original assistant ball.</t>
        </is>
      </c>
      <c r="D9" s="8" t="inlineStr">
        <is>
          <t>web/src/features/bento/, web/src/lib/widgets.ts, size-tiers.ts</t>
        </is>
      </c>
    </row>
    <row r="10">
      <c r="A10" s="8" t="inlineStr">
        <is>
          <t>Inventory</t>
        </is>
      </c>
      <c r="B10" s="13" t="inlineStr">
        <is>
          <t>Added today</t>
        </is>
      </c>
      <c r="C10" s="8" t="inlineStr">
        <is>
          <t>This workbook and the scripts that build it.</t>
        </is>
      </c>
      <c r="D10" s="8" t="inlineStr">
        <is>
          <t>scripts/inventory/, docs/inventory.xlsx</t>
        </is>
      </c>
    </row>
  </sheetData>
  <autoFilter ref="A1:D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2026-10-01T18:30:30Z</dcterms:created>
  <dcterms:modified xsi:type="dcterms:W3CDTF">2026-10-01T18:30:30Z</dcterms:modified>
</cp:coreProperties>
</file>